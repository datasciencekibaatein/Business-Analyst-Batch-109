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ruv\Downloads\BA-L\"/>
    </mc:Choice>
  </mc:AlternateContent>
  <xr:revisionPtr revIDLastSave="0" documentId="13_ncr:1_{80F2BCFD-020C-4D16-880D-9C674576C7E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ore_Sales" sheetId="1" r:id="rId1"/>
    <sheet name="Sheet2" sheetId="3" r:id="rId2"/>
    <sheet name="Sheet1" sheetId="2" r:id="rId3"/>
    <sheet name="Sheet3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4" l="1"/>
  <c r="R11" i="4"/>
  <c r="S11" i="4"/>
  <c r="B36" i="5"/>
  <c r="B21" i="5"/>
  <c r="B43" i="5"/>
  <c r="B45" i="5"/>
  <c r="B46" i="5"/>
  <c r="B22" i="5"/>
  <c r="ALM12" i="5"/>
  <c r="ALL12" i="5"/>
  <c r="ALK12" i="5"/>
  <c r="ALJ12" i="5"/>
  <c r="ALI12" i="5"/>
  <c r="ALH12" i="5"/>
  <c r="ALG12" i="5"/>
  <c r="ALF12" i="5"/>
  <c r="ALE12" i="5"/>
  <c r="ALD12" i="5"/>
  <c r="ALC12" i="5"/>
  <c r="ALB12" i="5"/>
  <c r="ALA12" i="5"/>
  <c r="AKZ12" i="5"/>
  <c r="AKY12" i="5"/>
  <c r="AKX12" i="5"/>
  <c r="AKW12" i="5"/>
  <c r="AKV12" i="5"/>
  <c r="AKU12" i="5"/>
  <c r="AKT12" i="5"/>
  <c r="AKS12" i="5"/>
  <c r="AKR12" i="5"/>
  <c r="AKQ12" i="5"/>
  <c r="AKP12" i="5"/>
  <c r="AKO12" i="5"/>
  <c r="AKN12" i="5"/>
  <c r="AKM12" i="5"/>
  <c r="AKL12" i="5"/>
  <c r="AKK12" i="5"/>
  <c r="AKJ12" i="5"/>
  <c r="AKI12" i="5"/>
  <c r="AKH12" i="5"/>
  <c r="AKG12" i="5"/>
  <c r="AKF12" i="5"/>
  <c r="AKE12" i="5"/>
  <c r="AKD12" i="5"/>
  <c r="AKC12" i="5"/>
  <c r="AKB12" i="5"/>
  <c r="AKA12" i="5"/>
  <c r="AJZ12" i="5"/>
  <c r="AJY12" i="5"/>
  <c r="AJX12" i="5"/>
  <c r="AJW12" i="5"/>
  <c r="AJV12" i="5"/>
  <c r="AJU12" i="5"/>
  <c r="AJT12" i="5"/>
  <c r="AJS12" i="5"/>
  <c r="AJR12" i="5"/>
  <c r="AJQ12" i="5"/>
  <c r="AJP12" i="5"/>
  <c r="AJO12" i="5"/>
  <c r="AJN12" i="5"/>
  <c r="AJM12" i="5"/>
  <c r="AJL12" i="5"/>
  <c r="AJK12" i="5"/>
  <c r="AJJ12" i="5"/>
  <c r="AJI12" i="5"/>
  <c r="AJH12" i="5"/>
  <c r="AJG12" i="5"/>
  <c r="AJF12" i="5"/>
  <c r="AJE12" i="5"/>
  <c r="AJD12" i="5"/>
  <c r="AJC12" i="5"/>
  <c r="AJB12" i="5"/>
  <c r="AJA12" i="5"/>
  <c r="AIZ12" i="5"/>
  <c r="AIY12" i="5"/>
  <c r="AIX12" i="5"/>
  <c r="AIW12" i="5"/>
  <c r="AIV12" i="5"/>
  <c r="AIU12" i="5"/>
  <c r="AIT12" i="5"/>
  <c r="AIS12" i="5"/>
  <c r="AIR12" i="5"/>
  <c r="AIQ12" i="5"/>
  <c r="AIP12" i="5"/>
  <c r="AIO12" i="5"/>
  <c r="AIN12" i="5"/>
  <c r="AIM12" i="5"/>
  <c r="AIL12" i="5"/>
  <c r="AIK12" i="5"/>
  <c r="AIJ12" i="5"/>
  <c r="AII12" i="5"/>
  <c r="AIH12" i="5"/>
  <c r="AIG12" i="5"/>
  <c r="AIF12" i="5"/>
  <c r="AIE12" i="5"/>
  <c r="AID12" i="5"/>
  <c r="AIC12" i="5"/>
  <c r="AIB12" i="5"/>
  <c r="AIA12" i="5"/>
  <c r="AHZ12" i="5"/>
  <c r="AHY12" i="5"/>
  <c r="AHX12" i="5"/>
  <c r="AHW12" i="5"/>
  <c r="AHV12" i="5"/>
  <c r="AHU12" i="5"/>
  <c r="AHT12" i="5"/>
  <c r="AHS12" i="5"/>
  <c r="AHR12" i="5"/>
  <c r="AHQ12" i="5"/>
  <c r="AHP12" i="5"/>
  <c r="AHO12" i="5"/>
  <c r="AHN12" i="5"/>
  <c r="AHM12" i="5"/>
  <c r="AHL12" i="5"/>
  <c r="AHK12" i="5"/>
  <c r="AHJ12" i="5"/>
  <c r="AHI12" i="5"/>
  <c r="AHH12" i="5"/>
  <c r="AHG12" i="5"/>
  <c r="AHF12" i="5"/>
  <c r="AHE12" i="5"/>
  <c r="AHD12" i="5"/>
  <c r="AHC12" i="5"/>
  <c r="AHB12" i="5"/>
  <c r="AHA12" i="5"/>
  <c r="AGZ12" i="5"/>
  <c r="AGY12" i="5"/>
  <c r="AGX12" i="5"/>
  <c r="AGW12" i="5"/>
  <c r="AGV12" i="5"/>
  <c r="AGU12" i="5"/>
  <c r="AGT12" i="5"/>
  <c r="AGS12" i="5"/>
  <c r="AGR12" i="5"/>
  <c r="AGQ12" i="5"/>
  <c r="AGP12" i="5"/>
  <c r="AGO12" i="5"/>
  <c r="AGN12" i="5"/>
  <c r="AGM12" i="5"/>
  <c r="AGL12" i="5"/>
  <c r="AGK12" i="5"/>
  <c r="AGJ12" i="5"/>
  <c r="AGI12" i="5"/>
  <c r="AGH12" i="5"/>
  <c r="AGG12" i="5"/>
  <c r="AGF12" i="5"/>
  <c r="AGE12" i="5"/>
  <c r="AGD12" i="5"/>
  <c r="AGC12" i="5"/>
  <c r="AGB12" i="5"/>
  <c r="AGA12" i="5"/>
  <c r="AFZ12" i="5"/>
  <c r="AFY12" i="5"/>
  <c r="AFX12" i="5"/>
  <c r="AFW12" i="5"/>
  <c r="AFV12" i="5"/>
  <c r="AFU12" i="5"/>
  <c r="AFT12" i="5"/>
  <c r="AFS12" i="5"/>
  <c r="AFR12" i="5"/>
  <c r="AFQ12" i="5"/>
  <c r="AFP12" i="5"/>
  <c r="AFO12" i="5"/>
  <c r="AFN12" i="5"/>
  <c r="AFM12" i="5"/>
  <c r="AFL12" i="5"/>
  <c r="AFK12" i="5"/>
  <c r="AFJ12" i="5"/>
  <c r="AFI12" i="5"/>
  <c r="AFH12" i="5"/>
  <c r="AFG12" i="5"/>
  <c r="AFF12" i="5"/>
  <c r="AFE12" i="5"/>
  <c r="AFD12" i="5"/>
  <c r="AFC12" i="5"/>
  <c r="AFB12" i="5"/>
  <c r="AFA12" i="5"/>
  <c r="AEZ12" i="5"/>
  <c r="AEY12" i="5"/>
  <c r="AEX12" i="5"/>
  <c r="AEW12" i="5"/>
  <c r="AEV12" i="5"/>
  <c r="AEU12" i="5"/>
  <c r="AET12" i="5"/>
  <c r="AES12" i="5"/>
  <c r="AER12" i="5"/>
  <c r="AEQ12" i="5"/>
  <c r="AEP12" i="5"/>
  <c r="AEO12" i="5"/>
  <c r="AEN12" i="5"/>
  <c r="AEM12" i="5"/>
  <c r="AEL12" i="5"/>
  <c r="AEK12" i="5"/>
  <c r="AEJ12" i="5"/>
  <c r="AEI12" i="5"/>
  <c r="AEH12" i="5"/>
  <c r="AEG12" i="5"/>
  <c r="AEF12" i="5"/>
  <c r="AEE12" i="5"/>
  <c r="AED12" i="5"/>
  <c r="AEC12" i="5"/>
  <c r="AEB12" i="5"/>
  <c r="AEA12" i="5"/>
  <c r="ADZ12" i="5"/>
  <c r="ADY12" i="5"/>
  <c r="ADX12" i="5"/>
  <c r="ADW12" i="5"/>
  <c r="ADV12" i="5"/>
  <c r="ADU12" i="5"/>
  <c r="ADT12" i="5"/>
  <c r="ADS12" i="5"/>
  <c r="ADR12" i="5"/>
  <c r="ADQ12" i="5"/>
  <c r="ADP12" i="5"/>
  <c r="ADO12" i="5"/>
  <c r="ADN12" i="5"/>
  <c r="ADM12" i="5"/>
  <c r="ADL12" i="5"/>
  <c r="ADK12" i="5"/>
  <c r="ADJ12" i="5"/>
  <c r="ADI12" i="5"/>
  <c r="ADH12" i="5"/>
  <c r="ADG12" i="5"/>
  <c r="ADF12" i="5"/>
  <c r="ADE12" i="5"/>
  <c r="ADD12" i="5"/>
  <c r="ADC12" i="5"/>
  <c r="ADB12" i="5"/>
  <c r="ADA12" i="5"/>
  <c r="ACZ12" i="5"/>
  <c r="ACY12" i="5"/>
  <c r="ACX12" i="5"/>
  <c r="ACW12" i="5"/>
  <c r="ACV12" i="5"/>
  <c r="ACU12" i="5"/>
  <c r="ACT12" i="5"/>
  <c r="ACS12" i="5"/>
  <c r="ACR12" i="5"/>
  <c r="ACQ12" i="5"/>
  <c r="ACP12" i="5"/>
  <c r="ACO12" i="5"/>
  <c r="ACN12" i="5"/>
  <c r="ACM12" i="5"/>
  <c r="ACL12" i="5"/>
  <c r="ACK12" i="5"/>
  <c r="ACJ12" i="5"/>
  <c r="ACI12" i="5"/>
  <c r="ACH12" i="5"/>
  <c r="ACG12" i="5"/>
  <c r="ACF12" i="5"/>
  <c r="ACE12" i="5"/>
  <c r="ACD12" i="5"/>
  <c r="ACC12" i="5"/>
  <c r="ACB12" i="5"/>
  <c r="ACA12" i="5"/>
  <c r="ABZ12" i="5"/>
  <c r="ABY12" i="5"/>
  <c r="ABX12" i="5"/>
  <c r="ABW12" i="5"/>
  <c r="ABV12" i="5"/>
  <c r="ABU12" i="5"/>
  <c r="ABT12" i="5"/>
  <c r="ABS12" i="5"/>
  <c r="ABR12" i="5"/>
  <c r="ABQ12" i="5"/>
  <c r="ABP12" i="5"/>
  <c r="ABO12" i="5"/>
  <c r="ABN12" i="5"/>
  <c r="ABM12" i="5"/>
  <c r="ABL12" i="5"/>
  <c r="ABK12" i="5"/>
  <c r="ABJ12" i="5"/>
  <c r="ABI12" i="5"/>
  <c r="ABH12" i="5"/>
  <c r="ABG12" i="5"/>
  <c r="ABF12" i="5"/>
  <c r="ABE12" i="5"/>
  <c r="ABD12" i="5"/>
  <c r="ABC12" i="5"/>
  <c r="ABB12" i="5"/>
  <c r="ABA12" i="5"/>
  <c r="AAZ12" i="5"/>
  <c r="AAY12" i="5"/>
  <c r="AAX12" i="5"/>
  <c r="AAW12" i="5"/>
  <c r="AAV12" i="5"/>
  <c r="AAU12" i="5"/>
  <c r="AAT12" i="5"/>
  <c r="AAS12" i="5"/>
  <c r="AAR12" i="5"/>
  <c r="AAQ12" i="5"/>
  <c r="AAP12" i="5"/>
  <c r="AAO12" i="5"/>
  <c r="AAN12" i="5"/>
  <c r="AAM12" i="5"/>
  <c r="AAL12" i="5"/>
  <c r="AAK12" i="5"/>
  <c r="AAJ12" i="5"/>
  <c r="AAI12" i="5"/>
  <c r="AAH12" i="5"/>
  <c r="AAG12" i="5"/>
  <c r="AAF12" i="5"/>
  <c r="AAE12" i="5"/>
  <c r="AAD12" i="5"/>
  <c r="AAC12" i="5"/>
  <c r="AAB12" i="5"/>
  <c r="AAA12" i="5"/>
  <c r="ZZ12" i="5"/>
  <c r="ZY12" i="5"/>
  <c r="ZX12" i="5"/>
  <c r="ZW12" i="5"/>
  <c r="ZV12" i="5"/>
  <c r="ZU12" i="5"/>
  <c r="ZT12" i="5"/>
  <c r="ZS12" i="5"/>
  <c r="ZR12" i="5"/>
  <c r="ZQ12" i="5"/>
  <c r="ZP12" i="5"/>
  <c r="ZO12" i="5"/>
  <c r="ZN12" i="5"/>
  <c r="ZM12" i="5"/>
  <c r="ZL12" i="5"/>
  <c r="ZK12" i="5"/>
  <c r="ZJ12" i="5"/>
  <c r="ZI12" i="5"/>
  <c r="ZH12" i="5"/>
  <c r="ZG12" i="5"/>
  <c r="ZF12" i="5"/>
  <c r="ZE12" i="5"/>
  <c r="ZD12" i="5"/>
  <c r="ZC12" i="5"/>
  <c r="ZB12" i="5"/>
  <c r="ZA12" i="5"/>
  <c r="YZ12" i="5"/>
  <c r="YY12" i="5"/>
  <c r="YX12" i="5"/>
  <c r="YW12" i="5"/>
  <c r="YV12" i="5"/>
  <c r="YU12" i="5"/>
  <c r="YT12" i="5"/>
  <c r="YS12" i="5"/>
  <c r="YR12" i="5"/>
  <c r="YQ12" i="5"/>
  <c r="YP12" i="5"/>
  <c r="YO12" i="5"/>
  <c r="YN12" i="5"/>
  <c r="YM12" i="5"/>
  <c r="YL12" i="5"/>
  <c r="YK12" i="5"/>
  <c r="YJ12" i="5"/>
  <c r="YI12" i="5"/>
  <c r="YH12" i="5"/>
  <c r="YG12" i="5"/>
  <c r="YF12" i="5"/>
  <c r="YE12" i="5"/>
  <c r="YD12" i="5"/>
  <c r="YC12" i="5"/>
  <c r="YB12" i="5"/>
  <c r="YA12" i="5"/>
  <c r="XZ12" i="5"/>
  <c r="XY12" i="5"/>
  <c r="XX12" i="5"/>
  <c r="XW12" i="5"/>
  <c r="XV12" i="5"/>
  <c r="XU12" i="5"/>
  <c r="XT12" i="5"/>
  <c r="XS12" i="5"/>
  <c r="XR12" i="5"/>
  <c r="XQ12" i="5"/>
  <c r="XP12" i="5"/>
  <c r="XO12" i="5"/>
  <c r="XN12" i="5"/>
  <c r="XM12" i="5"/>
  <c r="XL12" i="5"/>
  <c r="XK12" i="5"/>
  <c r="XJ12" i="5"/>
  <c r="XI12" i="5"/>
  <c r="XH12" i="5"/>
  <c r="XG12" i="5"/>
  <c r="XF12" i="5"/>
  <c r="XE12" i="5"/>
  <c r="XD12" i="5"/>
  <c r="XC12" i="5"/>
  <c r="XB12" i="5"/>
  <c r="XA12" i="5"/>
  <c r="WZ12" i="5"/>
  <c r="WY12" i="5"/>
  <c r="WX12" i="5"/>
  <c r="WW12" i="5"/>
  <c r="WV12" i="5"/>
  <c r="WU12" i="5"/>
  <c r="WT12" i="5"/>
  <c r="WS12" i="5"/>
  <c r="WR12" i="5"/>
  <c r="WQ12" i="5"/>
  <c r="WP12" i="5"/>
  <c r="WO12" i="5"/>
  <c r="WN12" i="5"/>
  <c r="WM12" i="5"/>
  <c r="WL12" i="5"/>
  <c r="WK12" i="5"/>
  <c r="WJ12" i="5"/>
  <c r="WI12" i="5"/>
  <c r="WH12" i="5"/>
  <c r="WG12" i="5"/>
  <c r="WF12" i="5"/>
  <c r="WE12" i="5"/>
  <c r="WD12" i="5"/>
  <c r="WC12" i="5"/>
  <c r="WB12" i="5"/>
  <c r="WA12" i="5"/>
  <c r="VZ12" i="5"/>
  <c r="VY12" i="5"/>
  <c r="VX12" i="5"/>
  <c r="VW12" i="5"/>
  <c r="VV12" i="5"/>
  <c r="VU12" i="5"/>
  <c r="VT12" i="5"/>
  <c r="VS12" i="5"/>
  <c r="VR12" i="5"/>
  <c r="VQ12" i="5"/>
  <c r="VP12" i="5"/>
  <c r="VO12" i="5"/>
  <c r="VN12" i="5"/>
  <c r="VM12" i="5"/>
  <c r="VL12" i="5"/>
  <c r="VK12" i="5"/>
  <c r="VJ12" i="5"/>
  <c r="VI12" i="5"/>
  <c r="VH12" i="5"/>
  <c r="VG12" i="5"/>
  <c r="VF12" i="5"/>
  <c r="VE12" i="5"/>
  <c r="VD12" i="5"/>
  <c r="VC12" i="5"/>
  <c r="VB12" i="5"/>
  <c r="VA12" i="5"/>
  <c r="UZ12" i="5"/>
  <c r="UY12" i="5"/>
  <c r="UX12" i="5"/>
  <c r="UW12" i="5"/>
  <c r="UV12" i="5"/>
  <c r="UU12" i="5"/>
  <c r="UT12" i="5"/>
  <c r="US12" i="5"/>
  <c r="UR12" i="5"/>
  <c r="UQ12" i="5"/>
  <c r="UP12" i="5"/>
  <c r="UO12" i="5"/>
  <c r="UN12" i="5"/>
  <c r="UM12" i="5"/>
  <c r="UL12" i="5"/>
  <c r="UK12" i="5"/>
  <c r="UJ12" i="5"/>
  <c r="UI12" i="5"/>
  <c r="UH12" i="5"/>
  <c r="UG12" i="5"/>
  <c r="UF12" i="5"/>
  <c r="UE12" i="5"/>
  <c r="UD12" i="5"/>
  <c r="UC12" i="5"/>
  <c r="UB12" i="5"/>
  <c r="UA12" i="5"/>
  <c r="TZ12" i="5"/>
  <c r="TY12" i="5"/>
  <c r="TX12" i="5"/>
  <c r="TW12" i="5"/>
  <c r="TV12" i="5"/>
  <c r="TU12" i="5"/>
  <c r="TT12" i="5"/>
  <c r="TS12" i="5"/>
  <c r="TR12" i="5"/>
  <c r="TQ12" i="5"/>
  <c r="TP12" i="5"/>
  <c r="TO12" i="5"/>
  <c r="TN12" i="5"/>
  <c r="TM12" i="5"/>
  <c r="TL12" i="5"/>
  <c r="TK12" i="5"/>
  <c r="TJ12" i="5"/>
  <c r="TI12" i="5"/>
  <c r="TH12" i="5"/>
  <c r="TG12" i="5"/>
  <c r="TF12" i="5"/>
  <c r="TE12" i="5"/>
  <c r="TD12" i="5"/>
  <c r="TC12" i="5"/>
  <c r="TB12" i="5"/>
  <c r="TA12" i="5"/>
  <c r="SZ12" i="5"/>
  <c r="SY12" i="5"/>
  <c r="SX12" i="5"/>
  <c r="SW12" i="5"/>
  <c r="SV12" i="5"/>
  <c r="SU12" i="5"/>
  <c r="ST12" i="5"/>
  <c r="SS12" i="5"/>
  <c r="SR12" i="5"/>
  <c r="SQ12" i="5"/>
  <c r="SP12" i="5"/>
  <c r="SO12" i="5"/>
  <c r="SN12" i="5"/>
  <c r="SM12" i="5"/>
  <c r="SL12" i="5"/>
  <c r="SK12" i="5"/>
  <c r="SJ12" i="5"/>
  <c r="SI12" i="5"/>
  <c r="SH12" i="5"/>
  <c r="SG12" i="5"/>
  <c r="SF12" i="5"/>
  <c r="SE12" i="5"/>
  <c r="SD12" i="5"/>
  <c r="SC12" i="5"/>
  <c r="SB12" i="5"/>
  <c r="SA12" i="5"/>
  <c r="RZ12" i="5"/>
  <c r="RY12" i="5"/>
  <c r="RX12" i="5"/>
  <c r="RW12" i="5"/>
  <c r="RV12" i="5"/>
  <c r="RU12" i="5"/>
  <c r="RT12" i="5"/>
  <c r="RS12" i="5"/>
  <c r="RR12" i="5"/>
  <c r="RQ12" i="5"/>
  <c r="RP12" i="5"/>
  <c r="RO12" i="5"/>
  <c r="RN12" i="5"/>
  <c r="RM12" i="5"/>
  <c r="RL12" i="5"/>
  <c r="RK12" i="5"/>
  <c r="RJ12" i="5"/>
  <c r="RI12" i="5"/>
  <c r="RH12" i="5"/>
  <c r="RG12" i="5"/>
  <c r="RF12" i="5"/>
  <c r="RE12" i="5"/>
  <c r="RD12" i="5"/>
  <c r="RC12" i="5"/>
  <c r="RB12" i="5"/>
  <c r="RA12" i="5"/>
  <c r="QZ12" i="5"/>
  <c r="QY12" i="5"/>
  <c r="QX12" i="5"/>
  <c r="QW12" i="5"/>
  <c r="QV12" i="5"/>
  <c r="QU12" i="5"/>
  <c r="QT12" i="5"/>
  <c r="QS12" i="5"/>
  <c r="QR12" i="5"/>
  <c r="QQ12" i="5"/>
  <c r="QP12" i="5"/>
  <c r="QO12" i="5"/>
  <c r="QN12" i="5"/>
  <c r="QM12" i="5"/>
  <c r="QL12" i="5"/>
  <c r="QK12" i="5"/>
  <c r="QJ12" i="5"/>
  <c r="QI12" i="5"/>
  <c r="QH12" i="5"/>
  <c r="QG12" i="5"/>
  <c r="QF12" i="5"/>
  <c r="QE12" i="5"/>
  <c r="QD12" i="5"/>
  <c r="QC12" i="5"/>
  <c r="QB12" i="5"/>
  <c r="QA12" i="5"/>
  <c r="PZ12" i="5"/>
  <c r="PY12" i="5"/>
  <c r="PX12" i="5"/>
  <c r="PW12" i="5"/>
  <c r="PV12" i="5"/>
  <c r="PU12" i="5"/>
  <c r="PT12" i="5"/>
  <c r="PS12" i="5"/>
  <c r="PR12" i="5"/>
  <c r="PQ12" i="5"/>
  <c r="PP12" i="5"/>
  <c r="PO12" i="5"/>
  <c r="PN12" i="5"/>
  <c r="PM12" i="5"/>
  <c r="PL12" i="5"/>
  <c r="PK12" i="5"/>
  <c r="PJ12" i="5"/>
  <c r="PI12" i="5"/>
  <c r="PH12" i="5"/>
  <c r="PG12" i="5"/>
  <c r="PF12" i="5"/>
  <c r="PE12" i="5"/>
  <c r="PD12" i="5"/>
  <c r="PC12" i="5"/>
  <c r="PB12" i="5"/>
  <c r="PA12" i="5"/>
  <c r="OZ12" i="5"/>
  <c r="OY12" i="5"/>
  <c r="OX12" i="5"/>
  <c r="OW12" i="5"/>
  <c r="OV12" i="5"/>
  <c r="OU12" i="5"/>
  <c r="OT12" i="5"/>
  <c r="OS12" i="5"/>
  <c r="OR12" i="5"/>
  <c r="OQ12" i="5"/>
  <c r="OP12" i="5"/>
  <c r="OO12" i="5"/>
  <c r="ON12" i="5"/>
  <c r="OM12" i="5"/>
  <c r="OL12" i="5"/>
  <c r="OK12" i="5"/>
  <c r="OJ12" i="5"/>
  <c r="OI12" i="5"/>
  <c r="OH12" i="5"/>
  <c r="OG12" i="5"/>
  <c r="OF12" i="5"/>
  <c r="OE12" i="5"/>
  <c r="OD12" i="5"/>
  <c r="OC12" i="5"/>
  <c r="OB12" i="5"/>
  <c r="OA12" i="5"/>
  <c r="NZ12" i="5"/>
  <c r="NY12" i="5"/>
  <c r="NX12" i="5"/>
  <c r="NW12" i="5"/>
  <c r="NV12" i="5"/>
  <c r="NU12" i="5"/>
  <c r="NT12" i="5"/>
  <c r="NS12" i="5"/>
  <c r="NR12" i="5"/>
  <c r="NQ12" i="5"/>
  <c r="NP12" i="5"/>
  <c r="NO12" i="5"/>
  <c r="NN12" i="5"/>
  <c r="NM12" i="5"/>
  <c r="NL12" i="5"/>
  <c r="NK12" i="5"/>
  <c r="NJ12" i="5"/>
  <c r="NI12" i="5"/>
  <c r="NH12" i="5"/>
  <c r="NG12" i="5"/>
  <c r="NF12" i="5"/>
  <c r="NE12" i="5"/>
  <c r="ND12" i="5"/>
  <c r="NC12" i="5"/>
  <c r="NB12" i="5"/>
  <c r="NA12" i="5"/>
  <c r="MZ12" i="5"/>
  <c r="MY12" i="5"/>
  <c r="MX12" i="5"/>
  <c r="MW12" i="5"/>
  <c r="MV12" i="5"/>
  <c r="MU12" i="5"/>
  <c r="MT12" i="5"/>
  <c r="MS12" i="5"/>
  <c r="MR12" i="5"/>
  <c r="MQ12" i="5"/>
  <c r="MP12" i="5"/>
  <c r="MO12" i="5"/>
  <c r="MN12" i="5"/>
  <c r="MM12" i="5"/>
  <c r="ML12" i="5"/>
  <c r="MK12" i="5"/>
  <c r="MJ12" i="5"/>
  <c r="MI12" i="5"/>
  <c r="MH12" i="5"/>
  <c r="MG12" i="5"/>
  <c r="MF12" i="5"/>
  <c r="ME12" i="5"/>
  <c r="MD12" i="5"/>
  <c r="MC12" i="5"/>
  <c r="MB12" i="5"/>
  <c r="MA12" i="5"/>
  <c r="LZ12" i="5"/>
  <c r="LY12" i="5"/>
  <c r="LX12" i="5"/>
  <c r="LW12" i="5"/>
  <c r="LV12" i="5"/>
  <c r="LU12" i="5"/>
  <c r="LT12" i="5"/>
  <c r="LS12" i="5"/>
  <c r="LR12" i="5"/>
  <c r="LQ12" i="5"/>
  <c r="LP12" i="5"/>
  <c r="LO12" i="5"/>
  <c r="LN12" i="5"/>
  <c r="LM12" i="5"/>
  <c r="LL12" i="5"/>
  <c r="LK12" i="5"/>
  <c r="LJ12" i="5"/>
  <c r="LI12" i="5"/>
  <c r="LH12" i="5"/>
  <c r="LG12" i="5"/>
  <c r="LF12" i="5"/>
  <c r="LE12" i="5"/>
  <c r="LD12" i="5"/>
  <c r="LC12" i="5"/>
  <c r="LB12" i="5"/>
  <c r="LA12" i="5"/>
  <c r="KZ12" i="5"/>
  <c r="KY12" i="5"/>
  <c r="KX12" i="5"/>
  <c r="KW12" i="5"/>
  <c r="KV12" i="5"/>
  <c r="KU12" i="5"/>
  <c r="KT12" i="5"/>
  <c r="KS12" i="5"/>
  <c r="KR12" i="5"/>
  <c r="KQ12" i="5"/>
  <c r="KP12" i="5"/>
  <c r="KO12" i="5"/>
  <c r="KN12" i="5"/>
  <c r="KM12" i="5"/>
  <c r="KL12" i="5"/>
  <c r="KK12" i="5"/>
  <c r="KJ12" i="5"/>
  <c r="KI12" i="5"/>
  <c r="KH12" i="5"/>
  <c r="KG12" i="5"/>
  <c r="KF12" i="5"/>
  <c r="KE12" i="5"/>
  <c r="KD12" i="5"/>
  <c r="KC12" i="5"/>
  <c r="KB12" i="5"/>
  <c r="KA12" i="5"/>
  <c r="JZ12" i="5"/>
  <c r="JY12" i="5"/>
  <c r="JX12" i="5"/>
  <c r="JW12" i="5"/>
  <c r="JV12" i="5"/>
  <c r="JU12" i="5"/>
  <c r="JT12" i="5"/>
  <c r="JS12" i="5"/>
  <c r="JR12" i="5"/>
  <c r="JQ12" i="5"/>
  <c r="JP12" i="5"/>
  <c r="JO12" i="5"/>
  <c r="JN12" i="5"/>
  <c r="JM12" i="5"/>
  <c r="JL12" i="5"/>
  <c r="JK12" i="5"/>
  <c r="JJ12" i="5"/>
  <c r="JI12" i="5"/>
  <c r="JH12" i="5"/>
  <c r="JG12" i="5"/>
  <c r="JF12" i="5"/>
  <c r="JE12" i="5"/>
  <c r="JD12" i="5"/>
  <c r="JC12" i="5"/>
  <c r="JB12" i="5"/>
  <c r="JA12" i="5"/>
  <c r="IZ12" i="5"/>
  <c r="IY12" i="5"/>
  <c r="IX12" i="5"/>
  <c r="IW12" i="5"/>
  <c r="IV12" i="5"/>
  <c r="IU12" i="5"/>
  <c r="IT12" i="5"/>
  <c r="IS12" i="5"/>
  <c r="IR12" i="5"/>
  <c r="IQ12" i="5"/>
  <c r="IP12" i="5"/>
  <c r="IO12" i="5"/>
  <c r="IN12" i="5"/>
  <c r="IM12" i="5"/>
  <c r="IL12" i="5"/>
  <c r="IK12" i="5"/>
  <c r="IJ12" i="5"/>
  <c r="II12" i="5"/>
  <c r="IH12" i="5"/>
  <c r="IG12" i="5"/>
  <c r="IF12" i="5"/>
  <c r="IE12" i="5"/>
  <c r="ID12" i="5"/>
  <c r="IC12" i="5"/>
  <c r="IB12" i="5"/>
  <c r="IA12" i="5"/>
  <c r="HZ12" i="5"/>
  <c r="HY12" i="5"/>
  <c r="HX12" i="5"/>
  <c r="HW12" i="5"/>
  <c r="HV12" i="5"/>
  <c r="HU12" i="5"/>
  <c r="HT12" i="5"/>
  <c r="HS12" i="5"/>
  <c r="HR12" i="5"/>
  <c r="HQ12" i="5"/>
  <c r="HP12" i="5"/>
  <c r="HO12" i="5"/>
  <c r="HN12" i="5"/>
  <c r="HM12" i="5"/>
  <c r="HL12" i="5"/>
  <c r="HK12" i="5"/>
  <c r="HJ12" i="5"/>
  <c r="HI12" i="5"/>
  <c r="HH12" i="5"/>
  <c r="HG12" i="5"/>
  <c r="HF12" i="5"/>
  <c r="HE12" i="5"/>
  <c r="HD12" i="5"/>
  <c r="HC12" i="5"/>
  <c r="HB12" i="5"/>
  <c r="HA12" i="5"/>
  <c r="GZ12" i="5"/>
  <c r="GY12" i="5"/>
  <c r="GX12" i="5"/>
  <c r="GW12" i="5"/>
  <c r="GV12" i="5"/>
  <c r="GU12" i="5"/>
  <c r="GT12" i="5"/>
  <c r="GS12" i="5"/>
  <c r="GR12" i="5"/>
  <c r="GQ12" i="5"/>
  <c r="GP12" i="5"/>
  <c r="GO12" i="5"/>
  <c r="GN12" i="5"/>
  <c r="GM12" i="5"/>
  <c r="GL12" i="5"/>
  <c r="GK12" i="5"/>
  <c r="GJ12" i="5"/>
  <c r="GI12" i="5"/>
  <c r="GH12" i="5"/>
  <c r="GG12" i="5"/>
  <c r="GF12" i="5"/>
  <c r="GE12" i="5"/>
  <c r="GD12" i="5"/>
  <c r="GC12" i="5"/>
  <c r="GB12" i="5"/>
  <c r="GA12" i="5"/>
  <c r="FZ12" i="5"/>
  <c r="FY12" i="5"/>
  <c r="FX12" i="5"/>
  <c r="FW12" i="5"/>
  <c r="FV12" i="5"/>
  <c r="FU12" i="5"/>
  <c r="FT12" i="5"/>
  <c r="FS12" i="5"/>
  <c r="FR12" i="5"/>
  <c r="FQ12" i="5"/>
  <c r="FP12" i="5"/>
  <c r="FO12" i="5"/>
  <c r="FN12" i="5"/>
  <c r="FM12" i="5"/>
  <c r="FL12" i="5"/>
  <c r="FK12" i="5"/>
  <c r="FJ12" i="5"/>
  <c r="FI12" i="5"/>
  <c r="FH12" i="5"/>
  <c r="FG12" i="5"/>
  <c r="FF12" i="5"/>
  <c r="FE12" i="5"/>
  <c r="FD12" i="5"/>
  <c r="FC12" i="5"/>
  <c r="FB12" i="5"/>
  <c r="FA12" i="5"/>
  <c r="EZ12" i="5"/>
  <c r="EY12" i="5"/>
  <c r="EX12" i="5"/>
  <c r="EW12" i="5"/>
  <c r="EV12" i="5"/>
  <c r="EU12" i="5"/>
  <c r="ET12" i="5"/>
  <c r="ES12" i="5"/>
  <c r="ER12" i="5"/>
  <c r="EQ12" i="5"/>
  <c r="EP12" i="5"/>
  <c r="EO12" i="5"/>
  <c r="EN12" i="5"/>
  <c r="EM12" i="5"/>
  <c r="EL12" i="5"/>
  <c r="EK12" i="5"/>
  <c r="EJ12" i="5"/>
  <c r="EI12" i="5"/>
  <c r="EH12" i="5"/>
  <c r="EG12" i="5"/>
  <c r="EF12" i="5"/>
  <c r="EE12" i="5"/>
  <c r="ED12" i="5"/>
  <c r="EC12" i="5"/>
  <c r="EB12" i="5"/>
  <c r="EA12" i="5"/>
  <c r="DZ12" i="5"/>
  <c r="DY12" i="5"/>
  <c r="DX12" i="5"/>
  <c r="DW12" i="5"/>
  <c r="DV12" i="5"/>
  <c r="DU12" i="5"/>
  <c r="DT12" i="5"/>
  <c r="DS12" i="5"/>
  <c r="DR12" i="5"/>
  <c r="DQ12" i="5"/>
  <c r="DP12" i="5"/>
  <c r="DO12" i="5"/>
  <c r="DN12" i="5"/>
  <c r="DM12" i="5"/>
  <c r="DL12" i="5"/>
  <c r="DK12" i="5"/>
  <c r="DJ12" i="5"/>
  <c r="DI12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K12" i="5"/>
  <c r="CJ12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Q15" i="4"/>
  <c r="R21" i="4"/>
  <c r="R14" i="4"/>
  <c r="R13" i="4"/>
  <c r="R12" i="4"/>
  <c r="Q16" i="4"/>
  <c r="Q14" i="4"/>
  <c r="Q13" i="4"/>
  <c r="Q12" i="4"/>
  <c r="Q11" i="4"/>
  <c r="S2" i="4"/>
  <c r="P3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B14" i="3"/>
  <c r="B9" i="3"/>
  <c r="U14" i="1"/>
  <c r="B15" i="3"/>
  <c r="B10" i="3"/>
  <c r="U13" i="1"/>
  <c r="X4" i="1"/>
  <c r="U19" i="1"/>
  <c r="U18" i="1"/>
  <c r="U17" i="1"/>
  <c r="U16" i="1"/>
  <c r="U15" i="1"/>
  <c r="R6" i="1"/>
  <c r="P23" i="1"/>
  <c r="P22" i="1"/>
  <c r="P21" i="1"/>
  <c r="P20" i="1"/>
  <c r="P19" i="1"/>
  <c r="P18" i="1"/>
  <c r="P17" i="1"/>
  <c r="P16" i="1"/>
  <c r="P15" i="1"/>
  <c r="P14" i="1"/>
  <c r="P13" i="1"/>
  <c r="O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F2" i="2"/>
  <c r="F3" i="2"/>
  <c r="F4" i="2"/>
  <c r="F5" i="2"/>
  <c r="F6" i="2"/>
  <c r="F7" i="2"/>
  <c r="F8" i="2"/>
  <c r="F9" i="2"/>
  <c r="F10" i="2"/>
  <c r="E3" i="2"/>
  <c r="E4" i="2"/>
  <c r="E5" i="2"/>
  <c r="E6" i="2"/>
  <c r="E7" i="2"/>
  <c r="E8" i="2"/>
  <c r="E9" i="2"/>
  <c r="E10" i="2"/>
  <c r="E2" i="2"/>
  <c r="C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3" i="2"/>
</calcChain>
</file>

<file path=xl/sharedStrings.xml><?xml version="1.0" encoding="utf-8"?>
<sst xmlns="http://schemas.openxmlformats.org/spreadsheetml/2006/main" count="30142" uniqueCount="2768">
  <si>
    <t>Order_ID</t>
  </si>
  <si>
    <t>Order_Date</t>
  </si>
  <si>
    <t>Customer_ID</t>
  </si>
  <si>
    <t>Customer_Name</t>
  </si>
  <si>
    <t>City</t>
  </si>
  <si>
    <t>Category</t>
  </si>
  <si>
    <t>Product</t>
  </si>
  <si>
    <t>Quantity</t>
  </si>
  <si>
    <t>Unit_Price</t>
  </si>
  <si>
    <t>Sales_Amount</t>
  </si>
  <si>
    <t>Payment_Method</t>
  </si>
  <si>
    <t>Salesperson</t>
  </si>
  <si>
    <t>ORD10002</t>
  </si>
  <si>
    <t>2026-02-16</t>
  </si>
  <si>
    <t>CUST1898</t>
  </si>
  <si>
    <t>Aditi 22</t>
  </si>
  <si>
    <t>Lucknow</t>
  </si>
  <si>
    <t>Clothing</t>
  </si>
  <si>
    <t>T-Shirt</t>
  </si>
  <si>
    <t>Debit Card</t>
  </si>
  <si>
    <t>Neha</t>
  </si>
  <si>
    <t>ORD10003</t>
  </si>
  <si>
    <t>2025-04-11</t>
  </si>
  <si>
    <t>CUST1843</t>
  </si>
  <si>
    <t>Pooja 82</t>
  </si>
  <si>
    <t>Kolkata</t>
  </si>
  <si>
    <t>Electronics</t>
  </si>
  <si>
    <t>Headphones</t>
  </si>
  <si>
    <t>Cash</t>
  </si>
  <si>
    <t>Sneha</t>
  </si>
  <si>
    <t>ORD10004</t>
  </si>
  <si>
    <t>2025-08-05</t>
  </si>
  <si>
    <t>CUST1663</t>
  </si>
  <si>
    <t>Ishaan 47</t>
  </si>
  <si>
    <t>Mumbai</t>
  </si>
  <si>
    <t>Kurta</t>
  </si>
  <si>
    <t>Priya</t>
  </si>
  <si>
    <t>ORD10005</t>
  </si>
  <si>
    <t>2025-04-12</t>
  </si>
  <si>
    <t>CUST1577</t>
  </si>
  <si>
    <t>Aditi 44</t>
  </si>
  <si>
    <t>Jeans</t>
  </si>
  <si>
    <t>Credit Card</t>
  </si>
  <si>
    <t>Rahul</t>
  </si>
  <si>
    <t>ORD10006</t>
  </si>
  <si>
    <t>2026-04-09</t>
  </si>
  <si>
    <t>CUST1104</t>
  </si>
  <si>
    <t>Vivek 77</t>
  </si>
  <si>
    <t>Home</t>
  </si>
  <si>
    <t>Mixer</t>
  </si>
  <si>
    <t>UPI</t>
  </si>
  <si>
    <t>Amit</t>
  </si>
  <si>
    <t>ORD10007</t>
  </si>
  <si>
    <t>2025-10-29</t>
  </si>
  <si>
    <t>CUST1106</t>
  </si>
  <si>
    <t>Meera 98</t>
  </si>
  <si>
    <t>Hyderabad</t>
  </si>
  <si>
    <t>Chair</t>
  </si>
  <si>
    <t>ORD10008</t>
  </si>
  <si>
    <t>2025-01-29</t>
  </si>
  <si>
    <t>CUST1056</t>
  </si>
  <si>
    <t>Ishaan 68</t>
  </si>
  <si>
    <t>Chennai</t>
  </si>
  <si>
    <t>Lamp</t>
  </si>
  <si>
    <t>ORD10009</t>
  </si>
  <si>
    <t>2025-01-21</t>
  </si>
  <si>
    <t>CUST1816</t>
  </si>
  <si>
    <t>Aditi 41</t>
  </si>
  <si>
    <t>Jacket</t>
  </si>
  <si>
    <t>ORD10010</t>
  </si>
  <si>
    <t>2025-10-01</t>
  </si>
  <si>
    <t>CUST1913</t>
  </si>
  <si>
    <t>Karan 10</t>
  </si>
  <si>
    <t>ORD10011</t>
  </si>
  <si>
    <t>2025-12-22</t>
  </si>
  <si>
    <t>CUST1828</t>
  </si>
  <si>
    <t>Kavya 71</t>
  </si>
  <si>
    <t>Groceries</t>
  </si>
  <si>
    <t>Milk</t>
  </si>
  <si>
    <t>ORD10012</t>
  </si>
  <si>
    <t>2026-02-24</t>
  </si>
  <si>
    <t>CUST1827</t>
  </si>
  <si>
    <t>Kavya 91</t>
  </si>
  <si>
    <t>Vikas</t>
  </si>
  <si>
    <t>ORD10013</t>
  </si>
  <si>
    <t>2026-06-20</t>
  </si>
  <si>
    <t>CUST1171</t>
  </si>
  <si>
    <t>Pooja 21</t>
  </si>
  <si>
    <t>ORD10014</t>
  </si>
  <si>
    <t>2025-08-15</t>
  </si>
  <si>
    <t>CUST1048</t>
  </si>
  <si>
    <t>Vivek 25</t>
  </si>
  <si>
    <t>ORD10015</t>
  </si>
  <si>
    <t>2025-08-11</t>
  </si>
  <si>
    <t>Karan 56</t>
  </si>
  <si>
    <t>Delhi</t>
  </si>
  <si>
    <t>ORD10016</t>
  </si>
  <si>
    <t>2025-12-03</t>
  </si>
  <si>
    <t>CUST1357</t>
  </si>
  <si>
    <t>Kavya 59</t>
  </si>
  <si>
    <t>ORD10017</t>
  </si>
  <si>
    <t>2025-02-22</t>
  </si>
  <si>
    <t>CUST1109</t>
  </si>
  <si>
    <t>Meera 50</t>
  </si>
  <si>
    <t>Bengaluru</t>
  </si>
  <si>
    <t>Bread</t>
  </si>
  <si>
    <t>ORD10018</t>
  </si>
  <si>
    <t>2025-08-03</t>
  </si>
  <si>
    <t>CUST1403</t>
  </si>
  <si>
    <t>Pooja 16</t>
  </si>
  <si>
    <t>Cookware</t>
  </si>
  <si>
    <t>ORD10019</t>
  </si>
  <si>
    <t>2026-03-20</t>
  </si>
  <si>
    <t>CUST1586</t>
  </si>
  <si>
    <t>Meera 4</t>
  </si>
  <si>
    <t>Laptop</t>
  </si>
  <si>
    <t>ORD10020</t>
  </si>
  <si>
    <t>2025-06-30</t>
  </si>
  <si>
    <t>CUST1849</t>
  </si>
  <si>
    <t>Ishaan 36</t>
  </si>
  <si>
    <t>ORD10021</t>
  </si>
  <si>
    <t>CUST1761</t>
  </si>
  <si>
    <t>Karan 35</t>
  </si>
  <si>
    <t>Eggs</t>
  </si>
  <si>
    <t>ORD10022</t>
  </si>
  <si>
    <t>2025-01-08</t>
  </si>
  <si>
    <t>CUST1645</t>
  </si>
  <si>
    <t>Pooja 3</t>
  </si>
  <si>
    <t>Pune</t>
  </si>
  <si>
    <t>ORD10023</t>
  </si>
  <si>
    <t>2025-02-24</t>
  </si>
  <si>
    <t>CUST1784</t>
  </si>
  <si>
    <t>Karan 20</t>
  </si>
  <si>
    <t>ORD10024</t>
  </si>
  <si>
    <t>2025-12-12</t>
  </si>
  <si>
    <t>CUST1664</t>
  </si>
  <si>
    <t>ORD10025</t>
  </si>
  <si>
    <t>2026-06-13</t>
  </si>
  <si>
    <t>CUST1128</t>
  </si>
  <si>
    <t>Rohan 2</t>
  </si>
  <si>
    <t>ORD10026</t>
  </si>
  <si>
    <t>2026-01-11</t>
  </si>
  <si>
    <t>CUST1969</t>
  </si>
  <si>
    <t>ORD10027</t>
  </si>
  <si>
    <t>2025-10-24</t>
  </si>
  <si>
    <t>CUST1090</t>
  </si>
  <si>
    <t>Vivek 35</t>
  </si>
  <si>
    <t>ORD10028</t>
  </si>
  <si>
    <t>CUST1360</t>
  </si>
  <si>
    <t>Vivek 86</t>
  </si>
  <si>
    <t>ORD10029</t>
  </si>
  <si>
    <t>2025-12-01</t>
  </si>
  <si>
    <t>CUST1019</t>
  </si>
  <si>
    <t>Karan 7</t>
  </si>
  <si>
    <t>ORD10030</t>
  </si>
  <si>
    <t>2026-04-22</t>
  </si>
  <si>
    <t>CUST1432</t>
  </si>
  <si>
    <t>Rohan 93</t>
  </si>
  <si>
    <t>ORD10031</t>
  </si>
  <si>
    <t>2026-05-23</t>
  </si>
  <si>
    <t>CUST1271</t>
  </si>
  <si>
    <t>Aditi 73</t>
  </si>
  <si>
    <t>ORD10032</t>
  </si>
  <si>
    <t>2025-10-18</t>
  </si>
  <si>
    <t>CUST1011</t>
  </si>
  <si>
    <t>Arjun 56</t>
  </si>
  <si>
    <t>Keyboard</t>
  </si>
  <si>
    <t>ORD10033</t>
  </si>
  <si>
    <t>2025-11-24</t>
  </si>
  <si>
    <t>CUST1830</t>
  </si>
  <si>
    <t>Rohan 21</t>
  </si>
  <si>
    <t>Sugar</t>
  </si>
  <si>
    <t>ORD10034</t>
  </si>
  <si>
    <t>CUST1321</t>
  </si>
  <si>
    <t>Pooja 30</t>
  </si>
  <si>
    <t>ORD10035</t>
  </si>
  <si>
    <t>2026-06-25</t>
  </si>
  <si>
    <t>CUST1347</t>
  </si>
  <si>
    <t>Aditi 79</t>
  </si>
  <si>
    <t>Table</t>
  </si>
  <si>
    <t>ORD10036</t>
  </si>
  <si>
    <t>2025-06-15</t>
  </si>
  <si>
    <t>CUST1160</t>
  </si>
  <si>
    <t>Kavya 1</t>
  </si>
  <si>
    <t>ORD10037</t>
  </si>
  <si>
    <t>2025-06-28</t>
  </si>
  <si>
    <t>CUST1194</t>
  </si>
  <si>
    <t>Pooja 22</t>
  </si>
  <si>
    <t>Shirt</t>
  </si>
  <si>
    <t>ORD10038</t>
  </si>
  <si>
    <t>2025-07-13</t>
  </si>
  <si>
    <t>Kavya 58</t>
  </si>
  <si>
    <t>ORD10039</t>
  </si>
  <si>
    <t>2025-06-06</t>
  </si>
  <si>
    <t>CUST1365</t>
  </si>
  <si>
    <t>Meera 24</t>
  </si>
  <si>
    <t>ORD10040</t>
  </si>
  <si>
    <t>2026-06-09</t>
  </si>
  <si>
    <t>CUST1980</t>
  </si>
  <si>
    <t>Ishaan 25</t>
  </si>
  <si>
    <t>ORD10041</t>
  </si>
  <si>
    <t>2026-04-29</t>
  </si>
  <si>
    <t>CUST1446</t>
  </si>
  <si>
    <t>Pooja 87</t>
  </si>
  <si>
    <t>ORD10042</t>
  </si>
  <si>
    <t>2026-06-01</t>
  </si>
  <si>
    <t>CUST1478</t>
  </si>
  <si>
    <t>Aditi 52</t>
  </si>
  <si>
    <t>Mouse</t>
  </si>
  <si>
    <t>ORD10043</t>
  </si>
  <si>
    <t>2025-03-08</t>
  </si>
  <si>
    <t>CUST1564</t>
  </si>
  <si>
    <t>Vivek 87</t>
  </si>
  <si>
    <t>ORD10044</t>
  </si>
  <si>
    <t>2026-02-13</t>
  </si>
  <si>
    <t>CUST1563</t>
  </si>
  <si>
    <t>Rohan 97</t>
  </si>
  <si>
    <t>ORD10045</t>
  </si>
  <si>
    <t>2025-09-09</t>
  </si>
  <si>
    <t>CUST1869</t>
  </si>
  <si>
    <t>Aditi 91</t>
  </si>
  <si>
    <t>ORD10046</t>
  </si>
  <si>
    <t>2026-01-07</t>
  </si>
  <si>
    <t>CUST1490</t>
  </si>
  <si>
    <t>Karan 8</t>
  </si>
  <si>
    <t>ORD10047</t>
  </si>
  <si>
    <t>2025-10-16</t>
  </si>
  <si>
    <t>CUST1643</t>
  </si>
  <si>
    <t>Pooja 17</t>
  </si>
  <si>
    <t>ORD10048</t>
  </si>
  <si>
    <t>2025-07-06</t>
  </si>
  <si>
    <t>CUST1654</t>
  </si>
  <si>
    <t>Ishaan 53</t>
  </si>
  <si>
    <t>ORD10049</t>
  </si>
  <si>
    <t>2025-01-02</t>
  </si>
  <si>
    <t>CUST1494</t>
  </si>
  <si>
    <t>Ishaan 27</t>
  </si>
  <si>
    <t>ORD10050</t>
  </si>
  <si>
    <t>2026-02-14</t>
  </si>
  <si>
    <t>CUST1891</t>
  </si>
  <si>
    <t>Aditi 2</t>
  </si>
  <si>
    <t>ORD10051</t>
  </si>
  <si>
    <t>2025-10-19</t>
  </si>
  <si>
    <t>CUST1076</t>
  </si>
  <si>
    <t>Karan 66</t>
  </si>
  <si>
    <t>ORD10052</t>
  </si>
  <si>
    <t>2025-04-13</t>
  </si>
  <si>
    <t>CUST1957</t>
  </si>
  <si>
    <t>Karan 97</t>
  </si>
  <si>
    <t>ORD10053</t>
  </si>
  <si>
    <t>2026-04-28</t>
  </si>
  <si>
    <t>CUST1644</t>
  </si>
  <si>
    <t>Ananya 6</t>
  </si>
  <si>
    <t>ORD10054</t>
  </si>
  <si>
    <t>2025-02-05</t>
  </si>
  <si>
    <t>CUST1391</t>
  </si>
  <si>
    <t>Meera 66</t>
  </si>
  <si>
    <t>ORD10055</t>
  </si>
  <si>
    <t>2025-04-18</t>
  </si>
  <si>
    <t>CUST1619</t>
  </si>
  <si>
    <t>Karan 11</t>
  </si>
  <si>
    <t>ORD10056</t>
  </si>
  <si>
    <t>2026-01-13</t>
  </si>
  <si>
    <t>CUST1595</t>
  </si>
  <si>
    <t>Karan 92</t>
  </si>
  <si>
    <t>Rice</t>
  </si>
  <si>
    <t>ORD10057</t>
  </si>
  <si>
    <t>2025-07-30</t>
  </si>
  <si>
    <t>CUST1921</t>
  </si>
  <si>
    <t>Pooja 11</t>
  </si>
  <si>
    <t>ORD10058</t>
  </si>
  <si>
    <t>2025-07-23</t>
  </si>
  <si>
    <t>CUST1252</t>
  </si>
  <si>
    <t>Rohan 28</t>
  </si>
  <si>
    <t>ORD10059</t>
  </si>
  <si>
    <t>2025-06-26</t>
  </si>
  <si>
    <t>CUST1258</t>
  </si>
  <si>
    <t>Arjun 39</t>
  </si>
  <si>
    <t>ORD10060</t>
  </si>
  <si>
    <t>2025-04-22</t>
  </si>
  <si>
    <t>CUST1620</t>
  </si>
  <si>
    <t>Karan 25</t>
  </si>
  <si>
    <t>ORD10061</t>
  </si>
  <si>
    <t>2026-05-12</t>
  </si>
  <si>
    <t>CUST1688</t>
  </si>
  <si>
    <t>Pooja 1</t>
  </si>
  <si>
    <t>ORD10062</t>
  </si>
  <si>
    <t>2025-03-02</t>
  </si>
  <si>
    <t>CUST1072</t>
  </si>
  <si>
    <t>Meera 1</t>
  </si>
  <si>
    <t>ORD10063</t>
  </si>
  <si>
    <t>2025-03-01</t>
  </si>
  <si>
    <t>CUST1789</t>
  </si>
  <si>
    <t>Karan 41</t>
  </si>
  <si>
    <t>ORD10064</t>
  </si>
  <si>
    <t>2026-03-25</t>
  </si>
  <si>
    <t>Monitor</t>
  </si>
  <si>
    <t>ORD10065</t>
  </si>
  <si>
    <t>2026-04-16</t>
  </si>
  <si>
    <t>Ananya 45</t>
  </si>
  <si>
    <t>ORD10066</t>
  </si>
  <si>
    <t>2026-04-08</t>
  </si>
  <si>
    <t>CUST1172</t>
  </si>
  <si>
    <t>Rohan 6</t>
  </si>
  <si>
    <t>ORD10067</t>
  </si>
  <si>
    <t>2026-06-04</t>
  </si>
  <si>
    <t>CUST1178</t>
  </si>
  <si>
    <t>Aditi 63</t>
  </si>
  <si>
    <t>ORD10068</t>
  </si>
  <si>
    <t>2025-09-21</t>
  </si>
  <si>
    <t>CUST1700</t>
  </si>
  <si>
    <t>Karan 9</t>
  </si>
  <si>
    <t>ORD10069</t>
  </si>
  <si>
    <t>2026-03-03</t>
  </si>
  <si>
    <t>CUST1755</t>
  </si>
  <si>
    <t>Karan 37</t>
  </si>
  <si>
    <t>ORD10070</t>
  </si>
  <si>
    <t>2025-03-18</t>
  </si>
  <si>
    <t>CUST1073</t>
  </si>
  <si>
    <t>ORD10071</t>
  </si>
  <si>
    <t>2025-03-24</t>
  </si>
  <si>
    <t>CUST1495</t>
  </si>
  <si>
    <t>Ananya 80</t>
  </si>
  <si>
    <t>ORD10072</t>
  </si>
  <si>
    <t>2025-08-10</t>
  </si>
  <si>
    <t>CUST1900</t>
  </si>
  <si>
    <t>Rohan 48</t>
  </si>
  <si>
    <t>ORD10073</t>
  </si>
  <si>
    <t>2025-09-23</t>
  </si>
  <si>
    <t>CUST1606</t>
  </si>
  <si>
    <t>Rohan 85</t>
  </si>
  <si>
    <t>ORD10074</t>
  </si>
  <si>
    <t>2026-04-03</t>
  </si>
  <si>
    <t>CUST1588</t>
  </si>
  <si>
    <t>Meera 22</t>
  </si>
  <si>
    <t>ORD10075</t>
  </si>
  <si>
    <t>2026-05-27</t>
  </si>
  <si>
    <t>CUST1060</t>
  </si>
  <si>
    <t>ORD10076</t>
  </si>
  <si>
    <t>2025-03-07</t>
  </si>
  <si>
    <t>CUST1572</t>
  </si>
  <si>
    <t>Kavya 30</t>
  </si>
  <si>
    <t>ORD10077</t>
  </si>
  <si>
    <t>2025-01-05</t>
  </si>
  <si>
    <t>CUST1695</t>
  </si>
  <si>
    <t>Vivek 44</t>
  </si>
  <si>
    <t>ORD10078</t>
  </si>
  <si>
    <t>2026-01-28</t>
  </si>
  <si>
    <t>CUST1501</t>
  </si>
  <si>
    <t>Arjun 59</t>
  </si>
  <si>
    <t>ORD10079</t>
  </si>
  <si>
    <t>2026-02-05</t>
  </si>
  <si>
    <t>CUST1044</t>
  </si>
  <si>
    <t>Ananya 69</t>
  </si>
  <si>
    <t>ORD10080</t>
  </si>
  <si>
    <t>2025-04-25</t>
  </si>
  <si>
    <t>CUST1332</t>
  </si>
  <si>
    <t>Meera 99</t>
  </si>
  <si>
    <t>ORD10081</t>
  </si>
  <si>
    <t>2026-03-22</t>
  </si>
  <si>
    <t>CUST1023</t>
  </si>
  <si>
    <t>Rohan 5</t>
  </si>
  <si>
    <t>ORD10082</t>
  </si>
  <si>
    <t>CUST1086</t>
  </si>
  <si>
    <t>Rohan 23</t>
  </si>
  <si>
    <t>ORD10083</t>
  </si>
  <si>
    <t>2025-10-21</t>
  </si>
  <si>
    <t>CUST1272</t>
  </si>
  <si>
    <t>Ananya 74</t>
  </si>
  <si>
    <t>ORD10084</t>
  </si>
  <si>
    <t>2025-06-21</t>
  </si>
  <si>
    <t>CUST1054</t>
  </si>
  <si>
    <t>Vivek 73</t>
  </si>
  <si>
    <t>ORD10085</t>
  </si>
  <si>
    <t>CUST1335</t>
  </si>
  <si>
    <t>Pooja 76</t>
  </si>
  <si>
    <t>ORD10086</t>
  </si>
  <si>
    <t>2026-05-04</t>
  </si>
  <si>
    <t>CUST1782</t>
  </si>
  <si>
    <t>Karan 83</t>
  </si>
  <si>
    <t>ORD10087</t>
  </si>
  <si>
    <t>2025-01-11</t>
  </si>
  <si>
    <t>CUST1561</t>
  </si>
  <si>
    <t>Pooja 29</t>
  </si>
  <si>
    <t>ORD10088</t>
  </si>
  <si>
    <t>2026-03-29</t>
  </si>
  <si>
    <t>CUST1774</t>
  </si>
  <si>
    <t>Arjun 18</t>
  </si>
  <si>
    <t>ORD10089</t>
  </si>
  <si>
    <t>2025-10-20</t>
  </si>
  <si>
    <t>CUST1010</t>
  </si>
  <si>
    <t>Rohan 59</t>
  </si>
  <si>
    <t>ORD10090</t>
  </si>
  <si>
    <t>2025-11-21</t>
  </si>
  <si>
    <t>CUST1164</t>
  </si>
  <si>
    <t>Kavya 16</t>
  </si>
  <si>
    <t>ORD10091</t>
  </si>
  <si>
    <t>2026-04-10</t>
  </si>
  <si>
    <t>CUST1853</t>
  </si>
  <si>
    <t>Pooja 59</t>
  </si>
  <si>
    <t>ORD10092</t>
  </si>
  <si>
    <t>2026-04-26</t>
  </si>
  <si>
    <t>CUST1904</t>
  </si>
  <si>
    <t>Ananya 1</t>
  </si>
  <si>
    <t>ORD10093</t>
  </si>
  <si>
    <t>2025-07-26</t>
  </si>
  <si>
    <t>CUST1187</t>
  </si>
  <si>
    <t>Vivek 98</t>
  </si>
  <si>
    <t>ORD10094</t>
  </si>
  <si>
    <t>2025-08-12</t>
  </si>
  <si>
    <t>Rohan 57</t>
  </si>
  <si>
    <t>ORD10095</t>
  </si>
  <si>
    <t>2025-08-31</t>
  </si>
  <si>
    <t>Vivek 5</t>
  </si>
  <si>
    <t>ORD10096</t>
  </si>
  <si>
    <t>2026-03-10</t>
  </si>
  <si>
    <t>CUST1585</t>
  </si>
  <si>
    <t>Ananya 78</t>
  </si>
  <si>
    <t>ORD10097</t>
  </si>
  <si>
    <t>2025-12-19</t>
  </si>
  <si>
    <t>CUST1370</t>
  </si>
  <si>
    <t>ORD10098</t>
  </si>
  <si>
    <t>2025-03-15</t>
  </si>
  <si>
    <t>CUST1943</t>
  </si>
  <si>
    <t>Rohan 30</t>
  </si>
  <si>
    <t>ORD10099</t>
  </si>
  <si>
    <t>2025-01-09</t>
  </si>
  <si>
    <t>CUST1778</t>
  </si>
  <si>
    <t>Aditi 62</t>
  </si>
  <si>
    <t>ORD10100</t>
  </si>
  <si>
    <t>CUST1929</t>
  </si>
  <si>
    <t>Aditi 61</t>
  </si>
  <si>
    <t>ORD10101</t>
  </si>
  <si>
    <t>2025-06-24</t>
  </si>
  <si>
    <t>CUST1650</t>
  </si>
  <si>
    <t>Karan 55</t>
  </si>
  <si>
    <t>ORD10102</t>
  </si>
  <si>
    <t>2025-09-16</t>
  </si>
  <si>
    <t>CUST1191</t>
  </si>
  <si>
    <t>Ishaan 50</t>
  </si>
  <si>
    <t>ORD10103</t>
  </si>
  <si>
    <t>2026-02-11</t>
  </si>
  <si>
    <t>CUST1284</t>
  </si>
  <si>
    <t>Aditi 69</t>
  </si>
  <si>
    <t>ORD10104</t>
  </si>
  <si>
    <t>2025-12-15</t>
  </si>
  <si>
    <t>CUST1729</t>
  </si>
  <si>
    <t>Kavya 22</t>
  </si>
  <si>
    <t>ORD10105</t>
  </si>
  <si>
    <t>2026-06-02</t>
  </si>
  <si>
    <t>CUST1377</t>
  </si>
  <si>
    <t>Karan 67</t>
  </si>
  <si>
    <t>ORD10106</t>
  </si>
  <si>
    <t>2026-03-31</t>
  </si>
  <si>
    <t>CUST1224</t>
  </si>
  <si>
    <t>Meera 37</t>
  </si>
  <si>
    <t>ORD10107</t>
  </si>
  <si>
    <t>2025-06-20</t>
  </si>
  <si>
    <t>CUST1920</t>
  </si>
  <si>
    <t>Arjun 69</t>
  </si>
  <si>
    <t>ORD10108</t>
  </si>
  <si>
    <t>2026-01-12</t>
  </si>
  <si>
    <t>Vivek 79</t>
  </si>
  <si>
    <t>ORD10109</t>
  </si>
  <si>
    <t>2025-06-05</t>
  </si>
  <si>
    <t>Meera 77</t>
  </si>
  <si>
    <t>ORD10110</t>
  </si>
  <si>
    <t>2025-02-21</t>
  </si>
  <si>
    <t>CUST1487</t>
  </si>
  <si>
    <t>Ishaan 66</t>
  </si>
  <si>
    <t>ORD10111</t>
  </si>
  <si>
    <t>2025-07-02</t>
  </si>
  <si>
    <t>Ishaan 52</t>
  </si>
  <si>
    <t>ORD10112</t>
  </si>
  <si>
    <t>2026-05-11</t>
  </si>
  <si>
    <t>Pooja 18</t>
  </si>
  <si>
    <t>ORD10113</t>
  </si>
  <si>
    <t>2026-03-27</t>
  </si>
  <si>
    <t>CUST1908</t>
  </si>
  <si>
    <t>Ananya 2</t>
  </si>
  <si>
    <t>ORD10114</t>
  </si>
  <si>
    <t>Vivek 84</t>
  </si>
  <si>
    <t>ORD10115</t>
  </si>
  <si>
    <t>2026-01-30</t>
  </si>
  <si>
    <t>Ishaan 43</t>
  </si>
  <si>
    <t>ORD10116</t>
  </si>
  <si>
    <t>2025-02-27</t>
  </si>
  <si>
    <t>CUST1143</t>
  </si>
  <si>
    <t>Pooja 7</t>
  </si>
  <si>
    <t>ORD10117</t>
  </si>
  <si>
    <t>2026-05-10</t>
  </si>
  <si>
    <t>CUST1281</t>
  </si>
  <si>
    <t>Rohan 65</t>
  </si>
  <si>
    <t>ORD10118</t>
  </si>
  <si>
    <t>2025-07-10</t>
  </si>
  <si>
    <t>CUST1236</t>
  </si>
  <si>
    <t>Vivek 81</t>
  </si>
  <si>
    <t>ORD10119</t>
  </si>
  <si>
    <t>CUST1165</t>
  </si>
  <si>
    <t>Karan 21</t>
  </si>
  <si>
    <t>ORD10120</t>
  </si>
  <si>
    <t>2025-11-18</t>
  </si>
  <si>
    <t>CUST1138</t>
  </si>
  <si>
    <t>Rohan 66</t>
  </si>
  <si>
    <t>ORD10121</t>
  </si>
  <si>
    <t>2025-07-09</t>
  </si>
  <si>
    <t>CUST1797</t>
  </si>
  <si>
    <t>Kavya 54</t>
  </si>
  <si>
    <t>ORD10122</t>
  </si>
  <si>
    <t>2026-05-28</t>
  </si>
  <si>
    <t>CUST1635</t>
  </si>
  <si>
    <t>Ananya 31</t>
  </si>
  <si>
    <t>ORD10123</t>
  </si>
  <si>
    <t>CUST1723</t>
  </si>
  <si>
    <t>Vivek 50</t>
  </si>
  <si>
    <t>ORD10124</t>
  </si>
  <si>
    <t>CUST1885</t>
  </si>
  <si>
    <t>Meera 36</t>
  </si>
  <si>
    <t>ORD10125</t>
  </si>
  <si>
    <t>2026-03-14</t>
  </si>
  <si>
    <t>Rohan 33</t>
  </si>
  <si>
    <t>ORD10126</t>
  </si>
  <si>
    <t>2025-05-20</t>
  </si>
  <si>
    <t>CUST1579</t>
  </si>
  <si>
    <t>Kavya 88</t>
  </si>
  <si>
    <t>ORD10127</t>
  </si>
  <si>
    <t>2025-07-03</t>
  </si>
  <si>
    <t>CUST1168</t>
  </si>
  <si>
    <t>Pooja 34</t>
  </si>
  <si>
    <t>ORD10128</t>
  </si>
  <si>
    <t>2026-04-04</t>
  </si>
  <si>
    <t>CUST1973</t>
  </si>
  <si>
    <t>Ananya 54</t>
  </si>
  <si>
    <t>ORD10129</t>
  </si>
  <si>
    <t>2025-09-06</t>
  </si>
  <si>
    <t>CUST1706</t>
  </si>
  <si>
    <t>Ananya 89</t>
  </si>
  <si>
    <t>ORD10130</t>
  </si>
  <si>
    <t>2025-01-15</t>
  </si>
  <si>
    <t>CUST1303</t>
  </si>
  <si>
    <t>Rohan 22</t>
  </si>
  <si>
    <t>ORD10131</t>
  </si>
  <si>
    <t>2025-05-07</t>
  </si>
  <si>
    <t>CUST1325</t>
  </si>
  <si>
    <t>Ananya 3</t>
  </si>
  <si>
    <t>ORD10132</t>
  </si>
  <si>
    <t>2025-09-13</t>
  </si>
  <si>
    <t>CUST1036</t>
  </si>
  <si>
    <t>Aditi 18</t>
  </si>
  <si>
    <t>ORD10133</t>
  </si>
  <si>
    <t>2025-04-14</t>
  </si>
  <si>
    <t>CUST1450</t>
  </si>
  <si>
    <t>Ishaan 63</t>
  </si>
  <si>
    <t>ORD10134</t>
  </si>
  <si>
    <t>CUST1730</t>
  </si>
  <si>
    <t>Ishaan 69</t>
  </si>
  <si>
    <t>ORD10135</t>
  </si>
  <si>
    <t>2025-06-22</t>
  </si>
  <si>
    <t>CUST1182</t>
  </si>
  <si>
    <t>Karan 78</t>
  </si>
  <si>
    <t>ORD10136</t>
  </si>
  <si>
    <t>2026-03-13</t>
  </si>
  <si>
    <t>CUST1061</t>
  </si>
  <si>
    <t>ORD10137</t>
  </si>
  <si>
    <t>2026-06-15</t>
  </si>
  <si>
    <t>CUST1836</t>
  </si>
  <si>
    <t>ORD10138</t>
  </si>
  <si>
    <t>ORD10139</t>
  </si>
  <si>
    <t>2026-04-25</t>
  </si>
  <si>
    <t>CUST1207</t>
  </si>
  <si>
    <t>ORD10140</t>
  </si>
  <si>
    <t>2026-03-06</t>
  </si>
  <si>
    <t>CUST1987</t>
  </si>
  <si>
    <t>Aditi 57</t>
  </si>
  <si>
    <t>ORD10141</t>
  </si>
  <si>
    <t>2026-06-17</t>
  </si>
  <si>
    <t>CUST1996</t>
  </si>
  <si>
    <t>Karan 61</t>
  </si>
  <si>
    <t>ORD10142</t>
  </si>
  <si>
    <t>2025-02-28</t>
  </si>
  <si>
    <t>CUST1628</t>
  </si>
  <si>
    <t>ORD10143</t>
  </si>
  <si>
    <t>2026-01-06</t>
  </si>
  <si>
    <t>CUST1096</t>
  </si>
  <si>
    <t>Arjun 60</t>
  </si>
  <si>
    <t>ORD10144</t>
  </si>
  <si>
    <t>2025-10-26</t>
  </si>
  <si>
    <t>Vivek 48</t>
  </si>
  <si>
    <t>ORD10145</t>
  </si>
  <si>
    <t>2025-02-25</t>
  </si>
  <si>
    <t>CUST1246</t>
  </si>
  <si>
    <t>Rohan 31</t>
  </si>
  <si>
    <t>ORD10146</t>
  </si>
  <si>
    <t>2025-06-25</t>
  </si>
  <si>
    <t>CUST1686</t>
  </si>
  <si>
    <t>Pooja 94</t>
  </si>
  <si>
    <t>ORD10147</t>
  </si>
  <si>
    <t>2025-11-19</t>
  </si>
  <si>
    <t>CUST1642</t>
  </si>
  <si>
    <t>Arjun 22</t>
  </si>
  <si>
    <t>ORD10148</t>
  </si>
  <si>
    <t>2025-06-27</t>
  </si>
  <si>
    <t>CUST1810</t>
  </si>
  <si>
    <t>Vivek 2</t>
  </si>
  <si>
    <t>ORD10149</t>
  </si>
  <si>
    <t>2026-03-15</t>
  </si>
  <si>
    <t>CUST1144</t>
  </si>
  <si>
    <t>Meera 6</t>
  </si>
  <si>
    <t>ORD10150</t>
  </si>
  <si>
    <t>2025-02-26</t>
  </si>
  <si>
    <t>CUST1912</t>
  </si>
  <si>
    <t>Ananya 53</t>
  </si>
  <si>
    <t>ORD10151</t>
  </si>
  <si>
    <t>2025-10-11</t>
  </si>
  <si>
    <t>CUST1743</t>
  </si>
  <si>
    <t>ORD10152</t>
  </si>
  <si>
    <t>2025-08-17</t>
  </si>
  <si>
    <t>CUST1896</t>
  </si>
  <si>
    <t>Karan 24</t>
  </si>
  <si>
    <t>ORD10153</t>
  </si>
  <si>
    <t>CUST1815</t>
  </si>
  <si>
    <t>Ananya 52</t>
  </si>
  <si>
    <t>ORD10154</t>
  </si>
  <si>
    <t>2026-05-26</t>
  </si>
  <si>
    <t>CUST1985</t>
  </si>
  <si>
    <t>ORD10155</t>
  </si>
  <si>
    <t>2026-06-24</t>
  </si>
  <si>
    <t>CUST1978</t>
  </si>
  <si>
    <t>Meera 63</t>
  </si>
  <si>
    <t>ORD10156</t>
  </si>
  <si>
    <t>2026-03-30</t>
  </si>
  <si>
    <t>CUST1707</t>
  </si>
  <si>
    <t>Pooja 70</t>
  </si>
  <si>
    <t>ORD10157</t>
  </si>
  <si>
    <t>2025-05-11</t>
  </si>
  <si>
    <t>CUST1337</t>
  </si>
  <si>
    <t>ORD10158</t>
  </si>
  <si>
    <t>CUST1041</t>
  </si>
  <si>
    <t>ORD10159</t>
  </si>
  <si>
    <t>2026-05-14</t>
  </si>
  <si>
    <t>CUST1371</t>
  </si>
  <si>
    <t>ORD10160</t>
  </si>
  <si>
    <t>2025-09-12</t>
  </si>
  <si>
    <t>CUST1531</t>
  </si>
  <si>
    <t>Karan 31</t>
  </si>
  <si>
    <t>ORD10161</t>
  </si>
  <si>
    <t>2025-01-20</t>
  </si>
  <si>
    <t>CUST1202</t>
  </si>
  <si>
    <t>Kavya 7</t>
  </si>
  <si>
    <t>ORD10162</t>
  </si>
  <si>
    <t>2025-07-07</t>
  </si>
  <si>
    <t>CUST1200</t>
  </si>
  <si>
    <t>Karan 93</t>
  </si>
  <si>
    <t>ORD10163</t>
  </si>
  <si>
    <t>2025-02-12</t>
  </si>
  <si>
    <t>CUST1040</t>
  </si>
  <si>
    <t>Aditi 98</t>
  </si>
  <si>
    <t>ORD10164</t>
  </si>
  <si>
    <t>Kavya 37</t>
  </si>
  <si>
    <t>ORD10165</t>
  </si>
  <si>
    <t>2026-04-27</t>
  </si>
  <si>
    <t>CUST1756</t>
  </si>
  <si>
    <t>Karan 46</t>
  </si>
  <si>
    <t>ORD10166</t>
  </si>
  <si>
    <t>2025-04-30</t>
  </si>
  <si>
    <t>CUST1530</t>
  </si>
  <si>
    <t>Rohan 34</t>
  </si>
  <si>
    <t>ORD10167</t>
  </si>
  <si>
    <t>2026-01-16</t>
  </si>
  <si>
    <t>CUST1433</t>
  </si>
  <si>
    <t>Kavya 98</t>
  </si>
  <si>
    <t>ORD10168</t>
  </si>
  <si>
    <t>2025-08-22</t>
  </si>
  <si>
    <t>CUST1230</t>
  </si>
  <si>
    <t>Kavya 45</t>
  </si>
  <si>
    <t>ORD10169</t>
  </si>
  <si>
    <t>2026-02-18</t>
  </si>
  <si>
    <t>CUST1660</t>
  </si>
  <si>
    <t>Pooja 83</t>
  </si>
  <si>
    <t>ORD10170</t>
  </si>
  <si>
    <t>CUST1147</t>
  </si>
  <si>
    <t>Kavya 8</t>
  </si>
  <si>
    <t>ORD10171</t>
  </si>
  <si>
    <t>2026-06-05</t>
  </si>
  <si>
    <t>CUST1473</t>
  </si>
  <si>
    <t>Aditi 42</t>
  </si>
  <si>
    <t>ORD10172</t>
  </si>
  <si>
    <t>2026-05-03</t>
  </si>
  <si>
    <t>CUST1148</t>
  </si>
  <si>
    <t>ORD10173</t>
  </si>
  <si>
    <t>CUST1954</t>
  </si>
  <si>
    <t>Ishaan 38</t>
  </si>
  <si>
    <t>ORD10174</t>
  </si>
  <si>
    <t>CUST1637</t>
  </si>
  <si>
    <t>Vivek 30</t>
  </si>
  <si>
    <t>ORD10175</t>
  </si>
  <si>
    <t>CUST1481</t>
  </si>
  <si>
    <t>Aditi 72</t>
  </si>
  <si>
    <t>ORD10176</t>
  </si>
  <si>
    <t>2025-01-23</t>
  </si>
  <si>
    <t>CUST1870</t>
  </si>
  <si>
    <t>Rohan 43</t>
  </si>
  <si>
    <t>ORD10177</t>
  </si>
  <si>
    <t>2025-06-14</t>
  </si>
  <si>
    <t>CUST1875</t>
  </si>
  <si>
    <t>ORD10178</t>
  </si>
  <si>
    <t>2026-03-24</t>
  </si>
  <si>
    <t>Aditi 68</t>
  </si>
  <si>
    <t>ORD10179</t>
  </si>
  <si>
    <t>2025-09-19</t>
  </si>
  <si>
    <t>CUST1877</t>
  </si>
  <si>
    <t>Ishaan 79</t>
  </si>
  <si>
    <t>ORD10180</t>
  </si>
  <si>
    <t>CUST1075</t>
  </si>
  <si>
    <t>Aditi 35</t>
  </si>
  <si>
    <t>ORD10181</t>
  </si>
  <si>
    <t>2025-11-05</t>
  </si>
  <si>
    <t>CUST1612</t>
  </si>
  <si>
    <t>Pooja 48</t>
  </si>
  <si>
    <t>ORD10182</t>
  </si>
  <si>
    <t>CUST1364</t>
  </si>
  <si>
    <t>Karan 2</t>
  </si>
  <si>
    <t>ORD10183</t>
  </si>
  <si>
    <t>CUST1945</t>
  </si>
  <si>
    <t>ORD10184</t>
  </si>
  <si>
    <t>2025-10-12</t>
  </si>
  <si>
    <t>CUST1413</t>
  </si>
  <si>
    <t>ORD10185</t>
  </si>
  <si>
    <t>2025-03-31</t>
  </si>
  <si>
    <t>Pooja 61</t>
  </si>
  <si>
    <t>ORD10186</t>
  </si>
  <si>
    <t>2025-05-31</t>
  </si>
  <si>
    <t>CUST1480</t>
  </si>
  <si>
    <t>Karan 73</t>
  </si>
  <si>
    <t>ORD10187</t>
  </si>
  <si>
    <t>CUST1441</t>
  </si>
  <si>
    <t>Pooja 73</t>
  </si>
  <si>
    <t>ORD10188</t>
  </si>
  <si>
    <t>2026-05-29</t>
  </si>
  <si>
    <t>CUST1832</t>
  </si>
  <si>
    <t>Kavya 35</t>
  </si>
  <si>
    <t>ORD10189</t>
  </si>
  <si>
    <t>2026-06-06</t>
  </si>
  <si>
    <t>CUST1941</t>
  </si>
  <si>
    <t>Pooja 98</t>
  </si>
  <si>
    <t>ORD10190</t>
  </si>
  <si>
    <t>2025-05-18</t>
  </si>
  <si>
    <t>CUST1437</t>
  </si>
  <si>
    <t>Arjun 13</t>
  </si>
  <si>
    <t>ORD10191</t>
  </si>
  <si>
    <t>2026-05-15</t>
  </si>
  <si>
    <t>Arjun 3</t>
  </si>
  <si>
    <t>ORD10192</t>
  </si>
  <si>
    <t>2025-02-15</t>
  </si>
  <si>
    <t>Pooja 55</t>
  </si>
  <si>
    <t>ORD10193</t>
  </si>
  <si>
    <t>2026-05-20</t>
  </si>
  <si>
    <t>CUST1739</t>
  </si>
  <si>
    <t>Kavya 86</t>
  </si>
  <si>
    <t>ORD10194</t>
  </si>
  <si>
    <t>CUST1655</t>
  </si>
  <si>
    <t>Vivek 21</t>
  </si>
  <si>
    <t>ORD10195</t>
  </si>
  <si>
    <t>Rohan 64</t>
  </si>
  <si>
    <t>ORD10196</t>
  </si>
  <si>
    <t>CUST1526</t>
  </si>
  <si>
    <t>Meera 95</t>
  </si>
  <si>
    <t>ORD10197</t>
  </si>
  <si>
    <t>2025-12-31</t>
  </si>
  <si>
    <t>CUST1621</t>
  </si>
  <si>
    <t>Aditi 29</t>
  </si>
  <si>
    <t>ORD10198</t>
  </si>
  <si>
    <t>ORD10199</t>
  </si>
  <si>
    <t>2025-04-24</t>
  </si>
  <si>
    <t>CUST1064</t>
  </si>
  <si>
    <t>Ishaan 34</t>
  </si>
  <si>
    <t>ORD10200</t>
  </si>
  <si>
    <t>2025-11-11</t>
  </si>
  <si>
    <t>Ananya 4</t>
  </si>
  <si>
    <t>ORD10201</t>
  </si>
  <si>
    <t>2025-01-12</t>
  </si>
  <si>
    <t>CUST1874</t>
  </si>
  <si>
    <t>Ishaan 23</t>
  </si>
  <si>
    <t>ORD10202</t>
  </si>
  <si>
    <t>2026-06-23</t>
  </si>
  <si>
    <t>Karan 23</t>
  </si>
  <si>
    <t>ORD10203</t>
  </si>
  <si>
    <t>CUST1310</t>
  </si>
  <si>
    <t>Ishaan 56</t>
  </si>
  <si>
    <t>ORD10204</t>
  </si>
  <si>
    <t>2025-01-18</t>
  </si>
  <si>
    <t>CUST1016</t>
  </si>
  <si>
    <t>Arjun 68</t>
  </si>
  <si>
    <t>ORD10205</t>
  </si>
  <si>
    <t>2025-08-28</t>
  </si>
  <si>
    <t>CUST1712</t>
  </si>
  <si>
    <t>Meera 3</t>
  </si>
  <si>
    <t>ORD10206</t>
  </si>
  <si>
    <t>CUST1410</t>
  </si>
  <si>
    <t>ORD10207</t>
  </si>
  <si>
    <t>2025-07-27</t>
  </si>
  <si>
    <t>CUST1844</t>
  </si>
  <si>
    <t>Karan 40</t>
  </si>
  <si>
    <t>ORD10208</t>
  </si>
  <si>
    <t>2025-04-02</t>
  </si>
  <si>
    <t>CUST1568</t>
  </si>
  <si>
    <t>Meera 14</t>
  </si>
  <si>
    <t>ORD10209</t>
  </si>
  <si>
    <t>CUST1379</t>
  </si>
  <si>
    <t>Aditi 6</t>
  </si>
  <si>
    <t>ORD10210</t>
  </si>
  <si>
    <t>2025-12-23</t>
  </si>
  <si>
    <t>CUST1888</t>
  </si>
  <si>
    <t>ORD10211</t>
  </si>
  <si>
    <t>2025-04-28</t>
  </si>
  <si>
    <t>CUST1051</t>
  </si>
  <si>
    <t>ORD10212</t>
  </si>
  <si>
    <t>CUST1269</t>
  </si>
  <si>
    <t>Vivek 9</t>
  </si>
  <si>
    <t>ORD10213</t>
  </si>
  <si>
    <t>CUST1088</t>
  </si>
  <si>
    <t>Ishaan 70</t>
  </si>
  <si>
    <t>ORD10214</t>
  </si>
  <si>
    <t>2025-03-14</t>
  </si>
  <si>
    <t>CUST1857</t>
  </si>
  <si>
    <t>Arjun 8</t>
  </si>
  <si>
    <t>ORD10215</t>
  </si>
  <si>
    <t>2026-01-10</t>
  </si>
  <si>
    <t>CUST1238</t>
  </si>
  <si>
    <t>Kavya 4</t>
  </si>
  <si>
    <t>ORD10216</t>
  </si>
  <si>
    <t>CUST1316</t>
  </si>
  <si>
    <t>Karan 51</t>
  </si>
  <si>
    <t>ORD10217</t>
  </si>
  <si>
    <t>CUST1436</t>
  </si>
  <si>
    <t>Rohan 29</t>
  </si>
  <si>
    <t>ORD10218</t>
  </si>
  <si>
    <t>CUST1245</t>
  </si>
  <si>
    <t>Karan 14</t>
  </si>
  <si>
    <t>ORD10219</t>
  </si>
  <si>
    <t>2025-10-07</t>
  </si>
  <si>
    <t>CUST1477</t>
  </si>
  <si>
    <t>Kavya 27</t>
  </si>
  <si>
    <t>ORD10220</t>
  </si>
  <si>
    <t>2026-03-04</t>
  </si>
  <si>
    <t>CUST1021</t>
  </si>
  <si>
    <t>Karan 1</t>
  </si>
  <si>
    <t>ORD10221</t>
  </si>
  <si>
    <t>CUST1350</t>
  </si>
  <si>
    <t>Aditi 31</t>
  </si>
  <si>
    <t>ORD10222</t>
  </si>
  <si>
    <t>CUST1909</t>
  </si>
  <si>
    <t>Ishaan 64</t>
  </si>
  <si>
    <t>ORD10223</t>
  </si>
  <si>
    <t>2025-08-13</t>
  </si>
  <si>
    <t>ORD10224</t>
  </si>
  <si>
    <t>CUST1136</t>
  </si>
  <si>
    <t>Kavya 13</t>
  </si>
  <si>
    <t>ORD10225</t>
  </si>
  <si>
    <t>2025-01-06</t>
  </si>
  <si>
    <t>Arjun 29</t>
  </si>
  <si>
    <t>ORD10226</t>
  </si>
  <si>
    <t>2025-11-22</t>
  </si>
  <si>
    <t>Ananya 62</t>
  </si>
  <si>
    <t>ORD10227</t>
  </si>
  <si>
    <t>2025-12-28</t>
  </si>
  <si>
    <t>CUST1066</t>
  </si>
  <si>
    <t>Aditi 92</t>
  </si>
  <si>
    <t>ORD10228</t>
  </si>
  <si>
    <t>2025-12-26</t>
  </si>
  <si>
    <t>CUST1145</t>
  </si>
  <si>
    <t>Meera 68</t>
  </si>
  <si>
    <t>ORD10229</t>
  </si>
  <si>
    <t>2025-10-04</t>
  </si>
  <si>
    <t>CUST1758</t>
  </si>
  <si>
    <t>Arjun 91</t>
  </si>
  <si>
    <t>ORD10230</t>
  </si>
  <si>
    <t>2025-05-03</t>
  </si>
  <si>
    <t>CUST1127</t>
  </si>
  <si>
    <t>Vivek 6</t>
  </si>
  <si>
    <t>ORD10231</t>
  </si>
  <si>
    <t>CUST1483</t>
  </si>
  <si>
    <t>ORD10232</t>
  </si>
  <si>
    <t>2025-05-08</t>
  </si>
  <si>
    <t>CUST1942</t>
  </si>
  <si>
    <t>ORD10233</t>
  </si>
  <si>
    <t>2025-03-09</t>
  </si>
  <si>
    <t>CUST1110</t>
  </si>
  <si>
    <t>Rohan 81</t>
  </si>
  <si>
    <t>ORD10234</t>
  </si>
  <si>
    <t>CUST1324</t>
  </si>
  <si>
    <t>Meera 87</t>
  </si>
  <si>
    <t>ORD10235</t>
  </si>
  <si>
    <t>2025-01-27</t>
  </si>
  <si>
    <t>ORD10236</t>
  </si>
  <si>
    <t>2026-05-05</t>
  </si>
  <si>
    <t>CUST1248</t>
  </si>
  <si>
    <t>ORD10237</t>
  </si>
  <si>
    <t>2025-04-07</t>
  </si>
  <si>
    <t>CUST1867</t>
  </si>
  <si>
    <t>Pooja 56</t>
  </si>
  <si>
    <t>ORD10238</t>
  </si>
  <si>
    <t>2026-02-02</t>
  </si>
  <si>
    <t>ORD10239</t>
  </si>
  <si>
    <t>2026-03-21</t>
  </si>
  <si>
    <t>CUST1851</t>
  </si>
  <si>
    <t>Kavya 19</t>
  </si>
  <si>
    <t>ORD10240</t>
  </si>
  <si>
    <t>2025-09-05</t>
  </si>
  <si>
    <t>CUST1029</t>
  </si>
  <si>
    <t>ORD10241</t>
  </si>
  <si>
    <t>2026-04-13</t>
  </si>
  <si>
    <t>Meera 61</t>
  </si>
  <si>
    <t>ORD10242</t>
  </si>
  <si>
    <t>2026-04-11</t>
  </si>
  <si>
    <t>CUST1805</t>
  </si>
  <si>
    <t>Kavya 31</t>
  </si>
  <si>
    <t>ORD10243</t>
  </si>
  <si>
    <t>CUST1117</t>
  </si>
  <si>
    <t>Ishaan 60</t>
  </si>
  <si>
    <t>ORD10244</t>
  </si>
  <si>
    <t>CUST1261</t>
  </si>
  <si>
    <t>Karan 87</t>
  </si>
  <si>
    <t>ORD10245</t>
  </si>
  <si>
    <t>2025-10-28</t>
  </si>
  <si>
    <t>CUST1280</t>
  </si>
  <si>
    <t>Aditi 83</t>
  </si>
  <si>
    <t>ORD10246</t>
  </si>
  <si>
    <t>CUST1683</t>
  </si>
  <si>
    <t>Ananya 12</t>
  </si>
  <si>
    <t>ORD10247</t>
  </si>
  <si>
    <t>2026-01-03</t>
  </si>
  <si>
    <t>CUST1294</t>
  </si>
  <si>
    <t>Rohan 86</t>
  </si>
  <si>
    <t>ORD10248</t>
  </si>
  <si>
    <t>CUST1241</t>
  </si>
  <si>
    <t>Pooja 51</t>
  </si>
  <si>
    <t>ORD10249</t>
  </si>
  <si>
    <t>2026-02-15</t>
  </si>
  <si>
    <t>CUST1705</t>
  </si>
  <si>
    <t>Pooja 81</t>
  </si>
  <si>
    <t>ORD10250</t>
  </si>
  <si>
    <t>2025-08-27</t>
  </si>
  <si>
    <t>CUST1141</t>
  </si>
  <si>
    <t>ORD10251</t>
  </si>
  <si>
    <t>ORD10252</t>
  </si>
  <si>
    <t>2026-01-21</t>
  </si>
  <si>
    <t>Karan 50</t>
  </si>
  <si>
    <t>ORD10253</t>
  </si>
  <si>
    <t>2026-06-08</t>
  </si>
  <si>
    <t>CUST1881</t>
  </si>
  <si>
    <t>Kavya 29</t>
  </si>
  <si>
    <t>ORD10254</t>
  </si>
  <si>
    <t>CUST1188</t>
  </si>
  <si>
    <t>Aditi 26</t>
  </si>
  <si>
    <t>ORD10255</t>
  </si>
  <si>
    <t>CUST1537</t>
  </si>
  <si>
    <t>Ananya 11</t>
  </si>
  <si>
    <t>ORD10256</t>
  </si>
  <si>
    <t>CUST1079</t>
  </si>
  <si>
    <t>Meera 32</t>
  </si>
  <si>
    <t>ORD10257</t>
  </si>
  <si>
    <t>CUST1068</t>
  </si>
  <si>
    <t>Aditi 74</t>
  </si>
  <si>
    <t>ORD10258</t>
  </si>
  <si>
    <t>2025-02-11</t>
  </si>
  <si>
    <t>CUST1545</t>
  </si>
  <si>
    <t>Aditi 48</t>
  </si>
  <si>
    <t>ORD10259</t>
  </si>
  <si>
    <t>2026-06-16</t>
  </si>
  <si>
    <t>Aditi 12</t>
  </si>
  <si>
    <t>ORD10260</t>
  </si>
  <si>
    <t>CUST1780</t>
  </si>
  <si>
    <t>ORD10261</t>
  </si>
  <si>
    <t>2025-05-30</t>
  </si>
  <si>
    <t>CUST1101</t>
  </si>
  <si>
    <t>Ishaan 20</t>
  </si>
  <si>
    <t>ORD10262</t>
  </si>
  <si>
    <t>2025-09-18</t>
  </si>
  <si>
    <t>CUST1647</t>
  </si>
  <si>
    <t>ORD10263</t>
  </si>
  <si>
    <t>CUST1981</t>
  </si>
  <si>
    <t>Aditi 71</t>
  </si>
  <si>
    <t>ORD10264</t>
  </si>
  <si>
    <t>CUST1952</t>
  </si>
  <si>
    <t>ORD10265</t>
  </si>
  <si>
    <t>Kavya 32</t>
  </si>
  <si>
    <t>ORD10266</t>
  </si>
  <si>
    <t>2026-06-10</t>
  </si>
  <si>
    <t>Aditi 7</t>
  </si>
  <si>
    <t>ORD10267</t>
  </si>
  <si>
    <t>2025-08-04</t>
  </si>
  <si>
    <t>CUST1049</t>
  </si>
  <si>
    <t>Karan 68</t>
  </si>
  <si>
    <t>ORD10268</t>
  </si>
  <si>
    <t>ORD10269</t>
  </si>
  <si>
    <t>2026-01-02</t>
  </si>
  <si>
    <t>CUST1015</t>
  </si>
  <si>
    <t>Vivek 37</t>
  </si>
  <si>
    <t>ORD10270</t>
  </si>
  <si>
    <t>CUST1028</t>
  </si>
  <si>
    <t>Karan 15</t>
  </si>
  <si>
    <t>ORD10271</t>
  </si>
  <si>
    <t>2025-04-29</t>
  </si>
  <si>
    <t>CUST1311</t>
  </si>
  <si>
    <t>ORD10272</t>
  </si>
  <si>
    <t>2026-03-01</t>
  </si>
  <si>
    <t>CUST1514</t>
  </si>
  <si>
    <t>ORD10273</t>
  </si>
  <si>
    <t>CUST1975</t>
  </si>
  <si>
    <t>ORD10274</t>
  </si>
  <si>
    <t>2025-09-29</t>
  </si>
  <si>
    <t>CUST1418</t>
  </si>
  <si>
    <t>Rohan 14</t>
  </si>
  <si>
    <t>ORD10275</t>
  </si>
  <si>
    <t>2026-05-18</t>
  </si>
  <si>
    <t>CUST1962</t>
  </si>
  <si>
    <t>Arjun 34</t>
  </si>
  <si>
    <t>ORD10276</t>
  </si>
  <si>
    <t>2025-11-04</t>
  </si>
  <si>
    <t>Kavya 44</t>
  </si>
  <si>
    <t>ORD10277</t>
  </si>
  <si>
    <t>CUST1829</t>
  </si>
  <si>
    <t>Rohan 53</t>
  </si>
  <si>
    <t>ORD10278</t>
  </si>
  <si>
    <t>2025-02-04</t>
  </si>
  <si>
    <t>CUST1464</t>
  </si>
  <si>
    <t>Vivek 28</t>
  </si>
  <si>
    <t>ORD10279</t>
  </si>
  <si>
    <t>CUST1542</t>
  </si>
  <si>
    <t>ORD10280</t>
  </si>
  <si>
    <t>ORD10281</t>
  </si>
  <si>
    <t>2026-06-11</t>
  </si>
  <si>
    <t>CUST1129</t>
  </si>
  <si>
    <t>Ishaan 5</t>
  </si>
  <si>
    <t>ORD10282</t>
  </si>
  <si>
    <t>CUST1283</t>
  </si>
  <si>
    <t>Ishaan 49</t>
  </si>
  <si>
    <t>ORD10283</t>
  </si>
  <si>
    <t>2025-05-05</t>
  </si>
  <si>
    <t>CUST1162</t>
  </si>
  <si>
    <t>Pooja 77</t>
  </si>
  <si>
    <t>ORD10284</t>
  </si>
  <si>
    <t>Vivek 58</t>
  </si>
  <si>
    <t>ORD10285</t>
  </si>
  <si>
    <t>2026-02-01</t>
  </si>
  <si>
    <t>CUST1956</t>
  </si>
  <si>
    <t>Kavya 9</t>
  </si>
  <si>
    <t>ORD10286</t>
  </si>
  <si>
    <t>CUST1352</t>
  </si>
  <si>
    <t>Ananya 17</t>
  </si>
  <si>
    <t>ORD10287</t>
  </si>
  <si>
    <t>2025-07-12</t>
  </si>
  <si>
    <t>CUST1057</t>
  </si>
  <si>
    <t>ORD10288</t>
  </si>
  <si>
    <t>CUST1560</t>
  </si>
  <si>
    <t>Vivek 23</t>
  </si>
  <si>
    <t>ORD10289</t>
  </si>
  <si>
    <t>2025-10-31</t>
  </si>
  <si>
    <t>CUST1496</t>
  </si>
  <si>
    <t>Arjun 30</t>
  </si>
  <si>
    <t>ORD10290</t>
  </si>
  <si>
    <t>CUST1374</t>
  </si>
  <si>
    <t>Kavya 38</t>
  </si>
  <si>
    <t>ORD10291</t>
  </si>
  <si>
    <t>CUST1625</t>
  </si>
  <si>
    <t>ORD10292</t>
  </si>
  <si>
    <t>2025-09-04</t>
  </si>
  <si>
    <t>CUST1726</t>
  </si>
  <si>
    <t>ORD10293</t>
  </si>
  <si>
    <t>2025-10-25</t>
  </si>
  <si>
    <t>Ananya 13</t>
  </si>
  <si>
    <t>ORD10294</t>
  </si>
  <si>
    <t>CUST1569</t>
  </si>
  <si>
    <t>ORD10295</t>
  </si>
  <si>
    <t>2025-04-16</t>
  </si>
  <si>
    <t>CUST1292</t>
  </si>
  <si>
    <t>Ishaan 40</t>
  </si>
  <si>
    <t>ORD10296</t>
  </si>
  <si>
    <t>2025-04-06</t>
  </si>
  <si>
    <t>CUST1157</t>
  </si>
  <si>
    <t>Ananya 47</t>
  </si>
  <si>
    <t>ORD10297</t>
  </si>
  <si>
    <t>ORD10298</t>
  </si>
  <si>
    <t>CUST1781</t>
  </si>
  <si>
    <t>Meera 18</t>
  </si>
  <si>
    <t>ORD10299</t>
  </si>
  <si>
    <t>CUST1254</t>
  </si>
  <si>
    <t>Arjun 15</t>
  </si>
  <si>
    <t>ORD10300</t>
  </si>
  <si>
    <t>CUST1463</t>
  </si>
  <si>
    <t>Ananya 5</t>
  </si>
  <si>
    <t>ORD10301</t>
  </si>
  <si>
    <t>2026-01-15</t>
  </si>
  <si>
    <t>CUST1177</t>
  </si>
  <si>
    <t>Ananya 9</t>
  </si>
  <si>
    <t>ORD10302</t>
  </si>
  <si>
    <t>2025-11-23</t>
  </si>
  <si>
    <t>CUST1150</t>
  </si>
  <si>
    <t>Rohan 38</t>
  </si>
  <si>
    <t>ORD10303</t>
  </si>
  <si>
    <t>CUST1882</t>
  </si>
  <si>
    <t>Ananya 27</t>
  </si>
  <si>
    <t>ORD10304</t>
  </si>
  <si>
    <t>ORD10305</t>
  </si>
  <si>
    <t>2025-06-09</t>
  </si>
  <si>
    <t>CUST1331</t>
  </si>
  <si>
    <t>ORD10306</t>
  </si>
  <si>
    <t>Ananya 55</t>
  </si>
  <si>
    <t>ORD10307</t>
  </si>
  <si>
    <t>2025-08-02</t>
  </si>
  <si>
    <t>CUST1769</t>
  </si>
  <si>
    <t>ORD10308</t>
  </si>
  <si>
    <t>2026-02-04</t>
  </si>
  <si>
    <t>Arjun 33</t>
  </si>
  <si>
    <t>ORD10309</t>
  </si>
  <si>
    <t>CUST1946</t>
  </si>
  <si>
    <t>Aditi 81</t>
  </si>
  <si>
    <t>ORD10310</t>
  </si>
  <si>
    <t>2025-09-11</t>
  </si>
  <si>
    <t>CUST1126</t>
  </si>
  <si>
    <t>Kavya 6</t>
  </si>
  <si>
    <t>ORD10311</t>
  </si>
  <si>
    <t>CUST1235</t>
  </si>
  <si>
    <t>Ananya 32</t>
  </si>
  <si>
    <t>ORD10312</t>
  </si>
  <si>
    <t>CUST1278</t>
  </si>
  <si>
    <t>ORD10313</t>
  </si>
  <si>
    <t>CUST1009</t>
  </si>
  <si>
    <t>Vivek 85</t>
  </si>
  <si>
    <t>ORD10314</t>
  </si>
  <si>
    <t>2025-01-01</t>
  </si>
  <si>
    <t>CUST1997</t>
  </si>
  <si>
    <t>ORD10315</t>
  </si>
  <si>
    <t>Ishaan 35</t>
  </si>
  <si>
    <t>ORD10316</t>
  </si>
  <si>
    <t>CUST1385</t>
  </si>
  <si>
    <t>Vivek 54</t>
  </si>
  <si>
    <t>ORD10317</t>
  </si>
  <si>
    <t>CUST1231</t>
  </si>
  <si>
    <t>Vivek 10</t>
  </si>
  <si>
    <t>ORD10318</t>
  </si>
  <si>
    <t>CUST1190</t>
  </si>
  <si>
    <t>ORD10319</t>
  </si>
  <si>
    <t>CUST1919</t>
  </si>
  <si>
    <t>Vivek 78</t>
  </si>
  <si>
    <t>ORD10320</t>
  </si>
  <si>
    <t>2026-04-07</t>
  </si>
  <si>
    <t>CUST1359</t>
  </si>
  <si>
    <t>Karan 30</t>
  </si>
  <si>
    <t>ORD10321</t>
  </si>
  <si>
    <t>2026-06-19</t>
  </si>
  <si>
    <t>ORD10322</t>
  </si>
  <si>
    <t>2025-12-04</t>
  </si>
  <si>
    <t>CUST1038</t>
  </si>
  <si>
    <t>Arjun 52</t>
  </si>
  <si>
    <t>ORD10323</t>
  </si>
  <si>
    <t>2025-06-04</t>
  </si>
  <si>
    <t>CUST1156</t>
  </si>
  <si>
    <t>Kavya 10</t>
  </si>
  <si>
    <t>ORD10324</t>
  </si>
  <si>
    <t>2025-09-08</t>
  </si>
  <si>
    <t>CUST1262</t>
  </si>
  <si>
    <t>Pooja 28</t>
  </si>
  <si>
    <t>ORD10325</t>
  </si>
  <si>
    <t>2026-02-08</t>
  </si>
  <si>
    <t>CUST1176</t>
  </si>
  <si>
    <t>Ishaan 88</t>
  </si>
  <si>
    <t>ORD10326</t>
  </si>
  <si>
    <t>2025-11-01</t>
  </si>
  <si>
    <t>CUST1820</t>
  </si>
  <si>
    <t>Vivek 16</t>
  </si>
  <si>
    <t>ORD10327</t>
  </si>
  <si>
    <t>2026-02-17</t>
  </si>
  <si>
    <t>Ananya 22</t>
  </si>
  <si>
    <t>ORD10328</t>
  </si>
  <si>
    <t>CUST1452</t>
  </si>
  <si>
    <t>Ananya 10</t>
  </si>
  <si>
    <t>ORD10329</t>
  </si>
  <si>
    <t>2025-10-15</t>
  </si>
  <si>
    <t>ORD10330</t>
  </si>
  <si>
    <t>2025-12-10</t>
  </si>
  <si>
    <t>CUST1384</t>
  </si>
  <si>
    <t>ORD10331</t>
  </si>
  <si>
    <t>CUST1449</t>
  </si>
  <si>
    <t>ORD10332</t>
  </si>
  <si>
    <t>2025-04-15</t>
  </si>
  <si>
    <t>CUST1703</t>
  </si>
  <si>
    <t>Ishaan 94</t>
  </si>
  <si>
    <t>ORD10333</t>
  </si>
  <si>
    <t>2025-12-17</t>
  </si>
  <si>
    <t>CUST1767</t>
  </si>
  <si>
    <t>Vivek 92</t>
  </si>
  <si>
    <t>ORD10334</t>
  </si>
  <si>
    <t>2025-10-17</t>
  </si>
  <si>
    <t>CUST1740</t>
  </si>
  <si>
    <t>Ananya 36</t>
  </si>
  <si>
    <t>ORD10335</t>
  </si>
  <si>
    <t>CUST1725</t>
  </si>
  <si>
    <t>Pooja 6</t>
  </si>
  <si>
    <t>ORD10336</t>
  </si>
  <si>
    <t>CUST1676</t>
  </si>
  <si>
    <t>Meera 15</t>
  </si>
  <si>
    <t>ORD10337</t>
  </si>
  <si>
    <t>2026-05-06</t>
  </si>
  <si>
    <t>CUST1210</t>
  </si>
  <si>
    <t>Kavya 28</t>
  </si>
  <si>
    <t>ORD10338</t>
  </si>
  <si>
    <t>ORD10339</t>
  </si>
  <si>
    <t>2025-05-13</t>
  </si>
  <si>
    <t>Ishaan 59</t>
  </si>
  <si>
    <t>ORD10340</t>
  </si>
  <si>
    <t>2025-05-26</t>
  </si>
  <si>
    <t>Ishaan 99</t>
  </si>
  <si>
    <t>ORD10341</t>
  </si>
  <si>
    <t>2025-05-27</t>
  </si>
  <si>
    <t>CUST1087</t>
  </si>
  <si>
    <t>Ishaan 30</t>
  </si>
  <si>
    <t>ORD10342</t>
  </si>
  <si>
    <t>2026-02-21</t>
  </si>
  <si>
    <t>Pooja 49</t>
  </si>
  <si>
    <t>ORD10343</t>
  </si>
  <si>
    <t>2025-04-10</t>
  </si>
  <si>
    <t>CUST1274</t>
  </si>
  <si>
    <t>Arjun 40</t>
  </si>
  <si>
    <t>ORD10344</t>
  </si>
  <si>
    <t>2026-03-07</t>
  </si>
  <si>
    <t>ORD10345</t>
  </si>
  <si>
    <t>CUST1472</t>
  </si>
  <si>
    <t>Ananya 18</t>
  </si>
  <si>
    <t>ORD10346</t>
  </si>
  <si>
    <t>2025-09-03</t>
  </si>
  <si>
    <t>CUST1630</t>
  </si>
  <si>
    <t>ORD10347</t>
  </si>
  <si>
    <t>2025-12-06</t>
  </si>
  <si>
    <t>CUST1915</t>
  </si>
  <si>
    <t>ORD10348</t>
  </si>
  <si>
    <t>2026-03-16</t>
  </si>
  <si>
    <t>Karan 18</t>
  </si>
  <si>
    <t>ORD10349</t>
  </si>
  <si>
    <t>2026-04-12</t>
  </si>
  <si>
    <t>CUST1986</t>
  </si>
  <si>
    <t>ORD10350</t>
  </si>
  <si>
    <t>2025-05-29</t>
  </si>
  <si>
    <t>CUST1796</t>
  </si>
  <si>
    <t>Rohan 27</t>
  </si>
  <si>
    <t>ORD10351</t>
  </si>
  <si>
    <t>CUST1425</t>
  </si>
  <si>
    <t>Arjun 32</t>
  </si>
  <si>
    <t>ORD10352</t>
  </si>
  <si>
    <t>Aditi 80</t>
  </si>
  <si>
    <t>ORD10353</t>
  </si>
  <si>
    <t>2026-05-07</t>
  </si>
  <si>
    <t>CUST1214</t>
  </si>
  <si>
    <t>Ananya 8</t>
  </si>
  <si>
    <t>ORD10354</t>
  </si>
  <si>
    <t>CUST1846</t>
  </si>
  <si>
    <t>ORD10355</t>
  </si>
  <si>
    <t>CUST1453</t>
  </si>
  <si>
    <t>Karan 85</t>
  </si>
  <si>
    <t>ORD10356</t>
  </si>
  <si>
    <t>2026-05-24</t>
  </si>
  <si>
    <t>CUST1562</t>
  </si>
  <si>
    <t>Kavya 95</t>
  </si>
  <si>
    <t>ORD10357</t>
  </si>
  <si>
    <t>CUST1149</t>
  </si>
  <si>
    <t>Meera 92</t>
  </si>
  <si>
    <t>ORD10358</t>
  </si>
  <si>
    <t>2025-07-24</t>
  </si>
  <si>
    <t>Karan 70</t>
  </si>
  <si>
    <t>ORD10359</t>
  </si>
  <si>
    <t>CUST1125</t>
  </si>
  <si>
    <t>Karan 82</t>
  </si>
  <si>
    <t>ORD10360</t>
  </si>
  <si>
    <t>2025-03-17</t>
  </si>
  <si>
    <t>CUST1034</t>
  </si>
  <si>
    <t>Kavya 52</t>
  </si>
  <si>
    <t>ORD10361</t>
  </si>
  <si>
    <t>2026-01-18</t>
  </si>
  <si>
    <t>ORD10362</t>
  </si>
  <si>
    <t>2025-04-26</t>
  </si>
  <si>
    <t>CUST1260</t>
  </si>
  <si>
    <t>Karan 26</t>
  </si>
  <si>
    <t>ORD10363</t>
  </si>
  <si>
    <t>Ishaan 44</t>
  </si>
  <si>
    <t>ORD10364</t>
  </si>
  <si>
    <t>2026-04-30</t>
  </si>
  <si>
    <t>CUST1081</t>
  </si>
  <si>
    <t>Arjun 71</t>
  </si>
  <si>
    <t>ORD10365</t>
  </si>
  <si>
    <t>2026-05-30</t>
  </si>
  <si>
    <t>CUST1916</t>
  </si>
  <si>
    <t>Meera 91</t>
  </si>
  <si>
    <t>ORD10366</t>
  </si>
  <si>
    <t>CUST1670</t>
  </si>
  <si>
    <t>ORD10367</t>
  </si>
  <si>
    <t>CUST1132</t>
  </si>
  <si>
    <t>Meera 49</t>
  </si>
  <si>
    <t>ORD10368</t>
  </si>
  <si>
    <t>Vivek 47</t>
  </si>
  <si>
    <t>ORD10369</t>
  </si>
  <si>
    <t>2025-03-04</t>
  </si>
  <si>
    <t>CUST1065</t>
  </si>
  <si>
    <t>Ananya 46</t>
  </si>
  <si>
    <t>ORD10370</t>
  </si>
  <si>
    <t>Vivek 40</t>
  </si>
  <si>
    <t>ORD10371</t>
  </si>
  <si>
    <t>CUST1491</t>
  </si>
  <si>
    <t>Meera 43</t>
  </si>
  <si>
    <t>ORD10372</t>
  </si>
  <si>
    <t>2026-06-22</t>
  </si>
  <si>
    <t>CUST1326</t>
  </si>
  <si>
    <t>Kavya 51</t>
  </si>
  <si>
    <t>ORD10373</t>
  </si>
  <si>
    <t>CUST1684</t>
  </si>
  <si>
    <t>Ananya 68</t>
  </si>
  <si>
    <t>ORD10374</t>
  </si>
  <si>
    <t>2025-10-05</t>
  </si>
  <si>
    <t>CUST1270</t>
  </si>
  <si>
    <t>ORD10375</t>
  </si>
  <si>
    <t>2026-01-26</t>
  </si>
  <si>
    <t>CUST1930</t>
  </si>
  <si>
    <t>Vivek 66</t>
  </si>
  <si>
    <t>ORD10376</t>
  </si>
  <si>
    <t>CUST1597</t>
  </si>
  <si>
    <t>Kavya 40</t>
  </si>
  <si>
    <t>ORD10377</t>
  </si>
  <si>
    <t>CUST1559</t>
  </si>
  <si>
    <t>Kavya 64</t>
  </si>
  <si>
    <t>ORD10378</t>
  </si>
  <si>
    <t>2025-10-08</t>
  </si>
  <si>
    <t>CUST1738</t>
  </si>
  <si>
    <t>Vivek 89</t>
  </si>
  <si>
    <t>ORD10379</t>
  </si>
  <si>
    <t>2025-02-10</t>
  </si>
  <si>
    <t>CUST1022</t>
  </si>
  <si>
    <t>Ananya 87</t>
  </si>
  <si>
    <t>ORD10380</t>
  </si>
  <si>
    <t>CUST1427</t>
  </si>
  <si>
    <t>Meera 73</t>
  </si>
  <si>
    <t>ORD10381</t>
  </si>
  <si>
    <t>CUST1447</t>
  </si>
  <si>
    <t>Pooja 43</t>
  </si>
  <si>
    <t>ORD10382</t>
  </si>
  <si>
    <t>CUST1721</t>
  </si>
  <si>
    <t>Aditi 30</t>
  </si>
  <si>
    <t>ORD10383</t>
  </si>
  <si>
    <t>CUST1972</t>
  </si>
  <si>
    <t>Arjun 11</t>
  </si>
  <si>
    <t>ORD10384</t>
  </si>
  <si>
    <t>2026-02-25</t>
  </si>
  <si>
    <t>CUST1366</t>
  </si>
  <si>
    <t>Arjun 26</t>
  </si>
  <si>
    <t>ORD10385</t>
  </si>
  <si>
    <t>CUST1539</t>
  </si>
  <si>
    <t>Pooja 75</t>
  </si>
  <si>
    <t>ORD10386</t>
  </si>
  <si>
    <t>Aditi 93</t>
  </si>
  <si>
    <t>ORD10387</t>
  </si>
  <si>
    <t>CUST1285</t>
  </si>
  <si>
    <t>Vivek 17</t>
  </si>
  <si>
    <t>ORD10388</t>
  </si>
  <si>
    <t>2025-11-12</t>
  </si>
  <si>
    <t>CUST1339</t>
  </si>
  <si>
    <t>Ananya 26</t>
  </si>
  <si>
    <t>ORD10389</t>
  </si>
  <si>
    <t>Vivek 3</t>
  </si>
  <si>
    <t>ORD10390</t>
  </si>
  <si>
    <t>ORD10391</t>
  </si>
  <si>
    <t>CUST1848</t>
  </si>
  <si>
    <t>ORD10392</t>
  </si>
  <si>
    <t>Meera 58</t>
  </si>
  <si>
    <t>ORD10393</t>
  </si>
  <si>
    <t>2025-03-10</t>
  </si>
  <si>
    <t>ORD10394</t>
  </si>
  <si>
    <t>2026-03-26</t>
  </si>
  <si>
    <t>CUST1674</t>
  </si>
  <si>
    <t>ORD10395</t>
  </si>
  <si>
    <t>2026-03-28</t>
  </si>
  <si>
    <t>ORD10396</t>
  </si>
  <si>
    <t>2026-02-09</t>
  </si>
  <si>
    <t>CUST1800</t>
  </si>
  <si>
    <t>Vivek 52</t>
  </si>
  <si>
    <t>ORD10397</t>
  </si>
  <si>
    <t>2025-11-17</t>
  </si>
  <si>
    <t>CUST1753</t>
  </si>
  <si>
    <t>Vivek 64</t>
  </si>
  <si>
    <t>ORD10398</t>
  </si>
  <si>
    <t>2025-08-14</t>
  </si>
  <si>
    <t>CUST1893</t>
  </si>
  <si>
    <t>Pooja 90</t>
  </si>
  <si>
    <t>ORD10399</t>
  </si>
  <si>
    <t>2025-12-25</t>
  </si>
  <si>
    <t>ORD10400</t>
  </si>
  <si>
    <t>ORD10401</t>
  </si>
  <si>
    <t>CUST1443</t>
  </si>
  <si>
    <t>Ishaan 11</t>
  </si>
  <si>
    <t>ORD10402</t>
  </si>
  <si>
    <t>2025-07-25</t>
  </si>
  <si>
    <t>CUST1217</t>
  </si>
  <si>
    <t>Rohan 92</t>
  </si>
  <si>
    <t>ORD10403</t>
  </si>
  <si>
    <t>CUST1416</t>
  </si>
  <si>
    <t>ORD10404</t>
  </si>
  <si>
    <t>CUST1112</t>
  </si>
  <si>
    <t>Kavya 78</t>
  </si>
  <si>
    <t>ORD10405</t>
  </si>
  <si>
    <t>CUST1279</t>
  </si>
  <si>
    <t>Arjun 25</t>
  </si>
  <si>
    <t>ORD10406</t>
  </si>
  <si>
    <t>CUST1926</t>
  </si>
  <si>
    <t>Arjun 95</t>
  </si>
  <si>
    <t>ORD10407</t>
  </si>
  <si>
    <t>2025-06-10</t>
  </si>
  <si>
    <t>Pooja 91</t>
  </si>
  <si>
    <t>ORD10408</t>
  </si>
  <si>
    <t>2025-09-10</t>
  </si>
  <si>
    <t>CUST1746</t>
  </si>
  <si>
    <t>Vivek 68</t>
  </si>
  <si>
    <t>ORD10409</t>
  </si>
  <si>
    <t>CUST1544</t>
  </si>
  <si>
    <t>Vivek 15</t>
  </si>
  <si>
    <t>ORD10410</t>
  </si>
  <si>
    <t>CUST1402</t>
  </si>
  <si>
    <t>Vivek 88</t>
  </si>
  <si>
    <t>ORD10411</t>
  </si>
  <si>
    <t>2026-04-20</t>
  </si>
  <si>
    <t>CUST1454</t>
  </si>
  <si>
    <t>Ananya 39</t>
  </si>
  <si>
    <t>ORD10412</t>
  </si>
  <si>
    <t>2025-04-05</t>
  </si>
  <si>
    <t>CUST1375</t>
  </si>
  <si>
    <t>Meera 78</t>
  </si>
  <si>
    <t>ORD10413</t>
  </si>
  <si>
    <t>CUST1499</t>
  </si>
  <si>
    <t>Ishaan 26</t>
  </si>
  <si>
    <t>ORD10414</t>
  </si>
  <si>
    <t>2025-02-17</t>
  </si>
  <si>
    <t>Aditi 46</t>
  </si>
  <si>
    <t>ORD10415</t>
  </si>
  <si>
    <t>2025-08-20</t>
  </si>
  <si>
    <t>Kavya 21</t>
  </si>
  <si>
    <t>ORD10416</t>
  </si>
  <si>
    <t>CUST1467</t>
  </si>
  <si>
    <t>ORD10417</t>
  </si>
  <si>
    <t>2025-11-13</t>
  </si>
  <si>
    <t>CUST1181</t>
  </si>
  <si>
    <t>Aditi 70</t>
  </si>
  <si>
    <t>ORD10418</t>
  </si>
  <si>
    <t>Karan 5</t>
  </si>
  <si>
    <t>ORD10419</t>
  </si>
  <si>
    <t>2026-05-25</t>
  </si>
  <si>
    <t>CUST1995</t>
  </si>
  <si>
    <t>Arjun 50</t>
  </si>
  <si>
    <t>ORD10420</t>
  </si>
  <si>
    <t>CUST1438</t>
  </si>
  <si>
    <t>ORD10421</t>
  </si>
  <si>
    <t>CUST1062</t>
  </si>
  <si>
    <t>Kavya 70</t>
  </si>
  <si>
    <t>ORD10422</t>
  </si>
  <si>
    <t>CUST1858</t>
  </si>
  <si>
    <t>ORD10423</t>
  </si>
  <si>
    <t>2026-01-31</t>
  </si>
  <si>
    <t>CUST1267</t>
  </si>
  <si>
    <t>ORD10424</t>
  </si>
  <si>
    <t>CUST1890</t>
  </si>
  <si>
    <t>Ishaan 95</t>
  </si>
  <si>
    <t>ORD10425</t>
  </si>
  <si>
    <t>CUST1998</t>
  </si>
  <si>
    <t>Aditi 75</t>
  </si>
  <si>
    <t>ORD10426</t>
  </si>
  <si>
    <t>2025-07-19</t>
  </si>
  <si>
    <t>ORD10427</t>
  </si>
  <si>
    <t>2025-08-21</t>
  </si>
  <si>
    <t>CUST1529</t>
  </si>
  <si>
    <t>Meera 31</t>
  </si>
  <si>
    <t>ORD10428</t>
  </si>
  <si>
    <t>CUST1786</t>
  </si>
  <si>
    <t>Ananya 24</t>
  </si>
  <si>
    <t>ORD10429</t>
  </si>
  <si>
    <t>2026-06-12</t>
  </si>
  <si>
    <t>CUST1468</t>
  </si>
  <si>
    <t>Ishaan 42</t>
  </si>
  <si>
    <t>ORD10430</t>
  </si>
  <si>
    <t>2026-04-14</t>
  </si>
  <si>
    <t>ORD10431</t>
  </si>
  <si>
    <t>Kavya 3</t>
  </si>
  <si>
    <t>ORD10432</t>
  </si>
  <si>
    <t>2025-06-16</t>
  </si>
  <si>
    <t>CUST1312</t>
  </si>
  <si>
    <t>ORD10433</t>
  </si>
  <si>
    <t>2025-04-23</t>
  </si>
  <si>
    <t>CUST1228</t>
  </si>
  <si>
    <t>Ishaan 97</t>
  </si>
  <si>
    <t>ORD10434</t>
  </si>
  <si>
    <t>CUST1617</t>
  </si>
  <si>
    <t>Ananya 72</t>
  </si>
  <si>
    <t>ORD10435</t>
  </si>
  <si>
    <t>CUST1293</t>
  </si>
  <si>
    <t>Ishaan 13</t>
  </si>
  <si>
    <t>ORD10436</t>
  </si>
  <si>
    <t>2026-05-21</t>
  </si>
  <si>
    <t>CUST1741</t>
  </si>
  <si>
    <t>ORD10437</t>
  </si>
  <si>
    <t>2025-07-29</t>
  </si>
  <si>
    <t>CUST1732</t>
  </si>
  <si>
    <t>ORD10438</t>
  </si>
  <si>
    <t>Pooja 85</t>
  </si>
  <si>
    <t>ORD10439</t>
  </si>
  <si>
    <t>Karan 88</t>
  </si>
  <si>
    <t>ORD10440</t>
  </si>
  <si>
    <t>2025-02-09</t>
  </si>
  <si>
    <t>Vivek 83</t>
  </si>
  <si>
    <t>ORD10441</t>
  </si>
  <si>
    <t>CUST1611</t>
  </si>
  <si>
    <t>ORD10442</t>
  </si>
  <si>
    <t>ORD10443</t>
  </si>
  <si>
    <t>2025-07-11</t>
  </si>
  <si>
    <t>Arjun 79</t>
  </si>
  <si>
    <t>ORD10444</t>
  </si>
  <si>
    <t>CUST1894</t>
  </si>
  <si>
    <t>ORD10445</t>
  </si>
  <si>
    <t>2026-01-23</t>
  </si>
  <si>
    <t>CUST1744</t>
  </si>
  <si>
    <t>Kavya 5</t>
  </si>
  <si>
    <t>ORD10446</t>
  </si>
  <si>
    <t>CUST1485</t>
  </si>
  <si>
    <t>ORD10447</t>
  </si>
  <si>
    <t>CUST1123</t>
  </si>
  <si>
    <t>ORD10448</t>
  </si>
  <si>
    <t>2025-11-15</t>
  </si>
  <si>
    <t>CUST1122</t>
  </si>
  <si>
    <t>ORD10449</t>
  </si>
  <si>
    <t>Ishaan 82</t>
  </si>
  <si>
    <t>ORD10450</t>
  </si>
  <si>
    <t>2025-10-03</t>
  </si>
  <si>
    <t>ORD10451</t>
  </si>
  <si>
    <t>2025-03-22</t>
  </si>
  <si>
    <t>CUST1394</t>
  </si>
  <si>
    <t>Rohan 63</t>
  </si>
  <si>
    <t>ORD10452</t>
  </si>
  <si>
    <t>2025-12-13</t>
  </si>
  <si>
    <t>CUST1918</t>
  </si>
  <si>
    <t>Meera 7</t>
  </si>
  <si>
    <t>ORD10453</t>
  </si>
  <si>
    <t>ORD10454</t>
  </si>
  <si>
    <t>ORD10455</t>
  </si>
  <si>
    <t>Ananya 71</t>
  </si>
  <si>
    <t>ORD10456</t>
  </si>
  <si>
    <t>2025-04-19</t>
  </si>
  <si>
    <t>CUST1959</t>
  </si>
  <si>
    <t>ORD10457</t>
  </si>
  <si>
    <t>2026-06-18</t>
  </si>
  <si>
    <t>CUST1772</t>
  </si>
  <si>
    <t>Rohan 9</t>
  </si>
  <si>
    <t>ORD10458</t>
  </si>
  <si>
    <t>2025-11-20</t>
  </si>
  <si>
    <t>CUST1348</t>
  </si>
  <si>
    <t>Vivek 61</t>
  </si>
  <si>
    <t>ORD10459</t>
  </si>
  <si>
    <t>CUST1992</t>
  </si>
  <si>
    <t>ORD10460</t>
  </si>
  <si>
    <t>2025-01-04</t>
  </si>
  <si>
    <t>Karan 3</t>
  </si>
  <si>
    <t>ORD10461</t>
  </si>
  <si>
    <t>2025-10-06</t>
  </si>
  <si>
    <t>CUST1193</t>
  </si>
  <si>
    <t>ORD10462</t>
  </si>
  <si>
    <t>CUST1421</t>
  </si>
  <si>
    <t>Kavya 41</t>
  </si>
  <si>
    <t>ORD10463</t>
  </si>
  <si>
    <t>CUST1069</t>
  </si>
  <si>
    <t>Kavya 69</t>
  </si>
  <si>
    <t>ORD10464</t>
  </si>
  <si>
    <t>Pooja 36</t>
  </si>
  <si>
    <t>ORD10465</t>
  </si>
  <si>
    <t>Ishaan 10</t>
  </si>
  <si>
    <t>ORD10466</t>
  </si>
  <si>
    <t>2026-04-15</t>
  </si>
  <si>
    <t>Karan 71</t>
  </si>
  <si>
    <t>ORD10467</t>
  </si>
  <si>
    <t>ORD10468</t>
  </si>
  <si>
    <t>CUST1555</t>
  </si>
  <si>
    <t>ORD10469</t>
  </si>
  <si>
    <t>CUST1615</t>
  </si>
  <si>
    <t>Meera 89</t>
  </si>
  <si>
    <t>ORD10470</t>
  </si>
  <si>
    <t>2025-07-14</t>
  </si>
  <si>
    <t>Ananya 37</t>
  </si>
  <si>
    <t>ORD10471</t>
  </si>
  <si>
    <t>CUST1935</t>
  </si>
  <si>
    <t>Ananya 30</t>
  </si>
  <si>
    <t>ORD10472</t>
  </si>
  <si>
    <t>2025-04-27</t>
  </si>
  <si>
    <t>CUST1288</t>
  </si>
  <si>
    <t>Ananya 90</t>
  </si>
  <si>
    <t>ORD10473</t>
  </si>
  <si>
    <t>2025-05-12</t>
  </si>
  <si>
    <t>CUST1342</t>
  </si>
  <si>
    <t>Pooja 5</t>
  </si>
  <si>
    <t>ORD10474</t>
  </si>
  <si>
    <t>Vivek 7</t>
  </si>
  <si>
    <t>ORD10475</t>
  </si>
  <si>
    <t>CUST1720</t>
  </si>
  <si>
    <t>ORD10476</t>
  </si>
  <si>
    <t>CUST1652</t>
  </si>
  <si>
    <t>Arjun 41</t>
  </si>
  <si>
    <t>ORD10477</t>
  </si>
  <si>
    <t>ORD10478</t>
  </si>
  <si>
    <t>CUST1004</t>
  </si>
  <si>
    <t>Kavya 85</t>
  </si>
  <si>
    <t>ORD10479</t>
  </si>
  <si>
    <t>Ishaan 12</t>
  </si>
  <si>
    <t>ORD10480</t>
  </si>
  <si>
    <t>CUST1813</t>
  </si>
  <si>
    <t>Pooja 78</t>
  </si>
  <si>
    <t>ORD10481</t>
  </si>
  <si>
    <t>2025-03-30</t>
  </si>
  <si>
    <t>CUST1502</t>
  </si>
  <si>
    <t>Arjun 90</t>
  </si>
  <si>
    <t>ORD10482</t>
  </si>
  <si>
    <t>CUST1733</t>
  </si>
  <si>
    <t>ORD10483</t>
  </si>
  <si>
    <t>CUST1469</t>
  </si>
  <si>
    <t>Rohan 42</t>
  </si>
  <si>
    <t>ORD10484</t>
  </si>
  <si>
    <t>2025-04-21</t>
  </si>
  <si>
    <t>Meera 84</t>
  </si>
  <si>
    <t>ORD10485</t>
  </si>
  <si>
    <t>2025-05-17</t>
  </si>
  <si>
    <t>CUST1089</t>
  </si>
  <si>
    <t>Pooja 97</t>
  </si>
  <si>
    <t>ORD10486</t>
  </si>
  <si>
    <t>2025-05-04</t>
  </si>
  <si>
    <t>ORD10487</t>
  </si>
  <si>
    <t>CUST1417</t>
  </si>
  <si>
    <t>Aditi 33</t>
  </si>
  <si>
    <t>ORD10488</t>
  </si>
  <si>
    <t>2025-07-28</t>
  </si>
  <si>
    <t>CUST1329</t>
  </si>
  <si>
    <t>ORD10489</t>
  </si>
  <si>
    <t>CUST1847</t>
  </si>
  <si>
    <t>ORD10490</t>
  </si>
  <si>
    <t>Aditi 20</t>
  </si>
  <si>
    <t>ORD10491</t>
  </si>
  <si>
    <t>2025-01-26</t>
  </si>
  <si>
    <t>Ananya 33</t>
  </si>
  <si>
    <t>ORD10492</t>
  </si>
  <si>
    <t>CUST1197</t>
  </si>
  <si>
    <t>ORD10493</t>
  </si>
  <si>
    <t>2025-04-04</t>
  </si>
  <si>
    <t>Meera 10</t>
  </si>
  <si>
    <t>ORD10494</t>
  </si>
  <si>
    <t>2025-12-30</t>
  </si>
  <si>
    <t>CUST1025</t>
  </si>
  <si>
    <t>Meera 79</t>
  </si>
  <si>
    <t>ORD10495</t>
  </si>
  <si>
    <t>CUST1803</t>
  </si>
  <si>
    <t>Arjun 98</t>
  </si>
  <si>
    <t>ORD10496</t>
  </si>
  <si>
    <t>2025-07-15</t>
  </si>
  <si>
    <t>CUST1665</t>
  </si>
  <si>
    <t>Kavya 26</t>
  </si>
  <si>
    <t>ORD10497</t>
  </si>
  <si>
    <t>CUST1905</t>
  </si>
  <si>
    <t>Meera 26</t>
  </si>
  <si>
    <t>ORD10498</t>
  </si>
  <si>
    <t>2025-06-02</t>
  </si>
  <si>
    <t>CUST1215</t>
  </si>
  <si>
    <t>Aditi 43</t>
  </si>
  <si>
    <t>ORD10499</t>
  </si>
  <si>
    <t>CUST1824</t>
  </si>
  <si>
    <t>Ishaan 90</t>
  </si>
  <si>
    <t>ORD10500</t>
  </si>
  <si>
    <t>CUST1137</t>
  </si>
  <si>
    <t>Vivek 74</t>
  </si>
  <si>
    <t>ORD10501</t>
  </si>
  <si>
    <t>2026-02-27</t>
  </si>
  <si>
    <t>Meera 20</t>
  </si>
  <si>
    <t>ORD10502</t>
  </si>
  <si>
    <t>2025-07-31</t>
  </si>
  <si>
    <t>CUST1831</t>
  </si>
  <si>
    <t>ORD10503</t>
  </si>
  <si>
    <t>ORD10504</t>
  </si>
  <si>
    <t>2026-02-07</t>
  </si>
  <si>
    <t>ORD10505</t>
  </si>
  <si>
    <t>2025-08-08</t>
  </si>
  <si>
    <t>CUST1006</t>
  </si>
  <si>
    <t>Aditi 4</t>
  </si>
  <si>
    <t>ORD10506</t>
  </si>
  <si>
    <t>2025-04-08</t>
  </si>
  <si>
    <t>Rohan 45</t>
  </si>
  <si>
    <t>ORD10507</t>
  </si>
  <si>
    <t>Ananya 50</t>
  </si>
  <si>
    <t>ORD10508</t>
  </si>
  <si>
    <t>2026-05-16</t>
  </si>
  <si>
    <t>ORD10509</t>
  </si>
  <si>
    <t>CUST1367</t>
  </si>
  <si>
    <t>Arjun 2</t>
  </si>
  <si>
    <t>ORD10510</t>
  </si>
  <si>
    <t>ORD10511</t>
  </si>
  <si>
    <t>CUST1574</t>
  </si>
  <si>
    <t>ORD10512</t>
  </si>
  <si>
    <t>CUST1698</t>
  </si>
  <si>
    <t>Arjun 89</t>
  </si>
  <si>
    <t>ORD10513</t>
  </si>
  <si>
    <t>Pooja 95</t>
  </si>
  <si>
    <t>ORD10514</t>
  </si>
  <si>
    <t>CUST1709</t>
  </si>
  <si>
    <t>ORD10515</t>
  </si>
  <si>
    <t>CUST1479</t>
  </si>
  <si>
    <t>ORD10516</t>
  </si>
  <si>
    <t>2026-04-05</t>
  </si>
  <si>
    <t>ORD10517</t>
  </si>
  <si>
    <t>CUST1519</t>
  </si>
  <si>
    <t>Pooja 53</t>
  </si>
  <si>
    <t>ORD10518</t>
  </si>
  <si>
    <t>2026-04-21</t>
  </si>
  <si>
    <t>CUST1113</t>
  </si>
  <si>
    <t>Karan 90</t>
  </si>
  <si>
    <t>ORD10519</t>
  </si>
  <si>
    <t>CUST1944</t>
  </si>
  <si>
    <t>ORD10520</t>
  </si>
  <si>
    <t>2025-06-18</t>
  </si>
  <si>
    <t>Vivek 59</t>
  </si>
  <si>
    <t>ORD10521</t>
  </si>
  <si>
    <t>ORD10522</t>
  </si>
  <si>
    <t>CUST1354</t>
  </si>
  <si>
    <t>Karan 47</t>
  </si>
  <si>
    <t>ORD10523</t>
  </si>
  <si>
    <t>2026-03-08</t>
  </si>
  <si>
    <t>ORD10524</t>
  </si>
  <si>
    <t>CUST1795</t>
  </si>
  <si>
    <t>ORD10525</t>
  </si>
  <si>
    <t>ORD10526</t>
  </si>
  <si>
    <t>CUST1407</t>
  </si>
  <si>
    <t>ORD10527</t>
  </si>
  <si>
    <t>2025-12-16</t>
  </si>
  <si>
    <t>CUST1558</t>
  </si>
  <si>
    <t>Ishaan 54</t>
  </si>
  <si>
    <t>ORD10528</t>
  </si>
  <si>
    <t>2025-05-25</t>
  </si>
  <si>
    <t>CUST1596</t>
  </si>
  <si>
    <t>ORD10529</t>
  </si>
  <si>
    <t>2026-01-08</t>
  </si>
  <si>
    <t>CUST1203</t>
  </si>
  <si>
    <t>Ananya 38</t>
  </si>
  <si>
    <t>ORD10530</t>
  </si>
  <si>
    <t>CUST1163</t>
  </si>
  <si>
    <t>ORD10531</t>
  </si>
  <si>
    <t>CUST1349</t>
  </si>
  <si>
    <t>ORD10532</t>
  </si>
  <si>
    <t>ORD10533</t>
  </si>
  <si>
    <t>2025-04-09</t>
  </si>
  <si>
    <t>CUST1264</t>
  </si>
  <si>
    <t>ORD10534</t>
  </si>
  <si>
    <t>2026-03-17</t>
  </si>
  <si>
    <t>CUST1233</t>
  </si>
  <si>
    <t>ORD10535</t>
  </si>
  <si>
    <t>2025-09-14</t>
  </si>
  <si>
    <t>CUST1363</t>
  </si>
  <si>
    <t>ORD10536</t>
  </si>
  <si>
    <t>CUST1762</t>
  </si>
  <si>
    <t>ORD10537</t>
  </si>
  <si>
    <t>CUST1863</t>
  </si>
  <si>
    <t>ORD10538</t>
  </si>
  <si>
    <t>CUST1592</t>
  </si>
  <si>
    <t>ORD10539</t>
  </si>
  <si>
    <t>CUST1802</t>
  </si>
  <si>
    <t>ORD10540</t>
  </si>
  <si>
    <t>2025-08-16</t>
  </si>
  <si>
    <t>CUST1275</t>
  </si>
  <si>
    <t>ORD10541</t>
  </si>
  <si>
    <t>ORD10542</t>
  </si>
  <si>
    <t>ORD10543</t>
  </si>
  <si>
    <t>2025-09-15</t>
  </si>
  <si>
    <t>CUST1991</t>
  </si>
  <si>
    <t>Pooja 84</t>
  </si>
  <si>
    <t>ORD10544</t>
  </si>
  <si>
    <t>CUST1024</t>
  </si>
  <si>
    <t>Kavya 47</t>
  </si>
  <si>
    <t>ORD10545</t>
  </si>
  <si>
    <t>Karan 62</t>
  </si>
  <si>
    <t>ORD10546</t>
  </si>
  <si>
    <t>CUST1819</t>
  </si>
  <si>
    <t>Ananya 92</t>
  </si>
  <si>
    <t>ORD10547</t>
  </si>
  <si>
    <t>CUST1715</t>
  </si>
  <si>
    <t>Meera 69</t>
  </si>
  <si>
    <t>ORD10548</t>
  </si>
  <si>
    <t>2025-05-21</t>
  </si>
  <si>
    <t>CUST1140</t>
  </si>
  <si>
    <t>ORD10549</t>
  </si>
  <si>
    <t>ORD10550</t>
  </si>
  <si>
    <t>2025-03-13</t>
  </si>
  <si>
    <t>CUST1692</t>
  </si>
  <si>
    <t>Rohan 69</t>
  </si>
  <si>
    <t>ORD10551</t>
  </si>
  <si>
    <t>ORD10552</t>
  </si>
  <si>
    <t>CUST1535</t>
  </si>
  <si>
    <t>Kavya 82</t>
  </si>
  <si>
    <t>ORD10553</t>
  </si>
  <si>
    <t>ORD10554</t>
  </si>
  <si>
    <t>CUST1257</t>
  </si>
  <si>
    <t>ORD10555</t>
  </si>
  <si>
    <t>CUST1080</t>
  </si>
  <si>
    <t>ORD10556</t>
  </si>
  <si>
    <t>2025-01-03</t>
  </si>
  <si>
    <t>CUST1737</t>
  </si>
  <si>
    <t>Kavya 68</t>
  </si>
  <si>
    <t>ORD10557</t>
  </si>
  <si>
    <t>CUST1053</t>
  </si>
  <si>
    <t>Pooja 52</t>
  </si>
  <si>
    <t>ORD10558</t>
  </si>
  <si>
    <t>CUST1046</t>
  </si>
  <si>
    <t>Aditi 9</t>
  </si>
  <si>
    <t>ORD10559</t>
  </si>
  <si>
    <t>2026-03-05</t>
  </si>
  <si>
    <t>ORD10560</t>
  </si>
  <si>
    <t>ORD10561</t>
  </si>
  <si>
    <t>Pooja 72</t>
  </si>
  <si>
    <t>ORD10562</t>
  </si>
  <si>
    <t>2025-09-24</t>
  </si>
  <si>
    <t>CUST1553</t>
  </si>
  <si>
    <t>ORD10563</t>
  </si>
  <si>
    <t>ORD10564</t>
  </si>
  <si>
    <t>2025-01-22</t>
  </si>
  <si>
    <t>Ishaan 86</t>
  </si>
  <si>
    <t>ORD10565</t>
  </si>
  <si>
    <t>CUST1429</t>
  </si>
  <si>
    <t>ORD10566</t>
  </si>
  <si>
    <t>2026-04-23</t>
  </si>
  <si>
    <t>CUST1306</t>
  </si>
  <si>
    <t>Aditi 24</t>
  </si>
  <si>
    <t>ORD10567</t>
  </si>
  <si>
    <t>ORD10568</t>
  </si>
  <si>
    <t>2025-01-25</t>
  </si>
  <si>
    <t>ORD10569</t>
  </si>
  <si>
    <t>CUST1589</t>
  </si>
  <si>
    <t>Arjun 12</t>
  </si>
  <si>
    <t>ORD10570</t>
  </si>
  <si>
    <t>2025-06-11</t>
  </si>
  <si>
    <t>Meera 80</t>
  </si>
  <si>
    <t>ORD10571</t>
  </si>
  <si>
    <t>CUST1302</t>
  </si>
  <si>
    <t>ORD10572</t>
  </si>
  <si>
    <t>ORD10573</t>
  </si>
  <si>
    <t>2025-08-07</t>
  </si>
  <si>
    <t>CUST1951</t>
  </si>
  <si>
    <t>Meera 93</t>
  </si>
  <si>
    <t>ORD10574</t>
  </si>
  <si>
    <t>Meera 85</t>
  </si>
  <si>
    <t>ORD10575</t>
  </si>
  <si>
    <t>CUST1387</t>
  </si>
  <si>
    <t>ORD10576</t>
  </si>
  <si>
    <t>CUST1910</t>
  </si>
  <si>
    <t>Ishaan 8</t>
  </si>
  <si>
    <t>ORD10577</t>
  </si>
  <si>
    <t>CUST1678</t>
  </si>
  <si>
    <t>ORD10578</t>
  </si>
  <si>
    <t>2025-07-16</t>
  </si>
  <si>
    <t>Arjun 64</t>
  </si>
  <si>
    <t>ORD10579</t>
  </si>
  <si>
    <t>CUST1852</t>
  </si>
  <si>
    <t>Kavya 18</t>
  </si>
  <si>
    <t>ORD10580</t>
  </si>
  <si>
    <t>ORD10581</t>
  </si>
  <si>
    <t>2025-11-02</t>
  </si>
  <si>
    <t>CUST1548</t>
  </si>
  <si>
    <t>Rohan 1</t>
  </si>
  <si>
    <t>ORD10582</t>
  </si>
  <si>
    <t>CUST1610</t>
  </si>
  <si>
    <t>Pooja 25</t>
  </si>
  <si>
    <t>ORD10583</t>
  </si>
  <si>
    <t>Vivek 56</t>
  </si>
  <si>
    <t>ORD10584</t>
  </si>
  <si>
    <t>2025-10-27</t>
  </si>
  <si>
    <t>ORD10585</t>
  </si>
  <si>
    <t>2026-02-28</t>
  </si>
  <si>
    <t>Pooja 44</t>
  </si>
  <si>
    <t>ORD10586</t>
  </si>
  <si>
    <t>CUST1749</t>
  </si>
  <si>
    <t>Karan 52</t>
  </si>
  <si>
    <t>ORD10587</t>
  </si>
  <si>
    <t>2026-01-04</t>
  </si>
  <si>
    <t>Vivek 72</t>
  </si>
  <si>
    <t>ORD10588</t>
  </si>
  <si>
    <t>ORD10589</t>
  </si>
  <si>
    <t>ORD10590</t>
  </si>
  <si>
    <t>Karan 89</t>
  </si>
  <si>
    <t>ORD10591</t>
  </si>
  <si>
    <t>CUST1397</t>
  </si>
  <si>
    <t>Ishaan 51</t>
  </si>
  <si>
    <t>ORD10592</t>
  </si>
  <si>
    <t>CUST1503</t>
  </si>
  <si>
    <t>Aditi 59</t>
  </si>
  <si>
    <t>ORD10593</t>
  </si>
  <si>
    <t>ORD10594</t>
  </si>
  <si>
    <t>CUST1408</t>
  </si>
  <si>
    <t>Ishaan 31</t>
  </si>
  <si>
    <t>ORD10595</t>
  </si>
  <si>
    <t>CUST1356</t>
  </si>
  <si>
    <t>Kavya 33</t>
  </si>
  <si>
    <t>ORD10596</t>
  </si>
  <si>
    <t>CUST1512</t>
  </si>
  <si>
    <t>Kavya 81</t>
  </si>
  <si>
    <t>ORD10597</t>
  </si>
  <si>
    <t>CUST1255</t>
  </si>
  <si>
    <t>Rohan 71</t>
  </si>
  <si>
    <t>ORD10598</t>
  </si>
  <si>
    <t>CUST1808</t>
  </si>
  <si>
    <t>Rohan 58</t>
  </si>
  <si>
    <t>ORD10599</t>
  </si>
  <si>
    <t>CUST1102</t>
  </si>
  <si>
    <t>Arjun 93</t>
  </si>
  <si>
    <t>ORD10600</t>
  </si>
  <si>
    <t>ORD10601</t>
  </si>
  <si>
    <t>CUST1322</t>
  </si>
  <si>
    <t>ORD10602</t>
  </si>
  <si>
    <t>ORD10603</t>
  </si>
  <si>
    <t>Ananya 70</t>
  </si>
  <si>
    <t>ORD10604</t>
  </si>
  <si>
    <t>2025-12-27</t>
  </si>
  <si>
    <t>CUST1323</t>
  </si>
  <si>
    <t>Rohan 39</t>
  </si>
  <si>
    <t>ORD10605</t>
  </si>
  <si>
    <t>Aditi 87</t>
  </si>
  <si>
    <t>ORD10606</t>
  </si>
  <si>
    <t>Kavya 80</t>
  </si>
  <si>
    <t>ORD10607</t>
  </si>
  <si>
    <t>CUST1107</t>
  </si>
  <si>
    <t>ORD10608</t>
  </si>
  <si>
    <t>ORD10609</t>
  </si>
  <si>
    <t>CUST1727</t>
  </si>
  <si>
    <t>Ishaan 67</t>
  </si>
  <si>
    <t>ORD10610</t>
  </si>
  <si>
    <t>2025-07-04</t>
  </si>
  <si>
    <t>CUST1883</t>
  </si>
  <si>
    <t>Kavya 75</t>
  </si>
  <si>
    <t>ORD10611</t>
  </si>
  <si>
    <t>2025-08-19</t>
  </si>
  <si>
    <t>CUST1045</t>
  </si>
  <si>
    <t>Meera 72</t>
  </si>
  <si>
    <t>ORD10612</t>
  </si>
  <si>
    <t>Rohan 20</t>
  </si>
  <si>
    <t>ORD10613</t>
  </si>
  <si>
    <t>2025-04-17</t>
  </si>
  <si>
    <t>CUST1092</t>
  </si>
  <si>
    <t>ORD10614</t>
  </si>
  <si>
    <t>2026-05-02</t>
  </si>
  <si>
    <t>CUST1058</t>
  </si>
  <si>
    <t>ORD10615</t>
  </si>
  <si>
    <t>2025-03-28</t>
  </si>
  <si>
    <t>CUST1295</t>
  </si>
  <si>
    <t>ORD10616</t>
  </si>
  <si>
    <t>Pooja 12</t>
  </si>
  <si>
    <t>ORD10617</t>
  </si>
  <si>
    <t>2025-09-17</t>
  </si>
  <si>
    <t>ORD10618</t>
  </si>
  <si>
    <t>Pooja 19</t>
  </si>
  <si>
    <t>ORD10619</t>
  </si>
  <si>
    <t>Ananya 28</t>
  </si>
  <si>
    <t>ORD10620</t>
  </si>
  <si>
    <t>CUST1641</t>
  </si>
  <si>
    <t>ORD10621</t>
  </si>
  <si>
    <t>2025-08-01</t>
  </si>
  <si>
    <t>Arjun 47</t>
  </si>
  <si>
    <t>ORD10622</t>
  </si>
  <si>
    <t>CUST1689</t>
  </si>
  <si>
    <t>Ananya 63</t>
  </si>
  <si>
    <t>ORD10623</t>
  </si>
  <si>
    <t>CUST1928</t>
  </si>
  <si>
    <t>ORD10624</t>
  </si>
  <si>
    <t>2025-08-18</t>
  </si>
  <si>
    <t>ORD10625</t>
  </si>
  <si>
    <t>2025-01-28</t>
  </si>
  <si>
    <t>CUST1345</t>
  </si>
  <si>
    <t>ORD10626</t>
  </si>
  <si>
    <t>CUST1855</t>
  </si>
  <si>
    <t>Arjun 46</t>
  </si>
  <si>
    <t>ORD10627</t>
  </si>
  <si>
    <t>2025-11-26</t>
  </si>
  <si>
    <t>CUST1850</t>
  </si>
  <si>
    <t>ORD10628</t>
  </si>
  <si>
    <t>Karan 75</t>
  </si>
  <si>
    <t>ORD10629</t>
  </si>
  <si>
    <t>CUST1685</t>
  </si>
  <si>
    <t>Meera 74</t>
  </si>
  <si>
    <t>ORD10630</t>
  </si>
  <si>
    <t>ORD10631</t>
  </si>
  <si>
    <t>2025-03-12</t>
  </si>
  <si>
    <t>CUST1372</t>
  </si>
  <si>
    <t>Aditi 89</t>
  </si>
  <si>
    <t>ORD10632</t>
  </si>
  <si>
    <t>CUST1581</t>
  </si>
  <si>
    <t>Ishaan 58</t>
  </si>
  <si>
    <t>ORD10633</t>
  </si>
  <si>
    <t>CUST1158</t>
  </si>
  <si>
    <t>Rohan 70</t>
  </si>
  <si>
    <t>ORD10634</t>
  </si>
  <si>
    <t>CUST1567</t>
  </si>
  <si>
    <t>ORD10635</t>
  </si>
  <si>
    <t>2025-09-28</t>
  </si>
  <si>
    <t>CUST1639</t>
  </si>
  <si>
    <t>ORD10636</t>
  </si>
  <si>
    <t>ORD10637</t>
  </si>
  <si>
    <t>CUST1842</t>
  </si>
  <si>
    <t>Meera 19</t>
  </si>
  <si>
    <t>ORD10638</t>
  </si>
  <si>
    <t>ORD10639</t>
  </si>
  <si>
    <t>CUST1411</t>
  </si>
  <si>
    <t>ORD10640</t>
  </si>
  <si>
    <t>ORD10641</t>
  </si>
  <si>
    <t>2025-04-03</t>
  </si>
  <si>
    <t>CUST1465</t>
  </si>
  <si>
    <t>Pooja 89</t>
  </si>
  <si>
    <t>ORD10642</t>
  </si>
  <si>
    <t>CUST1666</t>
  </si>
  <si>
    <t>ORD10643</t>
  </si>
  <si>
    <t>CUST1458</t>
  </si>
  <si>
    <t>ORD10644</t>
  </si>
  <si>
    <t>Pooja 60</t>
  </si>
  <si>
    <t>ORD10645</t>
  </si>
  <si>
    <t>2025-05-16</t>
  </si>
  <si>
    <t>CUST1382</t>
  </si>
  <si>
    <t>ORD10646</t>
  </si>
  <si>
    <t>2026-03-18</t>
  </si>
  <si>
    <t>Ananya 81</t>
  </si>
  <si>
    <t>ORD10647</t>
  </si>
  <si>
    <t>CUST1050</t>
  </si>
  <si>
    <t>Karan 43</t>
  </si>
  <si>
    <t>ORD10648</t>
  </si>
  <si>
    <t>ORD10649</t>
  </si>
  <si>
    <t>CUST1250</t>
  </si>
  <si>
    <t>ORD10650</t>
  </si>
  <si>
    <t>2025-02-14</t>
  </si>
  <si>
    <t>CUST1696</t>
  </si>
  <si>
    <t>ORD10651</t>
  </si>
  <si>
    <t>CUST1509</t>
  </si>
  <si>
    <t>Meera 88</t>
  </si>
  <si>
    <t>ORD10652</t>
  </si>
  <si>
    <t>CUST1018</t>
  </si>
  <si>
    <t>ORD10653</t>
  </si>
  <si>
    <t>2025-12-11</t>
  </si>
  <si>
    <t>CUST1297</t>
  </si>
  <si>
    <t>Vivek 75</t>
  </si>
  <si>
    <t>ORD10654</t>
  </si>
  <si>
    <t>ORD10655</t>
  </si>
  <si>
    <t>ORD10656</t>
  </si>
  <si>
    <t>2026-05-08</t>
  </si>
  <si>
    <t>CUST1014</t>
  </si>
  <si>
    <t>ORD10657</t>
  </si>
  <si>
    <t>2026-02-12</t>
  </si>
  <si>
    <t>Ishaan 65</t>
  </si>
  <si>
    <t>ORD10658</t>
  </si>
  <si>
    <t>CUST1229</t>
  </si>
  <si>
    <t>Rohan 54</t>
  </si>
  <si>
    <t>ORD10659</t>
  </si>
  <si>
    <t>2025-09-02</t>
  </si>
  <si>
    <t>ORD10660</t>
  </si>
  <si>
    <t>ORD10661</t>
  </si>
  <si>
    <t>CUST1351</t>
  </si>
  <si>
    <t>ORD10662</t>
  </si>
  <si>
    <t>CUST1634</t>
  </si>
  <si>
    <t>Ishaan 78</t>
  </si>
  <si>
    <t>ORD10663</t>
  </si>
  <si>
    <t>2025-05-10</t>
  </si>
  <si>
    <t>ORD10664</t>
  </si>
  <si>
    <t>CUST1837</t>
  </si>
  <si>
    <t>Vivek 90</t>
  </si>
  <si>
    <t>ORD10665</t>
  </si>
  <si>
    <t>ORD10666</t>
  </si>
  <si>
    <t>2025-12-07</t>
  </si>
  <si>
    <t>Arjun 87</t>
  </si>
  <si>
    <t>ORD10667</t>
  </si>
  <si>
    <t>2025-01-07</t>
  </si>
  <si>
    <t>Pooja 47</t>
  </si>
  <si>
    <t>ORD10668</t>
  </si>
  <si>
    <t>CUST1974</t>
  </si>
  <si>
    <t>ORD10669</t>
  </si>
  <si>
    <t>CUST1234</t>
  </si>
  <si>
    <t>Kavya 39</t>
  </si>
  <si>
    <t>ORD10670</t>
  </si>
  <si>
    <t>ORD10671</t>
  </si>
  <si>
    <t>Karan 38</t>
  </si>
  <si>
    <t>ORD10672</t>
  </si>
  <si>
    <t>CUST1398</t>
  </si>
  <si>
    <t>Ananya 73</t>
  </si>
  <si>
    <t>ORD10673</t>
  </si>
  <si>
    <t>2025-06-17</t>
  </si>
  <si>
    <t>Vivek 97</t>
  </si>
  <si>
    <t>ORD10674</t>
  </si>
  <si>
    <t>ORD10675</t>
  </si>
  <si>
    <t>Rohan 26</t>
  </si>
  <si>
    <t>ORD10676</t>
  </si>
  <si>
    <t>CUST1462</t>
  </si>
  <si>
    <t>ORD10677</t>
  </si>
  <si>
    <t>2025-12-21</t>
  </si>
  <si>
    <t>ORD10678</t>
  </si>
  <si>
    <t>CUST1386</t>
  </si>
  <si>
    <t>ORD10679</t>
  </si>
  <si>
    <t>2025-03-11</t>
  </si>
  <si>
    <t>CUST1791</t>
  </si>
  <si>
    <t>Vivek 38</t>
  </si>
  <si>
    <t>ORD10680</t>
  </si>
  <si>
    <t>ORD10681</t>
  </si>
  <si>
    <t>Kavya 89</t>
  </si>
  <si>
    <t>ORD10682</t>
  </si>
  <si>
    <t>CUST1533</t>
  </si>
  <si>
    <t>ORD10683</t>
  </si>
  <si>
    <t>Vivek 99</t>
  </si>
  <si>
    <t>ORD10684</t>
  </si>
  <si>
    <t>2025-06-12</t>
  </si>
  <si>
    <t>CUST1414</t>
  </si>
  <si>
    <t>ORD10685</t>
  </si>
  <si>
    <t>2025-02-19</t>
  </si>
  <si>
    <t>Rohan 16</t>
  </si>
  <si>
    <t>ORD10686</t>
  </si>
  <si>
    <t>CUST1005</t>
  </si>
  <si>
    <t>Arjun 20</t>
  </si>
  <si>
    <t>ORD10687</t>
  </si>
  <si>
    <t>2025-12-29</t>
  </si>
  <si>
    <t>CUST1186</t>
  </si>
  <si>
    <t>ORD10688</t>
  </si>
  <si>
    <t>CUST1052</t>
  </si>
  <si>
    <t>Arjun 88</t>
  </si>
  <si>
    <t>ORD10689</t>
  </si>
  <si>
    <t>2025-03-21</t>
  </si>
  <si>
    <t>ORD10690</t>
  </si>
  <si>
    <t>Karan 28</t>
  </si>
  <si>
    <t>ORD10691</t>
  </si>
  <si>
    <t>CUST1174</t>
  </si>
  <si>
    <t>ORD10692</t>
  </si>
  <si>
    <t>Meera 8</t>
  </si>
  <si>
    <t>ORD10693</t>
  </si>
  <si>
    <t>CUST1679</t>
  </si>
  <si>
    <t>Meera 5</t>
  </si>
  <si>
    <t>ORD10694</t>
  </si>
  <si>
    <t>ORD10695</t>
  </si>
  <si>
    <t>ORD10696</t>
  </si>
  <si>
    <t>CUST1897</t>
  </si>
  <si>
    <t>Arjun 73</t>
  </si>
  <si>
    <t>ORD10697</t>
  </si>
  <si>
    <t>ORD10698</t>
  </si>
  <si>
    <t>2025-02-01</t>
  </si>
  <si>
    <t>CUST1055</t>
  </si>
  <si>
    <t>Pooja 99</t>
  </si>
  <si>
    <t>ORD10699</t>
  </si>
  <si>
    <t>ORD10700</t>
  </si>
  <si>
    <t>CUST1879</t>
  </si>
  <si>
    <t>ORD10701</t>
  </si>
  <si>
    <t>2025-05-02</t>
  </si>
  <si>
    <t>CUST1603</t>
  </si>
  <si>
    <t>Karan 33</t>
  </si>
  <si>
    <t>ORD10702</t>
  </si>
  <si>
    <t>2025-07-21</t>
  </si>
  <si>
    <t>ORD10703</t>
  </si>
  <si>
    <t>ORD10704</t>
  </si>
  <si>
    <t>CUST1859</t>
  </si>
  <si>
    <t>Vivek 14</t>
  </si>
  <si>
    <t>ORD10705</t>
  </si>
  <si>
    <t>ORD10706</t>
  </si>
  <si>
    <t>Arjun 80</t>
  </si>
  <si>
    <t>ORD10707</t>
  </si>
  <si>
    <t>CUST1030</t>
  </si>
  <si>
    <t>Pooja 9</t>
  </si>
  <si>
    <t>ORD10708</t>
  </si>
  <si>
    <t>2026-01-29</t>
  </si>
  <si>
    <t>CUST1263</t>
  </si>
  <si>
    <t>ORD10709</t>
  </si>
  <si>
    <t>CUST1580</t>
  </si>
  <si>
    <t>ORD10710</t>
  </si>
  <si>
    <t>CUST1343</t>
  </si>
  <si>
    <t>Ananya 49</t>
  </si>
  <si>
    <t>ORD10711</t>
  </si>
  <si>
    <t>Rohan 12</t>
  </si>
  <si>
    <t>ORD10712</t>
  </si>
  <si>
    <t>2025-12-14</t>
  </si>
  <si>
    <t>CUST1456</t>
  </si>
  <si>
    <t>ORD10713</t>
  </si>
  <si>
    <t>CUST1489</t>
  </si>
  <si>
    <t>Ishaan 46</t>
  </si>
  <si>
    <t>ORD10714</t>
  </si>
  <si>
    <t>CUST1007</t>
  </si>
  <si>
    <t>Rohan 88</t>
  </si>
  <si>
    <t>ORD10715</t>
  </si>
  <si>
    <t>ORD10716</t>
  </si>
  <si>
    <t>CUST1608</t>
  </si>
  <si>
    <t>ORD10717</t>
  </si>
  <si>
    <t>Kavya 48</t>
  </si>
  <si>
    <t>ORD10718</t>
  </si>
  <si>
    <t>ORD10719</t>
  </si>
  <si>
    <t>Vivek 22</t>
  </si>
  <si>
    <t>ORD10720</t>
  </si>
  <si>
    <t>CUST1794</t>
  </si>
  <si>
    <t>Rohan 52</t>
  </si>
  <si>
    <t>ORD10721</t>
  </si>
  <si>
    <t>2025-07-08</t>
  </si>
  <si>
    <t>ORD10722</t>
  </si>
  <si>
    <t>Meera 2</t>
  </si>
  <si>
    <t>ORD10723</t>
  </si>
  <si>
    <t>Meera 52</t>
  </si>
  <si>
    <t>ORD10724</t>
  </si>
  <si>
    <t>Aditi 85</t>
  </si>
  <si>
    <t>ORD10725</t>
  </si>
  <si>
    <t>Ishaan 28</t>
  </si>
  <si>
    <t>ORD10726</t>
  </si>
  <si>
    <t>2026-06-07</t>
  </si>
  <si>
    <t>Aditi 66</t>
  </si>
  <si>
    <t>ORD10727</t>
  </si>
  <si>
    <t>2025-06-13</t>
  </si>
  <si>
    <t>ORD10728</t>
  </si>
  <si>
    <t>2025-11-27</t>
  </si>
  <si>
    <t>ORD10729</t>
  </si>
  <si>
    <t>Aditi 27</t>
  </si>
  <si>
    <t>ORD10730</t>
  </si>
  <si>
    <t>2026-06-03</t>
  </si>
  <si>
    <t>CUST1624</t>
  </si>
  <si>
    <t>Ishaan 15</t>
  </si>
  <si>
    <t>ORD10731</t>
  </si>
  <si>
    <t>2026-04-24</t>
  </si>
  <si>
    <t>ORD10732</t>
  </si>
  <si>
    <t>ORD10733</t>
  </si>
  <si>
    <t>CUST1892</t>
  </si>
  <si>
    <t>ORD10734</t>
  </si>
  <si>
    <t>Ishaan 2</t>
  </si>
  <si>
    <t>ORD10735</t>
  </si>
  <si>
    <t>CUST1390</t>
  </si>
  <si>
    <t>ORD10736</t>
  </si>
  <si>
    <t>CUST1434</t>
  </si>
  <si>
    <t>ORD10737</t>
  </si>
  <si>
    <t>CUST1486</t>
  </si>
  <si>
    <t>ORD10738</t>
  </si>
  <si>
    <t>ORD10739</t>
  </si>
  <si>
    <t>Arjun 21</t>
  </si>
  <si>
    <t>ORD10740</t>
  </si>
  <si>
    <t>CUST1315</t>
  </si>
  <si>
    <t>Arjun 10</t>
  </si>
  <si>
    <t>ORD10741</t>
  </si>
  <si>
    <t>2025-02-18</t>
  </si>
  <si>
    <t>Karan 99</t>
  </si>
  <si>
    <t>ORD10742</t>
  </si>
  <si>
    <t>CUST1613</t>
  </si>
  <si>
    <t>Ananya 66</t>
  </si>
  <si>
    <t>ORD10743</t>
  </si>
  <si>
    <t>CUST1658</t>
  </si>
  <si>
    <t>Aditi 55</t>
  </si>
  <si>
    <t>ORD10744</t>
  </si>
  <si>
    <t>CUST1287</t>
  </si>
  <si>
    <t>ORD10745</t>
  </si>
  <si>
    <t>Ishaan 22</t>
  </si>
  <si>
    <t>ORD10746</t>
  </si>
  <si>
    <t>2025-01-14</t>
  </si>
  <si>
    <t>CUST1717</t>
  </si>
  <si>
    <t>ORD10747</t>
  </si>
  <si>
    <t>ORD10748</t>
  </si>
  <si>
    <t>ORD10749</t>
  </si>
  <si>
    <t>Ananya 56</t>
  </si>
  <si>
    <t>ORD10750</t>
  </si>
  <si>
    <t>Meera 59</t>
  </si>
  <si>
    <t>ORD10751</t>
  </si>
  <si>
    <t>2025-03-29</t>
  </si>
  <si>
    <t>Aditi 5</t>
  </si>
  <si>
    <t>ORD10752</t>
  </si>
  <si>
    <t>CUST1823</t>
  </si>
  <si>
    <t>ORD10753</t>
  </si>
  <si>
    <t>ORD10754</t>
  </si>
  <si>
    <t>CUST1070</t>
  </si>
  <si>
    <t>ORD10755</t>
  </si>
  <si>
    <t>ORD10756</t>
  </si>
  <si>
    <t>CUST1286</t>
  </si>
  <si>
    <t>Pooja 40</t>
  </si>
  <si>
    <t>ORD10757</t>
  </si>
  <si>
    <t>2026-05-17</t>
  </si>
  <si>
    <t>Ishaan 45</t>
  </si>
  <si>
    <t>ORD10758</t>
  </si>
  <si>
    <t>2025-04-20</t>
  </si>
  <si>
    <t>CUST1183</t>
  </si>
  <si>
    <t>Ishaan 19</t>
  </si>
  <si>
    <t>ORD10759</t>
  </si>
  <si>
    <t>ORD10760</t>
  </si>
  <si>
    <t>ORD10761</t>
  </si>
  <si>
    <t>Arjun 27</t>
  </si>
  <si>
    <t>ORD10762</t>
  </si>
  <si>
    <t>CUST1934</t>
  </si>
  <si>
    <t>Aditi 77</t>
  </si>
  <si>
    <t>ORD10763</t>
  </si>
  <si>
    <t>Pooja 45</t>
  </si>
  <si>
    <t>ORD10764</t>
  </si>
  <si>
    <t>Rohan 78</t>
  </si>
  <si>
    <t>ORD10765</t>
  </si>
  <si>
    <t>CUST1334</t>
  </si>
  <si>
    <t>Karan 86</t>
  </si>
  <si>
    <t>ORD10766</t>
  </si>
  <si>
    <t>2025-10-23</t>
  </si>
  <si>
    <t>ORD10767</t>
  </si>
  <si>
    <t>2026-03-23</t>
  </si>
  <si>
    <t>ORD10768</t>
  </si>
  <si>
    <t>2025-08-29</t>
  </si>
  <si>
    <t>CUST1731</t>
  </si>
  <si>
    <t>ORD10769</t>
  </si>
  <si>
    <t>2025-02-07</t>
  </si>
  <si>
    <t>CUST1807</t>
  </si>
  <si>
    <t>Vivek 31</t>
  </si>
  <si>
    <t>ORD10770</t>
  </si>
  <si>
    <t>CUST1626</t>
  </si>
  <si>
    <t>ORD10771</t>
  </si>
  <si>
    <t>Ananya 67</t>
  </si>
  <si>
    <t>ORD10772</t>
  </si>
  <si>
    <t>ORD10773</t>
  </si>
  <si>
    <t>ORD10774</t>
  </si>
  <si>
    <t>CUST1227</t>
  </si>
  <si>
    <t>Ishaan 85</t>
  </si>
  <si>
    <t>ORD10775</t>
  </si>
  <si>
    <t>Ananya 19</t>
  </si>
  <si>
    <t>ORD10776</t>
  </si>
  <si>
    <t>CUST1282</t>
  </si>
  <si>
    <t>ORD10777</t>
  </si>
  <si>
    <t>ORD10778</t>
  </si>
  <si>
    <t>ORD10779</t>
  </si>
  <si>
    <t>2025-09-22</t>
  </si>
  <si>
    <t>ORD10780</t>
  </si>
  <si>
    <t>CUST1115</t>
  </si>
  <si>
    <t>ORD10781</t>
  </si>
  <si>
    <t>Vivek 8</t>
  </si>
  <si>
    <t>ORD10782</t>
  </si>
  <si>
    <t>CUST1961</t>
  </si>
  <si>
    <t>ORD10783</t>
  </si>
  <si>
    <t>ORD10784</t>
  </si>
  <si>
    <t>2026-01-24</t>
  </si>
  <si>
    <t>ORD10785</t>
  </si>
  <si>
    <t>CUST1776</t>
  </si>
  <si>
    <t>Ishaan 9</t>
  </si>
  <si>
    <t>ORD10786</t>
  </si>
  <si>
    <t>Meera 70</t>
  </si>
  <si>
    <t>ORD10787</t>
  </si>
  <si>
    <t>2026-05-13</t>
  </si>
  <si>
    <t>CUST1205</t>
  </si>
  <si>
    <t>ORD10788</t>
  </si>
  <si>
    <t>2025-03-23</t>
  </si>
  <si>
    <t>CUST1013</t>
  </si>
  <si>
    <t>ORD10789</t>
  </si>
  <si>
    <t>Arjun 5</t>
  </si>
  <si>
    <t>ORD10790</t>
  </si>
  <si>
    <t>CUST1536</t>
  </si>
  <si>
    <t>ORD10791</t>
  </si>
  <si>
    <t>2025-04-01</t>
  </si>
  <si>
    <t>CUST1677</t>
  </si>
  <si>
    <t>ORD10792</t>
  </si>
  <si>
    <t>CUST1923</t>
  </si>
  <si>
    <t>Ananya 42</t>
  </si>
  <si>
    <t>ORD10793</t>
  </si>
  <si>
    <t>2025-02-20</t>
  </si>
  <si>
    <t>CUST1471</t>
  </si>
  <si>
    <t>ORD10794</t>
  </si>
  <si>
    <t>2025-11-28</t>
  </si>
  <si>
    <t>CUST1835</t>
  </si>
  <si>
    <t>Vivek 51</t>
  </si>
  <si>
    <t>ORD10795</t>
  </si>
  <si>
    <t>2025-06-23</t>
  </si>
  <si>
    <t>ORD10796</t>
  </si>
  <si>
    <t>ORD10797</t>
  </si>
  <si>
    <t>ORD10798</t>
  </si>
  <si>
    <t>CUST1376</t>
  </si>
  <si>
    <t>Rohan 37</t>
  </si>
  <si>
    <t>ORD10799</t>
  </si>
  <si>
    <t>CUST1948</t>
  </si>
  <si>
    <t>Pooja 63</t>
  </si>
  <si>
    <t>ORD10800</t>
  </si>
  <si>
    <t>CUST1668</t>
  </si>
  <si>
    <t>ORD10801</t>
  </si>
  <si>
    <t>CUST1983</t>
  </si>
  <si>
    <t>ORD10802</t>
  </si>
  <si>
    <t>CUST1460</t>
  </si>
  <si>
    <t>ORD10803</t>
  </si>
  <si>
    <t>CUST1697</t>
  </si>
  <si>
    <t>Ishaan 62</t>
  </si>
  <si>
    <t>ORD10804</t>
  </si>
  <si>
    <t>2025-08-24</t>
  </si>
  <si>
    <t>Karan 12</t>
  </si>
  <si>
    <t>ORD10805</t>
  </si>
  <si>
    <t>ORD10806</t>
  </si>
  <si>
    <t>2025-11-30</t>
  </si>
  <si>
    <t>CUST1886</t>
  </si>
  <si>
    <t>Aditi 3</t>
  </si>
  <si>
    <t>ORD10807</t>
  </si>
  <si>
    <t>CUST1966</t>
  </si>
  <si>
    <t>Ishaan 81</t>
  </si>
  <si>
    <t>ORD10808</t>
  </si>
  <si>
    <t>Aditi 60</t>
  </si>
  <si>
    <t>ORD10809</t>
  </si>
  <si>
    <t>Karan 84</t>
  </si>
  <si>
    <t>ORD10810</t>
  </si>
  <si>
    <t>Vivek 46</t>
  </si>
  <si>
    <t>ORD10811</t>
  </si>
  <si>
    <t>2025-05-15</t>
  </si>
  <si>
    <t>CUST1206</t>
  </si>
  <si>
    <t>ORD10812</t>
  </si>
  <si>
    <t>ORD10813</t>
  </si>
  <si>
    <t>Vivek 67</t>
  </si>
  <si>
    <t>ORD10814</t>
  </si>
  <si>
    <t>CUST1002</t>
  </si>
  <si>
    <t>Kavya 57</t>
  </si>
  <si>
    <t>ORD10815</t>
  </si>
  <si>
    <t>CUST1362</t>
  </si>
  <si>
    <t>Meera 33</t>
  </si>
  <si>
    <t>ORD10816</t>
  </si>
  <si>
    <t>CUST1722</t>
  </si>
  <si>
    <t>ORD10817</t>
  </si>
  <si>
    <t>CUST1936</t>
  </si>
  <si>
    <t>Vivek 69</t>
  </si>
  <si>
    <t>ORD10818</t>
  </si>
  <si>
    <t>CUST1594</t>
  </si>
  <si>
    <t>ORD10819</t>
  </si>
  <si>
    <t>2025-01-10</t>
  </si>
  <si>
    <t>Aditi 15</t>
  </si>
  <si>
    <t>ORD10820</t>
  </si>
  <si>
    <t>ORD10821</t>
  </si>
  <si>
    <t>CUST1724</t>
  </si>
  <si>
    <t>ORD10822</t>
  </si>
  <si>
    <t>CUST1220</t>
  </si>
  <si>
    <t>Pooja 33</t>
  </si>
  <si>
    <t>ORD10823</t>
  </si>
  <si>
    <t>2025-03-06</t>
  </si>
  <si>
    <t>Rohan 94</t>
  </si>
  <si>
    <t>ORD10824</t>
  </si>
  <si>
    <t>CUST1711</t>
  </si>
  <si>
    <t>ORD10825</t>
  </si>
  <si>
    <t>ORD10826</t>
  </si>
  <si>
    <t>Ananya 43</t>
  </si>
  <si>
    <t>ORD10827</t>
  </si>
  <si>
    <t>ORD10828</t>
  </si>
  <si>
    <t>ORD10829</t>
  </si>
  <si>
    <t>2025-01-30</t>
  </si>
  <si>
    <t>Ananya 61</t>
  </si>
  <si>
    <t>ORD10830</t>
  </si>
  <si>
    <t>CUST1872</t>
  </si>
  <si>
    <t>ORD10831</t>
  </si>
  <si>
    <t>CUST1338</t>
  </si>
  <si>
    <t>Meera 56</t>
  </si>
  <si>
    <t>ORD10832</t>
  </si>
  <si>
    <t>2025-05-01</t>
  </si>
  <si>
    <t>CUST1965</t>
  </si>
  <si>
    <t>Pooja 46</t>
  </si>
  <si>
    <t>ORD10833</t>
  </si>
  <si>
    <t>2026-04-18</t>
  </si>
  <si>
    <t>Aditi 99</t>
  </si>
  <si>
    <t>ORD10834</t>
  </si>
  <si>
    <t>2026-01-25</t>
  </si>
  <si>
    <t>ORD10835</t>
  </si>
  <si>
    <t>CUST1982</t>
  </si>
  <si>
    <t>Aditi 88</t>
  </si>
  <si>
    <t>ORD10836</t>
  </si>
  <si>
    <t>CUST1648</t>
  </si>
  <si>
    <t>Meera 82</t>
  </si>
  <si>
    <t>ORD10837</t>
  </si>
  <si>
    <t>Ananya 7</t>
  </si>
  <si>
    <t>ORD10838</t>
  </si>
  <si>
    <t>2025-10-09</t>
  </si>
  <si>
    <t>ORD10839</t>
  </si>
  <si>
    <t>2025-06-01</t>
  </si>
  <si>
    <t>Ananya 65</t>
  </si>
  <si>
    <t>ORD10840</t>
  </si>
  <si>
    <t>2025-02-13</t>
  </si>
  <si>
    <t>CUST1116</t>
  </si>
  <si>
    <t>Pooja 42</t>
  </si>
  <si>
    <t>ORD10841</t>
  </si>
  <si>
    <t>Rohan 49</t>
  </si>
  <si>
    <t>ORD10842</t>
  </si>
  <si>
    <t>ORD10843</t>
  </si>
  <si>
    <t>CUST1430</t>
  </si>
  <si>
    <t>ORD10844</t>
  </si>
  <si>
    <t>CUST1766</t>
  </si>
  <si>
    <t>ORD10845</t>
  </si>
  <si>
    <t>Ishaan 17</t>
  </si>
  <si>
    <t>ORD10846</t>
  </si>
  <si>
    <t>Ishaan 72</t>
  </si>
  <si>
    <t>ORD10847</t>
  </si>
  <si>
    <t>ORD10848</t>
  </si>
  <si>
    <t>CUST1656</t>
  </si>
  <si>
    <t>Rohan 95</t>
  </si>
  <si>
    <t>ORD10849</t>
  </si>
  <si>
    <t>CUST1368</t>
  </si>
  <si>
    <t>ORD10850</t>
  </si>
  <si>
    <t>CUST1895</t>
  </si>
  <si>
    <t>ORD10851</t>
  </si>
  <si>
    <t>2026-04-02</t>
  </si>
  <si>
    <t>CUST1903</t>
  </si>
  <si>
    <t>ORD10852</t>
  </si>
  <si>
    <t>2025-11-03</t>
  </si>
  <si>
    <t>Arjun 67</t>
  </si>
  <si>
    <t>ORD10853</t>
  </si>
  <si>
    <t>ORD10854</t>
  </si>
  <si>
    <t>2025-05-19</t>
  </si>
  <si>
    <t>ORD10855</t>
  </si>
  <si>
    <t>Ishaan 89</t>
  </si>
  <si>
    <t>ORD10856</t>
  </si>
  <si>
    <t>CUST1154</t>
  </si>
  <si>
    <t>ORD10857</t>
  </si>
  <si>
    <t>CUST1474</t>
  </si>
  <si>
    <t>Rohan 32</t>
  </si>
  <si>
    <t>ORD10858</t>
  </si>
  <si>
    <t>ORD10859</t>
  </si>
  <si>
    <t>CUST1169</t>
  </si>
  <si>
    <t>Aditi 56</t>
  </si>
  <si>
    <t>ORD10860</t>
  </si>
  <si>
    <t>CUST1059</t>
  </si>
  <si>
    <t>ORD10861</t>
  </si>
  <si>
    <t>ORD10862</t>
  </si>
  <si>
    <t>ORD10863</t>
  </si>
  <si>
    <t>2026-03-12</t>
  </si>
  <si>
    <t>CUST1598</t>
  </si>
  <si>
    <t>Rohan 3</t>
  </si>
  <si>
    <t>ORD10864</t>
  </si>
  <si>
    <t>Meera 30</t>
  </si>
  <si>
    <t>ORD10865</t>
  </si>
  <si>
    <t>ORD10866</t>
  </si>
  <si>
    <t>ORD10867</t>
  </si>
  <si>
    <t>Karan 45</t>
  </si>
  <si>
    <t>ORD10868</t>
  </si>
  <si>
    <t>Meera 39</t>
  </si>
  <si>
    <t>ORD10869</t>
  </si>
  <si>
    <t>2025-01-31</t>
  </si>
  <si>
    <t>Pooja 37</t>
  </si>
  <si>
    <t>ORD10870</t>
  </si>
  <si>
    <t>2025-09-26</t>
  </si>
  <si>
    <t>CUST1135</t>
  </si>
  <si>
    <t>Meera 13</t>
  </si>
  <si>
    <t>ORD10871</t>
  </si>
  <si>
    <t>2025-11-16</t>
  </si>
  <si>
    <t>ORD10872</t>
  </si>
  <si>
    <t>CUST1798</t>
  </si>
  <si>
    <t>Meera 29</t>
  </si>
  <si>
    <t>ORD10873</t>
  </si>
  <si>
    <t>CUST1958</t>
  </si>
  <si>
    <t>Vivek 27</t>
  </si>
  <si>
    <t>ORD10874</t>
  </si>
  <si>
    <t>ORD10875</t>
  </si>
  <si>
    <t>ORD10876</t>
  </si>
  <si>
    <t>2026-03-09</t>
  </si>
  <si>
    <t>CUST1268</t>
  </si>
  <si>
    <t>Arjun 75</t>
  </si>
  <si>
    <t>ORD10877</t>
  </si>
  <si>
    <t>CUST1593</t>
  </si>
  <si>
    <t>ORD10878</t>
  </si>
  <si>
    <t>CUST1383</t>
  </si>
  <si>
    <t>ORD10879</t>
  </si>
  <si>
    <t>2025-10-30</t>
  </si>
  <si>
    <t>ORD10880</t>
  </si>
  <si>
    <t>CUST1319</t>
  </si>
  <si>
    <t>ORD10881</t>
  </si>
  <si>
    <t>Ishaan 29</t>
  </si>
  <si>
    <t>ORD10882</t>
  </si>
  <si>
    <t>2025-11-29</t>
  </si>
  <si>
    <t>ORD10883</t>
  </si>
  <si>
    <t>CUST1748</t>
  </si>
  <si>
    <t>ORD10884</t>
  </si>
  <si>
    <t>Ananya 95</t>
  </si>
  <si>
    <t>ORD10885</t>
  </si>
  <si>
    <t>ORD10886</t>
  </si>
  <si>
    <t>ORD10887</t>
  </si>
  <si>
    <t>CUST1873</t>
  </si>
  <si>
    <t>Meera 53</t>
  </si>
  <si>
    <t>ORD10888</t>
  </si>
  <si>
    <t>Meera 41</t>
  </si>
  <si>
    <t>ORD10889</t>
  </si>
  <si>
    <t>Ananya 51</t>
  </si>
  <si>
    <t>ORD10890</t>
  </si>
  <si>
    <t>Arjun 6</t>
  </si>
  <si>
    <t>ORD10891</t>
  </si>
  <si>
    <t>Aditi 78</t>
  </si>
  <si>
    <t>ORD10892</t>
  </si>
  <si>
    <t>Ishaan 39</t>
  </si>
  <si>
    <t>ORD10893</t>
  </si>
  <si>
    <t>ORD10894</t>
  </si>
  <si>
    <t>ORD10895</t>
  </si>
  <si>
    <t>ORD10896</t>
  </si>
  <si>
    <t>ORD10897</t>
  </si>
  <si>
    <t>2025-02-03</t>
  </si>
  <si>
    <t>Ananya 20</t>
  </si>
  <si>
    <t>ORD10898</t>
  </si>
  <si>
    <t>ORD10899</t>
  </si>
  <si>
    <t>2026-05-09</t>
  </si>
  <si>
    <t>Meera 45</t>
  </si>
  <si>
    <t>ORD10900</t>
  </si>
  <si>
    <t>CUST1759</t>
  </si>
  <si>
    <t>Kavya 93</t>
  </si>
  <si>
    <t>ORD10901</t>
  </si>
  <si>
    <t>ORD10902</t>
  </si>
  <si>
    <t>ORD10903</t>
  </si>
  <si>
    <t>2026-06-21</t>
  </si>
  <si>
    <t>Aditi 21</t>
  </si>
  <si>
    <t>ORD10904</t>
  </si>
  <si>
    <t>CUST1839</t>
  </si>
  <si>
    <t>ORD10905</t>
  </si>
  <si>
    <t>2025-08-26</t>
  </si>
  <si>
    <t>Karan 29</t>
  </si>
  <si>
    <t>ORD10906</t>
  </si>
  <si>
    <t>CUST1583</t>
  </si>
  <si>
    <t>Arjun 97</t>
  </si>
  <si>
    <t>ORD10907</t>
  </si>
  <si>
    <t>CUST1346</t>
  </si>
  <si>
    <t>ORD10908</t>
  </si>
  <si>
    <t>ORD10909</t>
  </si>
  <si>
    <t>CUST1159</t>
  </si>
  <si>
    <t>ORD10910</t>
  </si>
  <si>
    <t>CUST1033</t>
  </si>
  <si>
    <t>ORD10911</t>
  </si>
  <si>
    <t>ORD10912</t>
  </si>
  <si>
    <t>ORD10913</t>
  </si>
  <si>
    <t>CUST1790</t>
  </si>
  <si>
    <t>Arjun 1</t>
  </si>
  <si>
    <t>ORD10914</t>
  </si>
  <si>
    <t>ORD10915</t>
  </si>
  <si>
    <t>CUST1694</t>
  </si>
  <si>
    <t>ORD10916</t>
  </si>
  <si>
    <t>CUST1444</t>
  </si>
  <si>
    <t>ORD10917</t>
  </si>
  <si>
    <t>ORD10918</t>
  </si>
  <si>
    <t>Ananya 84</t>
  </si>
  <si>
    <t>ORD10919</t>
  </si>
  <si>
    <t>2025-10-10</t>
  </si>
  <si>
    <t>CUST1082</t>
  </si>
  <si>
    <t>Aditi 19</t>
  </si>
  <si>
    <t>ORD10920</t>
  </si>
  <si>
    <t>2025-07-20</t>
  </si>
  <si>
    <t>ORD10921</t>
  </si>
  <si>
    <t>ORD10922</t>
  </si>
  <si>
    <t>2025-09-20</t>
  </si>
  <si>
    <t>Karan 19</t>
  </si>
  <si>
    <t>ORD10923</t>
  </si>
  <si>
    <t>ORD10924</t>
  </si>
  <si>
    <t>ORD10925</t>
  </si>
  <si>
    <t>Pooja 27</t>
  </si>
  <si>
    <t>ORD10926</t>
  </si>
  <si>
    <t>ORD10927</t>
  </si>
  <si>
    <t>CUST1866</t>
  </si>
  <si>
    <t>Pooja 23</t>
  </si>
  <si>
    <t>ORD10928</t>
  </si>
  <si>
    <t>ORD10929</t>
  </si>
  <si>
    <t>ORD10930</t>
  </si>
  <si>
    <t>Arjun 58</t>
  </si>
  <si>
    <t>ORD10931</t>
  </si>
  <si>
    <t>ORD10932</t>
  </si>
  <si>
    <t>CUST1328</t>
  </si>
  <si>
    <t>ORD10933</t>
  </si>
  <si>
    <t>ORD10934</t>
  </si>
  <si>
    <t>Pooja 54</t>
  </si>
  <si>
    <t>ORD10935</t>
  </si>
  <si>
    <t>CUST1151</t>
  </si>
  <si>
    <t>ORD10936</t>
  </si>
  <si>
    <t>CUST1218</t>
  </si>
  <si>
    <t>ORD10937</t>
  </si>
  <si>
    <t>ORD10938</t>
  </si>
  <si>
    <t>2025-02-08</t>
  </si>
  <si>
    <t>CUST1500</t>
  </si>
  <si>
    <t>ORD10939</t>
  </si>
  <si>
    <t>ORD10940</t>
  </si>
  <si>
    <t>ORD10941</t>
  </si>
  <si>
    <t>ORD10942</t>
  </si>
  <si>
    <t>Kavya 15</t>
  </si>
  <si>
    <t>ORD10943</t>
  </si>
  <si>
    <t>ORD10944</t>
  </si>
  <si>
    <t>ORD10945</t>
  </si>
  <si>
    <t>ORD10946</t>
  </si>
  <si>
    <t>2025-08-30</t>
  </si>
  <si>
    <t>CUST1094</t>
  </si>
  <si>
    <t>ORD10947</t>
  </si>
  <si>
    <t>CUST1276</t>
  </si>
  <si>
    <t>Meera 76</t>
  </si>
  <si>
    <t>ORD10948</t>
  </si>
  <si>
    <t>ORD10949</t>
  </si>
  <si>
    <t>ORD10950</t>
  </si>
  <si>
    <t>ORD10951</t>
  </si>
  <si>
    <t>ORD10952</t>
  </si>
  <si>
    <t>CUST1130</t>
  </si>
  <si>
    <t>ORD10953</t>
  </si>
  <si>
    <t>ORD10954</t>
  </si>
  <si>
    <t>ORD10955</t>
  </si>
  <si>
    <t>CUST1906</t>
  </si>
  <si>
    <t>ORD10956</t>
  </si>
  <si>
    <t>CUST1953</t>
  </si>
  <si>
    <t>ORD10957</t>
  </si>
  <si>
    <t>ORD10958</t>
  </si>
  <si>
    <t>ORD10959</t>
  </si>
  <si>
    <t>2025-02-06</t>
  </si>
  <si>
    <t>CUST1960</t>
  </si>
  <si>
    <t>Arjun 9</t>
  </si>
  <si>
    <t>ORD10960</t>
  </si>
  <si>
    <t>Ananya 75</t>
  </si>
  <si>
    <t>ORD10961</t>
  </si>
  <si>
    <t>CUST1435</t>
  </si>
  <si>
    <t>Pooja 93</t>
  </si>
  <si>
    <t>ORD10962</t>
  </si>
  <si>
    <t>ORD10963</t>
  </si>
  <si>
    <t>ORD10964</t>
  </si>
  <si>
    <t>2026-01-09</t>
  </si>
  <si>
    <t>Vivek 33</t>
  </si>
  <si>
    <t>ORD10965</t>
  </si>
  <si>
    <t>CUST1221</t>
  </si>
  <si>
    <t>ORD10966</t>
  </si>
  <si>
    <t>CUST1600</t>
  </si>
  <si>
    <t>Rohan 87</t>
  </si>
  <si>
    <t>ORD10967</t>
  </si>
  <si>
    <t>Kavya 24</t>
  </si>
  <si>
    <t>ORD10968</t>
  </si>
  <si>
    <t>ORD10969</t>
  </si>
  <si>
    <t>CUST1856</t>
  </si>
  <si>
    <t>ORD10970</t>
  </si>
  <si>
    <t>CUST1222</t>
  </si>
  <si>
    <t>ORD10971</t>
  </si>
  <si>
    <t>Ananya 41</t>
  </si>
  <si>
    <t>ORD10972</t>
  </si>
  <si>
    <t>ORD10973</t>
  </si>
  <si>
    <t>ORD10974</t>
  </si>
  <si>
    <t>ORD10975</t>
  </si>
  <si>
    <t>Pooja 66</t>
  </si>
  <si>
    <t>ORD10976</t>
  </si>
  <si>
    <t>ORD10977</t>
  </si>
  <si>
    <t>2025-12-24</t>
  </si>
  <si>
    <t>ORD10978</t>
  </si>
  <si>
    <t>CUST1549</t>
  </si>
  <si>
    <t>ORD10979</t>
  </si>
  <si>
    <t>CUST1198</t>
  </si>
  <si>
    <t>ORD10980</t>
  </si>
  <si>
    <t>ORD10981</t>
  </si>
  <si>
    <t>ORD10982</t>
  </si>
  <si>
    <t>ORD10983</t>
  </si>
  <si>
    <t>Meera 12</t>
  </si>
  <si>
    <t>ORD10984</t>
  </si>
  <si>
    <t>ORD10985</t>
  </si>
  <si>
    <t>CUST1862</t>
  </si>
  <si>
    <t>Aditi 64</t>
  </si>
  <si>
    <t>ORD10986</t>
  </si>
  <si>
    <t>ORD10987</t>
  </si>
  <si>
    <t>ORD10988</t>
  </si>
  <si>
    <t>CUST1105</t>
  </si>
  <si>
    <t>ORD10989</t>
  </si>
  <si>
    <t>ORD10990</t>
  </si>
  <si>
    <t>CUST1657</t>
  </si>
  <si>
    <t>ORD10991</t>
  </si>
  <si>
    <t>ORD10992</t>
  </si>
  <si>
    <t>Arjun 76</t>
  </si>
  <si>
    <t>ORD10993</t>
  </si>
  <si>
    <t>CUST1084</t>
  </si>
  <si>
    <t>Arjun 7</t>
  </si>
  <si>
    <t>ORD10994</t>
  </si>
  <si>
    <t>ORD10995</t>
  </si>
  <si>
    <t>2025-12-05</t>
  </si>
  <si>
    <t>ORD10996</t>
  </si>
  <si>
    <t>ORD10997</t>
  </si>
  <si>
    <t>ORD10998</t>
  </si>
  <si>
    <t>Rohan 68</t>
  </si>
  <si>
    <t>ORD10999</t>
  </si>
  <si>
    <t>ORD11000</t>
  </si>
  <si>
    <t>ORD11001</t>
  </si>
  <si>
    <t>Aditi 16</t>
  </si>
  <si>
    <t>Sales_amount</t>
  </si>
  <si>
    <t>Absolute Reference</t>
  </si>
  <si>
    <t>Relative Reference</t>
  </si>
  <si>
    <t>Lookup - 2</t>
  </si>
  <si>
    <t>Vlookup</t>
  </si>
  <si>
    <t>Hlookup</t>
  </si>
  <si>
    <t>xlookup</t>
  </si>
  <si>
    <t>lookup</t>
  </si>
  <si>
    <t>vlookup</t>
  </si>
  <si>
    <t>hlookup</t>
  </si>
  <si>
    <t>ORD1001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</si>
</sst>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3" fillId="2" borderId="0" xfId="0" applyFont="1" applyFill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opLeftCell="D979" zoomScale="116" workbookViewId="0">
      <selection sqref="A1:L1001"/>
    </sheetView>
  </sheetViews>
  <sheetFormatPr defaultRowHeight="14.4" x14ac:dyDescent="0.3"/>
  <cols>
    <col min="1" max="11" width="18" customWidth="1"/>
    <col min="12" max="12" width="13.33203125" customWidth="1"/>
    <col min="14" max="14" width="11" customWidth="1"/>
    <col min="15" max="15" width="20.77734375" customWidth="1"/>
    <col min="16" max="16" width="13.33203125" customWidth="1"/>
    <col min="20" max="20" width="17.33203125" customWidth="1"/>
    <col min="21" max="21" width="17.77734375" customWidth="1"/>
    <col min="23" max="23" width="19.6640625" customWidth="1"/>
    <col min="24" max="24" width="18.88671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3" t="s">
        <v>9</v>
      </c>
    </row>
    <row r="2" spans="1:24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</v>
      </c>
      <c r="I2">
        <v>480.58</v>
      </c>
      <c r="J2" t="s">
        <v>19</v>
      </c>
      <c r="K2" t="s">
        <v>20</v>
      </c>
      <c r="L2">
        <f>H2*I2</f>
        <v>1441.74</v>
      </c>
      <c r="P2" t="s">
        <v>2760</v>
      </c>
    </row>
    <row r="3" spans="1:24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3</v>
      </c>
      <c r="I3">
        <v>2093.35</v>
      </c>
      <c r="J3" t="s">
        <v>28</v>
      </c>
      <c r="K3" t="s">
        <v>29</v>
      </c>
      <c r="L3">
        <f t="shared" ref="L3:L66" si="0">H3*I3</f>
        <v>6280.0499999999993</v>
      </c>
      <c r="P3" t="s">
        <v>2761</v>
      </c>
      <c r="W3" s="4" t="s">
        <v>0</v>
      </c>
      <c r="X3" t="s">
        <v>30</v>
      </c>
    </row>
    <row r="4" spans="1:24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17</v>
      </c>
      <c r="G4" t="s">
        <v>35</v>
      </c>
      <c r="H4">
        <v>9</v>
      </c>
      <c r="I4">
        <v>2332.84</v>
      </c>
      <c r="J4" t="s">
        <v>19</v>
      </c>
      <c r="K4" t="s">
        <v>36</v>
      </c>
      <c r="L4">
        <f t="shared" si="0"/>
        <v>20995.56</v>
      </c>
      <c r="P4" t="s">
        <v>2762</v>
      </c>
      <c r="W4" s="4" t="s">
        <v>1</v>
      </c>
      <c r="X4" t="str">
        <f>_xlfn.XLOOKUP(X3,A2:A1001,D2:D1001,"Not found",0,2)</f>
        <v>Ishaan 47</v>
      </c>
    </row>
    <row r="5" spans="1:24" x14ac:dyDescent="0.3">
      <c r="A5" t="s">
        <v>37</v>
      </c>
      <c r="B5" t="s">
        <v>38</v>
      </c>
      <c r="C5" t="s">
        <v>39</v>
      </c>
      <c r="D5" t="s">
        <v>40</v>
      </c>
      <c r="E5" t="s">
        <v>25</v>
      </c>
      <c r="F5" t="s">
        <v>17</v>
      </c>
      <c r="G5" t="s">
        <v>41</v>
      </c>
      <c r="H5">
        <v>5</v>
      </c>
      <c r="I5">
        <v>3805.41</v>
      </c>
      <c r="J5" t="s">
        <v>42</v>
      </c>
      <c r="K5" t="s">
        <v>43</v>
      </c>
      <c r="L5">
        <f t="shared" si="0"/>
        <v>19027.05</v>
      </c>
      <c r="P5" t="s">
        <v>2763</v>
      </c>
      <c r="W5" s="4" t="s">
        <v>2</v>
      </c>
    </row>
    <row r="6" spans="1:24" x14ac:dyDescent="0.3">
      <c r="A6" t="s">
        <v>44</v>
      </c>
      <c r="B6" t="s">
        <v>45</v>
      </c>
      <c r="C6" t="s">
        <v>46</v>
      </c>
      <c r="D6" t="s">
        <v>47</v>
      </c>
      <c r="E6" t="s">
        <v>34</v>
      </c>
      <c r="F6" t="s">
        <v>48</v>
      </c>
      <c r="G6" t="s">
        <v>49</v>
      </c>
      <c r="H6">
        <v>6</v>
      </c>
      <c r="I6">
        <v>628.03</v>
      </c>
      <c r="J6" t="s">
        <v>50</v>
      </c>
      <c r="K6" t="s">
        <v>51</v>
      </c>
      <c r="L6">
        <f t="shared" si="0"/>
        <v>3768.18</v>
      </c>
      <c r="R6" t="str">
        <f>LOOKUP(N9,A2:A1001,K2:K1001)</f>
        <v>Rahul</v>
      </c>
      <c r="W6" s="4" t="s">
        <v>3</v>
      </c>
    </row>
    <row r="7" spans="1:24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48</v>
      </c>
      <c r="G7" t="s">
        <v>57</v>
      </c>
      <c r="H7">
        <v>7</v>
      </c>
      <c r="I7">
        <v>4422.68</v>
      </c>
      <c r="J7" t="s">
        <v>50</v>
      </c>
      <c r="K7" t="s">
        <v>51</v>
      </c>
      <c r="L7">
        <f t="shared" si="0"/>
        <v>30958.760000000002</v>
      </c>
      <c r="W7" s="4" t="s">
        <v>4</v>
      </c>
    </row>
    <row r="8" spans="1:24" x14ac:dyDescent="0.3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48</v>
      </c>
      <c r="G8" t="s">
        <v>63</v>
      </c>
      <c r="H8">
        <v>4</v>
      </c>
      <c r="I8">
        <v>1484.47</v>
      </c>
      <c r="J8" t="s">
        <v>19</v>
      </c>
      <c r="K8" t="s">
        <v>36</v>
      </c>
      <c r="L8">
        <f t="shared" si="0"/>
        <v>5937.88</v>
      </c>
      <c r="W8" s="4" t="s">
        <v>5</v>
      </c>
    </row>
    <row r="9" spans="1:24" x14ac:dyDescent="0.3">
      <c r="A9" t="s">
        <v>64</v>
      </c>
      <c r="B9" t="s">
        <v>65</v>
      </c>
      <c r="C9" t="s">
        <v>66</v>
      </c>
      <c r="D9" t="s">
        <v>67</v>
      </c>
      <c r="E9" t="s">
        <v>34</v>
      </c>
      <c r="F9" t="s">
        <v>17</v>
      </c>
      <c r="G9" t="s">
        <v>68</v>
      </c>
      <c r="H9">
        <v>8</v>
      </c>
      <c r="I9">
        <v>4648.24</v>
      </c>
      <c r="J9" t="s">
        <v>19</v>
      </c>
      <c r="K9" t="s">
        <v>43</v>
      </c>
      <c r="L9">
        <f t="shared" si="0"/>
        <v>37185.919999999998</v>
      </c>
      <c r="N9" t="s">
        <v>312</v>
      </c>
      <c r="O9" t="str">
        <f>LOOKUP(N9,A2:K1001)</f>
        <v>Rahul</v>
      </c>
      <c r="W9" s="4" t="s">
        <v>6</v>
      </c>
    </row>
    <row r="10" spans="1:24" x14ac:dyDescent="0.3">
      <c r="A10" t="s">
        <v>69</v>
      </c>
      <c r="B10" t="s">
        <v>70</v>
      </c>
      <c r="C10" t="s">
        <v>71</v>
      </c>
      <c r="D10" t="s">
        <v>72</v>
      </c>
      <c r="E10" t="s">
        <v>34</v>
      </c>
      <c r="F10" t="s">
        <v>48</v>
      </c>
      <c r="G10" t="s">
        <v>49</v>
      </c>
      <c r="H10">
        <v>2</v>
      </c>
      <c r="I10">
        <v>4394.83</v>
      </c>
      <c r="J10" t="s">
        <v>42</v>
      </c>
      <c r="K10" t="s">
        <v>51</v>
      </c>
      <c r="L10">
        <f t="shared" si="0"/>
        <v>8789.66</v>
      </c>
      <c r="W10" s="4" t="s">
        <v>7</v>
      </c>
    </row>
    <row r="11" spans="1:24" x14ac:dyDescent="0.3">
      <c r="A11" t="s">
        <v>73</v>
      </c>
      <c r="B11" t="s">
        <v>74</v>
      </c>
      <c r="C11" t="s">
        <v>75</v>
      </c>
      <c r="D11" t="s">
        <v>76</v>
      </c>
      <c r="E11" t="s">
        <v>62</v>
      </c>
      <c r="F11" t="s">
        <v>77</v>
      </c>
      <c r="G11" t="s">
        <v>78</v>
      </c>
      <c r="H11">
        <v>8</v>
      </c>
      <c r="I11">
        <v>1546.77</v>
      </c>
      <c r="J11" t="s">
        <v>19</v>
      </c>
      <c r="K11" t="s">
        <v>20</v>
      </c>
      <c r="L11">
        <f t="shared" si="0"/>
        <v>12374.16</v>
      </c>
      <c r="W11" s="4" t="s">
        <v>8</v>
      </c>
    </row>
    <row r="12" spans="1:24" x14ac:dyDescent="0.3">
      <c r="A12" t="s">
        <v>79</v>
      </c>
      <c r="B12" t="s">
        <v>80</v>
      </c>
      <c r="C12" t="s">
        <v>81</v>
      </c>
      <c r="D12" t="s">
        <v>82</v>
      </c>
      <c r="E12" t="s">
        <v>62</v>
      </c>
      <c r="F12" t="s">
        <v>48</v>
      </c>
      <c r="G12" t="s">
        <v>49</v>
      </c>
      <c r="H12">
        <v>8</v>
      </c>
      <c r="I12">
        <v>366.27</v>
      </c>
      <c r="J12" t="s">
        <v>42</v>
      </c>
      <c r="K12" t="s">
        <v>83</v>
      </c>
      <c r="L12">
        <f t="shared" si="0"/>
        <v>2930.16</v>
      </c>
      <c r="O12" s="4" t="s">
        <v>0</v>
      </c>
      <c r="P12" s="6" t="s">
        <v>384</v>
      </c>
      <c r="T12" s="4" t="s">
        <v>0</v>
      </c>
      <c r="U12" t="s">
        <v>30</v>
      </c>
      <c r="W12" s="4" t="s">
        <v>10</v>
      </c>
    </row>
    <row r="13" spans="1:24" x14ac:dyDescent="0.3">
      <c r="A13" t="s">
        <v>84</v>
      </c>
      <c r="B13" t="s">
        <v>85</v>
      </c>
      <c r="C13" t="s">
        <v>86</v>
      </c>
      <c r="D13" t="s">
        <v>87</v>
      </c>
      <c r="E13" t="s">
        <v>25</v>
      </c>
      <c r="F13" t="s">
        <v>48</v>
      </c>
      <c r="G13" t="s">
        <v>49</v>
      </c>
      <c r="H13">
        <v>1</v>
      </c>
      <c r="I13">
        <v>661.42</v>
      </c>
      <c r="J13" t="s">
        <v>50</v>
      </c>
      <c r="K13" t="s">
        <v>43</v>
      </c>
      <c r="L13">
        <f t="shared" si="0"/>
        <v>661.42</v>
      </c>
      <c r="O13" s="4" t="s">
        <v>1</v>
      </c>
      <c r="P13" t="str">
        <f>LOOKUP(P12,A2:B1001)</f>
        <v>2026-03-29</v>
      </c>
      <c r="T13" s="4" t="s">
        <v>1</v>
      </c>
      <c r="U13" t="str">
        <f>_xlfn.IFNA(VLOOKUP(U12,A2:L1001,2,0),"Not found")</f>
        <v>2025-08-05</v>
      </c>
      <c r="W13" s="4" t="s">
        <v>11</v>
      </c>
    </row>
    <row r="14" spans="1:24" x14ac:dyDescent="0.3">
      <c r="A14" t="s">
        <v>88</v>
      </c>
      <c r="B14" t="s">
        <v>89</v>
      </c>
      <c r="C14" t="s">
        <v>90</v>
      </c>
      <c r="D14" t="s">
        <v>91</v>
      </c>
      <c r="E14" t="s">
        <v>34</v>
      </c>
      <c r="F14" t="s">
        <v>48</v>
      </c>
      <c r="G14" t="s">
        <v>63</v>
      </c>
      <c r="H14">
        <v>5</v>
      </c>
      <c r="I14">
        <v>2651.15</v>
      </c>
      <c r="J14" t="s">
        <v>19</v>
      </c>
      <c r="K14" t="s">
        <v>43</v>
      </c>
      <c r="L14">
        <f t="shared" si="0"/>
        <v>13255.75</v>
      </c>
      <c r="O14" s="4" t="s">
        <v>2</v>
      </c>
      <c r="P14" t="str">
        <f>LOOKUP(P12,A2:C1001)</f>
        <v>CUST1774</v>
      </c>
      <c r="T14" s="4" t="s">
        <v>2</v>
      </c>
      <c r="U14" t="str">
        <f>VLOOKUP(U12,A2:L1001,3,0)</f>
        <v>CUST1663</v>
      </c>
      <c r="W14" s="5" t="s">
        <v>9</v>
      </c>
    </row>
    <row r="15" spans="1:24" x14ac:dyDescent="0.3">
      <c r="A15" t="s">
        <v>92</v>
      </c>
      <c r="B15" t="s">
        <v>93</v>
      </c>
      <c r="C15" t="s">
        <v>23</v>
      </c>
      <c r="D15" t="s">
        <v>94</v>
      </c>
      <c r="E15" t="s">
        <v>95</v>
      </c>
      <c r="F15" t="s">
        <v>17</v>
      </c>
      <c r="G15" t="s">
        <v>18</v>
      </c>
      <c r="H15">
        <v>9</v>
      </c>
      <c r="I15">
        <v>659.48</v>
      </c>
      <c r="J15" t="s">
        <v>50</v>
      </c>
      <c r="K15" t="s">
        <v>43</v>
      </c>
      <c r="L15">
        <f t="shared" si="0"/>
        <v>5935.32</v>
      </c>
      <c r="O15" s="4" t="s">
        <v>3</v>
      </c>
      <c r="P15" t="str">
        <f>LOOKUP(P12,A2:D1001)</f>
        <v>Arjun 18</v>
      </c>
      <c r="T15" s="4" t="s">
        <v>3</v>
      </c>
      <c r="U15" t="str">
        <f>VLOOKUP(U12,A2:L1001,4,0)</f>
        <v>Ishaan 47</v>
      </c>
    </row>
    <row r="16" spans="1:24" x14ac:dyDescent="0.3">
      <c r="A16" t="s">
        <v>96</v>
      </c>
      <c r="B16" t="s">
        <v>97</v>
      </c>
      <c r="C16" t="s">
        <v>98</v>
      </c>
      <c r="D16" t="s">
        <v>99</v>
      </c>
      <c r="E16" t="s">
        <v>62</v>
      </c>
      <c r="F16" t="s">
        <v>17</v>
      </c>
      <c r="G16" t="s">
        <v>68</v>
      </c>
      <c r="H16">
        <v>10</v>
      </c>
      <c r="I16">
        <v>458.39</v>
      </c>
      <c r="J16" t="s">
        <v>50</v>
      </c>
      <c r="K16" t="s">
        <v>36</v>
      </c>
      <c r="L16">
        <f t="shared" si="0"/>
        <v>4583.8999999999996</v>
      </c>
      <c r="O16" s="4" t="s">
        <v>4</v>
      </c>
      <c r="P16" t="str">
        <f>LOOKUP(P12,A2:E1001)</f>
        <v>Kolkata</v>
      </c>
      <c r="T16" s="4" t="s">
        <v>4</v>
      </c>
      <c r="U16" t="str">
        <f>VLOOKUP(U12,A2:L1001,5,0)</f>
        <v>Mumbai</v>
      </c>
    </row>
    <row r="17" spans="1:21" x14ac:dyDescent="0.3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77</v>
      </c>
      <c r="G17" t="s">
        <v>105</v>
      </c>
      <c r="H17">
        <v>7</v>
      </c>
      <c r="I17">
        <v>3052.59</v>
      </c>
      <c r="J17" t="s">
        <v>50</v>
      </c>
      <c r="K17" t="s">
        <v>83</v>
      </c>
      <c r="L17">
        <f t="shared" si="0"/>
        <v>21368.13</v>
      </c>
      <c r="O17" s="4" t="s">
        <v>5</v>
      </c>
      <c r="P17" t="str">
        <f>LOOKUP(P12,A2:F1001)</f>
        <v>Clothing</v>
      </c>
      <c r="T17" s="4" t="s">
        <v>5</v>
      </c>
      <c r="U17" t="str">
        <f>VLOOKUP(U12,A2:L1001,6,0)</f>
        <v>Clothing</v>
      </c>
    </row>
    <row r="18" spans="1:21" x14ac:dyDescent="0.3">
      <c r="A18" t="s">
        <v>106</v>
      </c>
      <c r="B18" t="s">
        <v>107</v>
      </c>
      <c r="C18" t="s">
        <v>108</v>
      </c>
      <c r="D18" t="s">
        <v>109</v>
      </c>
      <c r="E18" t="s">
        <v>95</v>
      </c>
      <c r="F18" t="s">
        <v>48</v>
      </c>
      <c r="G18" t="s">
        <v>110</v>
      </c>
      <c r="H18">
        <v>8</v>
      </c>
      <c r="I18">
        <v>1340.89</v>
      </c>
      <c r="J18" t="s">
        <v>19</v>
      </c>
      <c r="K18" t="s">
        <v>43</v>
      </c>
      <c r="L18">
        <f t="shared" si="0"/>
        <v>10727.12</v>
      </c>
      <c r="O18" s="4" t="s">
        <v>6</v>
      </c>
      <c r="P18" t="str">
        <f>LOOKUP(P12,A2:G1001)</f>
        <v>Jacket</v>
      </c>
      <c r="T18" s="4" t="s">
        <v>6</v>
      </c>
      <c r="U18" t="str">
        <f>VLOOKUP(U12,A2:L1001,7,0)</f>
        <v>Kurta</v>
      </c>
    </row>
    <row r="19" spans="1:21" x14ac:dyDescent="0.3">
      <c r="A19" t="s">
        <v>111</v>
      </c>
      <c r="B19" t="s">
        <v>112</v>
      </c>
      <c r="C19" t="s">
        <v>113</v>
      </c>
      <c r="D19" t="s">
        <v>114</v>
      </c>
      <c r="E19" t="s">
        <v>16</v>
      </c>
      <c r="F19" t="s">
        <v>26</v>
      </c>
      <c r="G19" t="s">
        <v>115</v>
      </c>
      <c r="H19">
        <v>4</v>
      </c>
      <c r="I19">
        <v>2794.82</v>
      </c>
      <c r="J19" t="s">
        <v>50</v>
      </c>
      <c r="K19" t="s">
        <v>29</v>
      </c>
      <c r="L19">
        <f t="shared" si="0"/>
        <v>11179.28</v>
      </c>
      <c r="O19" s="4" t="s">
        <v>7</v>
      </c>
      <c r="P19">
        <f>LOOKUP(P12,A2:H1001)</f>
        <v>8</v>
      </c>
      <c r="T19" s="4" t="s">
        <v>7</v>
      </c>
      <c r="U19">
        <f>VLOOKUP(U12,A2:L1001,8,0)</f>
        <v>9</v>
      </c>
    </row>
    <row r="20" spans="1:21" x14ac:dyDescent="0.3">
      <c r="A20" t="s">
        <v>116</v>
      </c>
      <c r="B20" t="s">
        <v>117</v>
      </c>
      <c r="C20" t="s">
        <v>118</v>
      </c>
      <c r="D20" t="s">
        <v>119</v>
      </c>
      <c r="E20" t="s">
        <v>25</v>
      </c>
      <c r="F20" t="s">
        <v>26</v>
      </c>
      <c r="G20" t="s">
        <v>27</v>
      </c>
      <c r="H20">
        <v>7</v>
      </c>
      <c r="I20">
        <v>3113.54</v>
      </c>
      <c r="J20" t="s">
        <v>19</v>
      </c>
      <c r="K20" t="s">
        <v>83</v>
      </c>
      <c r="L20">
        <f t="shared" si="0"/>
        <v>21794.78</v>
      </c>
      <c r="O20" s="4" t="s">
        <v>8</v>
      </c>
      <c r="P20">
        <f>LOOKUP(P12,A2:I1001)</f>
        <v>3228.85</v>
      </c>
      <c r="T20" s="4" t="s">
        <v>8</v>
      </c>
    </row>
    <row r="21" spans="1:21" x14ac:dyDescent="0.3">
      <c r="A21" t="s">
        <v>120</v>
      </c>
      <c r="B21" t="s">
        <v>70</v>
      </c>
      <c r="C21" t="s">
        <v>121</v>
      </c>
      <c r="D21" t="s">
        <v>122</v>
      </c>
      <c r="E21" t="s">
        <v>25</v>
      </c>
      <c r="F21" t="s">
        <v>77</v>
      </c>
      <c r="G21" t="s">
        <v>123</v>
      </c>
      <c r="H21">
        <v>3</v>
      </c>
      <c r="I21">
        <v>2355.56</v>
      </c>
      <c r="J21" t="s">
        <v>19</v>
      </c>
      <c r="K21" t="s">
        <v>20</v>
      </c>
      <c r="L21">
        <f t="shared" si="0"/>
        <v>7066.68</v>
      </c>
      <c r="O21" s="4" t="s">
        <v>10</v>
      </c>
      <c r="P21" t="str">
        <f>LOOKUP(P12,A2:J1001)</f>
        <v>Credit Card</v>
      </c>
      <c r="T21" s="4" t="s">
        <v>10</v>
      </c>
    </row>
    <row r="22" spans="1:21" x14ac:dyDescent="0.3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17</v>
      </c>
      <c r="G22" t="s">
        <v>18</v>
      </c>
      <c r="H22">
        <v>6</v>
      </c>
      <c r="I22">
        <v>2779.01</v>
      </c>
      <c r="J22" t="s">
        <v>28</v>
      </c>
      <c r="K22" t="s">
        <v>20</v>
      </c>
      <c r="L22">
        <f t="shared" si="0"/>
        <v>16674.060000000001</v>
      </c>
      <c r="O22" s="4" t="s">
        <v>11</v>
      </c>
      <c r="P22" t="str">
        <f>LOOKUP(P12,A2:K1001)</f>
        <v>Sneha</v>
      </c>
      <c r="T22" s="4" t="s">
        <v>11</v>
      </c>
    </row>
    <row r="23" spans="1:21" x14ac:dyDescent="0.3">
      <c r="A23" t="s">
        <v>129</v>
      </c>
      <c r="B23" t="s">
        <v>130</v>
      </c>
      <c r="C23" t="s">
        <v>131</v>
      </c>
      <c r="D23" t="s">
        <v>132</v>
      </c>
      <c r="E23" t="s">
        <v>56</v>
      </c>
      <c r="F23" t="s">
        <v>48</v>
      </c>
      <c r="G23" t="s">
        <v>57</v>
      </c>
      <c r="H23">
        <v>2</v>
      </c>
      <c r="I23">
        <v>491.23</v>
      </c>
      <c r="J23" t="s">
        <v>19</v>
      </c>
      <c r="K23" t="s">
        <v>83</v>
      </c>
      <c r="L23">
        <f t="shared" si="0"/>
        <v>982.46</v>
      </c>
      <c r="O23" s="5" t="s">
        <v>9</v>
      </c>
      <c r="P23">
        <f>LOOKUP(P12,A2:L1001)</f>
        <v>25830.799999999999</v>
      </c>
      <c r="T23" s="5" t="s">
        <v>9</v>
      </c>
    </row>
    <row r="24" spans="1:21" x14ac:dyDescent="0.3">
      <c r="A24" t="s">
        <v>133</v>
      </c>
      <c r="B24" t="s">
        <v>134</v>
      </c>
      <c r="C24" t="s">
        <v>135</v>
      </c>
      <c r="D24" t="s">
        <v>119</v>
      </c>
      <c r="E24" t="s">
        <v>34</v>
      </c>
      <c r="F24" t="s">
        <v>77</v>
      </c>
      <c r="G24" t="s">
        <v>78</v>
      </c>
      <c r="H24">
        <v>7</v>
      </c>
      <c r="I24">
        <v>1193.8399999999999</v>
      </c>
      <c r="J24" t="s">
        <v>28</v>
      </c>
      <c r="K24" t="s">
        <v>43</v>
      </c>
      <c r="L24">
        <f t="shared" si="0"/>
        <v>8356.8799999999992</v>
      </c>
    </row>
    <row r="25" spans="1:21" x14ac:dyDescent="0.3">
      <c r="A25" t="s">
        <v>136</v>
      </c>
      <c r="B25" t="s">
        <v>137</v>
      </c>
      <c r="C25" t="s">
        <v>138</v>
      </c>
      <c r="D25" t="s">
        <v>139</v>
      </c>
      <c r="E25" t="s">
        <v>95</v>
      </c>
      <c r="F25" t="s">
        <v>17</v>
      </c>
      <c r="G25" t="s">
        <v>41</v>
      </c>
      <c r="H25">
        <v>6</v>
      </c>
      <c r="I25">
        <v>3655.85</v>
      </c>
      <c r="J25" t="s">
        <v>19</v>
      </c>
      <c r="K25" t="s">
        <v>51</v>
      </c>
      <c r="L25">
        <f t="shared" si="0"/>
        <v>21935.1</v>
      </c>
    </row>
    <row r="26" spans="1:21" x14ac:dyDescent="0.3">
      <c r="A26" t="s">
        <v>140</v>
      </c>
      <c r="B26" t="s">
        <v>141</v>
      </c>
      <c r="C26" t="s">
        <v>142</v>
      </c>
      <c r="D26" t="s">
        <v>24</v>
      </c>
      <c r="E26" t="s">
        <v>62</v>
      </c>
      <c r="F26" t="s">
        <v>17</v>
      </c>
      <c r="G26" t="s">
        <v>35</v>
      </c>
      <c r="H26">
        <v>8</v>
      </c>
      <c r="I26">
        <v>1177.43</v>
      </c>
      <c r="J26" t="s">
        <v>42</v>
      </c>
      <c r="K26" t="s">
        <v>83</v>
      </c>
      <c r="L26">
        <f t="shared" si="0"/>
        <v>9419.44</v>
      </c>
    </row>
    <row r="27" spans="1:21" x14ac:dyDescent="0.3">
      <c r="A27" t="s">
        <v>143</v>
      </c>
      <c r="B27" t="s">
        <v>144</v>
      </c>
      <c r="C27" t="s">
        <v>145</v>
      </c>
      <c r="D27" t="s">
        <v>146</v>
      </c>
      <c r="E27" t="s">
        <v>56</v>
      </c>
      <c r="F27" t="s">
        <v>26</v>
      </c>
      <c r="G27" t="s">
        <v>115</v>
      </c>
      <c r="H27">
        <v>10</v>
      </c>
      <c r="I27">
        <v>4955.28</v>
      </c>
      <c r="J27" t="s">
        <v>50</v>
      </c>
      <c r="K27" t="s">
        <v>83</v>
      </c>
      <c r="L27">
        <f t="shared" si="0"/>
        <v>49552.799999999996</v>
      </c>
    </row>
    <row r="28" spans="1:21" x14ac:dyDescent="0.3">
      <c r="A28" t="s">
        <v>147</v>
      </c>
      <c r="B28" t="s">
        <v>107</v>
      </c>
      <c r="C28" t="s">
        <v>148</v>
      </c>
      <c r="D28" t="s">
        <v>149</v>
      </c>
      <c r="E28" t="s">
        <v>128</v>
      </c>
      <c r="F28" t="s">
        <v>26</v>
      </c>
      <c r="G28" t="s">
        <v>115</v>
      </c>
      <c r="H28">
        <v>8</v>
      </c>
      <c r="I28">
        <v>2398.73</v>
      </c>
      <c r="J28" t="s">
        <v>50</v>
      </c>
      <c r="K28" t="s">
        <v>51</v>
      </c>
      <c r="L28">
        <f t="shared" si="0"/>
        <v>19189.84</v>
      </c>
    </row>
    <row r="29" spans="1:21" x14ac:dyDescent="0.3">
      <c r="A29" t="s">
        <v>150</v>
      </c>
      <c r="B29" t="s">
        <v>151</v>
      </c>
      <c r="C29" t="s">
        <v>152</v>
      </c>
      <c r="D29" t="s">
        <v>153</v>
      </c>
      <c r="E29" t="s">
        <v>62</v>
      </c>
      <c r="F29" t="s">
        <v>26</v>
      </c>
      <c r="G29" t="s">
        <v>27</v>
      </c>
      <c r="H29">
        <v>5</v>
      </c>
      <c r="I29">
        <v>2986.63</v>
      </c>
      <c r="J29" t="s">
        <v>50</v>
      </c>
      <c r="K29" t="s">
        <v>20</v>
      </c>
      <c r="L29">
        <f t="shared" si="0"/>
        <v>14933.150000000001</v>
      </c>
    </row>
    <row r="30" spans="1:21" x14ac:dyDescent="0.3">
      <c r="A30" t="s">
        <v>154</v>
      </c>
      <c r="B30" t="s">
        <v>155</v>
      </c>
      <c r="C30" t="s">
        <v>156</v>
      </c>
      <c r="D30" t="s">
        <v>157</v>
      </c>
      <c r="E30" t="s">
        <v>104</v>
      </c>
      <c r="F30" t="s">
        <v>77</v>
      </c>
      <c r="G30" t="s">
        <v>78</v>
      </c>
      <c r="H30">
        <v>8</v>
      </c>
      <c r="I30">
        <v>1305.01</v>
      </c>
      <c r="J30" t="s">
        <v>19</v>
      </c>
      <c r="K30" t="s">
        <v>83</v>
      </c>
      <c r="L30">
        <f t="shared" si="0"/>
        <v>10440.08</v>
      </c>
    </row>
    <row r="31" spans="1:21" x14ac:dyDescent="0.3">
      <c r="A31" t="s">
        <v>158</v>
      </c>
      <c r="B31" t="s">
        <v>159</v>
      </c>
      <c r="C31" t="s">
        <v>160</v>
      </c>
      <c r="D31" t="s">
        <v>161</v>
      </c>
      <c r="E31" t="s">
        <v>56</v>
      </c>
      <c r="F31" t="s">
        <v>26</v>
      </c>
      <c r="G31" t="s">
        <v>27</v>
      </c>
      <c r="H31">
        <v>5</v>
      </c>
      <c r="I31">
        <v>760.23</v>
      </c>
      <c r="J31" t="s">
        <v>19</v>
      </c>
      <c r="K31" t="s">
        <v>36</v>
      </c>
      <c r="L31">
        <f t="shared" si="0"/>
        <v>3801.15</v>
      </c>
    </row>
    <row r="32" spans="1:21" x14ac:dyDescent="0.3">
      <c r="A32" t="s">
        <v>162</v>
      </c>
      <c r="B32" t="s">
        <v>163</v>
      </c>
      <c r="C32" t="s">
        <v>164</v>
      </c>
      <c r="D32" t="s">
        <v>165</v>
      </c>
      <c r="E32" t="s">
        <v>16</v>
      </c>
      <c r="F32" t="s">
        <v>26</v>
      </c>
      <c r="G32" t="s">
        <v>166</v>
      </c>
      <c r="H32">
        <v>9</v>
      </c>
      <c r="I32">
        <v>2766.61</v>
      </c>
      <c r="J32" t="s">
        <v>28</v>
      </c>
      <c r="K32" t="s">
        <v>83</v>
      </c>
      <c r="L32">
        <f t="shared" si="0"/>
        <v>24899.49</v>
      </c>
    </row>
    <row r="33" spans="1:12" x14ac:dyDescent="0.3">
      <c r="A33" t="s">
        <v>167</v>
      </c>
      <c r="B33" t="s">
        <v>168</v>
      </c>
      <c r="C33" t="s">
        <v>169</v>
      </c>
      <c r="D33" t="s">
        <v>170</v>
      </c>
      <c r="E33" t="s">
        <v>62</v>
      </c>
      <c r="F33" t="s">
        <v>77</v>
      </c>
      <c r="G33" t="s">
        <v>171</v>
      </c>
      <c r="H33">
        <v>3</v>
      </c>
      <c r="I33">
        <v>975.26</v>
      </c>
      <c r="J33" t="s">
        <v>50</v>
      </c>
      <c r="K33" t="s">
        <v>29</v>
      </c>
      <c r="L33">
        <f t="shared" si="0"/>
        <v>2925.7799999999997</v>
      </c>
    </row>
    <row r="34" spans="1:12" x14ac:dyDescent="0.3">
      <c r="A34" t="s">
        <v>172</v>
      </c>
      <c r="B34" t="s">
        <v>97</v>
      </c>
      <c r="C34" t="s">
        <v>173</v>
      </c>
      <c r="D34" t="s">
        <v>174</v>
      </c>
      <c r="E34" t="s">
        <v>25</v>
      </c>
      <c r="F34" t="s">
        <v>77</v>
      </c>
      <c r="G34" t="s">
        <v>105</v>
      </c>
      <c r="H34">
        <v>5</v>
      </c>
      <c r="I34">
        <v>1740.55</v>
      </c>
      <c r="J34" t="s">
        <v>28</v>
      </c>
      <c r="K34" t="s">
        <v>51</v>
      </c>
      <c r="L34">
        <f t="shared" si="0"/>
        <v>8702.75</v>
      </c>
    </row>
    <row r="35" spans="1:12" x14ac:dyDescent="0.3">
      <c r="A35" t="s">
        <v>175</v>
      </c>
      <c r="B35" t="s">
        <v>176</v>
      </c>
      <c r="C35" t="s">
        <v>177</v>
      </c>
      <c r="D35" t="s">
        <v>178</v>
      </c>
      <c r="E35" t="s">
        <v>16</v>
      </c>
      <c r="F35" t="s">
        <v>48</v>
      </c>
      <c r="G35" t="s">
        <v>179</v>
      </c>
      <c r="H35">
        <v>8</v>
      </c>
      <c r="I35">
        <v>4199.2700000000004</v>
      </c>
      <c r="J35" t="s">
        <v>42</v>
      </c>
      <c r="K35" t="s">
        <v>43</v>
      </c>
      <c r="L35">
        <f t="shared" si="0"/>
        <v>33594.160000000003</v>
      </c>
    </row>
    <row r="36" spans="1:12" x14ac:dyDescent="0.3">
      <c r="A36" t="s">
        <v>180</v>
      </c>
      <c r="B36" t="s">
        <v>181</v>
      </c>
      <c r="C36" t="s">
        <v>182</v>
      </c>
      <c r="D36" t="s">
        <v>183</v>
      </c>
      <c r="E36" t="s">
        <v>104</v>
      </c>
      <c r="F36" t="s">
        <v>48</v>
      </c>
      <c r="G36" t="s">
        <v>179</v>
      </c>
      <c r="H36">
        <v>6</v>
      </c>
      <c r="I36">
        <v>4618.7</v>
      </c>
      <c r="J36" t="s">
        <v>42</v>
      </c>
      <c r="K36" t="s">
        <v>51</v>
      </c>
      <c r="L36">
        <f t="shared" si="0"/>
        <v>27712.199999999997</v>
      </c>
    </row>
    <row r="37" spans="1:12" x14ac:dyDescent="0.3">
      <c r="A37" t="s">
        <v>184</v>
      </c>
      <c r="B37" t="s">
        <v>185</v>
      </c>
      <c r="C37" t="s">
        <v>186</v>
      </c>
      <c r="D37" t="s">
        <v>187</v>
      </c>
      <c r="E37" t="s">
        <v>16</v>
      </c>
      <c r="F37" t="s">
        <v>17</v>
      </c>
      <c r="G37" t="s">
        <v>188</v>
      </c>
      <c r="H37">
        <v>2</v>
      </c>
      <c r="I37">
        <v>444.36</v>
      </c>
      <c r="J37" t="s">
        <v>19</v>
      </c>
      <c r="K37" t="s">
        <v>51</v>
      </c>
      <c r="L37">
        <f t="shared" si="0"/>
        <v>888.72</v>
      </c>
    </row>
    <row r="38" spans="1:12" x14ac:dyDescent="0.3">
      <c r="A38" t="s">
        <v>189</v>
      </c>
      <c r="B38" t="s">
        <v>190</v>
      </c>
      <c r="C38" t="s">
        <v>169</v>
      </c>
      <c r="D38" t="s">
        <v>191</v>
      </c>
      <c r="E38" t="s">
        <v>34</v>
      </c>
      <c r="F38" t="s">
        <v>17</v>
      </c>
      <c r="G38" t="s">
        <v>68</v>
      </c>
      <c r="H38">
        <v>1</v>
      </c>
      <c r="I38">
        <v>3924.7</v>
      </c>
      <c r="J38" t="s">
        <v>28</v>
      </c>
      <c r="K38" t="s">
        <v>43</v>
      </c>
      <c r="L38">
        <f t="shared" si="0"/>
        <v>3924.7</v>
      </c>
    </row>
    <row r="39" spans="1:12" x14ac:dyDescent="0.3">
      <c r="A39" t="s">
        <v>192</v>
      </c>
      <c r="B39" t="s">
        <v>193</v>
      </c>
      <c r="C39" t="s">
        <v>194</v>
      </c>
      <c r="D39" t="s">
        <v>195</v>
      </c>
      <c r="E39" t="s">
        <v>104</v>
      </c>
      <c r="F39" t="s">
        <v>17</v>
      </c>
      <c r="G39" t="s">
        <v>41</v>
      </c>
      <c r="H39">
        <v>8</v>
      </c>
      <c r="I39">
        <v>1348.4</v>
      </c>
      <c r="J39" t="s">
        <v>50</v>
      </c>
      <c r="K39" t="s">
        <v>51</v>
      </c>
      <c r="L39">
        <f t="shared" si="0"/>
        <v>10787.2</v>
      </c>
    </row>
    <row r="40" spans="1:12" x14ac:dyDescent="0.3">
      <c r="A40" t="s">
        <v>196</v>
      </c>
      <c r="B40" t="s">
        <v>197</v>
      </c>
      <c r="C40" t="s">
        <v>198</v>
      </c>
      <c r="D40" t="s">
        <v>199</v>
      </c>
      <c r="E40" t="s">
        <v>62</v>
      </c>
      <c r="F40" t="s">
        <v>77</v>
      </c>
      <c r="G40" t="s">
        <v>78</v>
      </c>
      <c r="H40">
        <v>7</v>
      </c>
      <c r="I40">
        <v>2738.25</v>
      </c>
      <c r="J40" t="s">
        <v>19</v>
      </c>
      <c r="K40" t="s">
        <v>36</v>
      </c>
      <c r="L40">
        <f t="shared" si="0"/>
        <v>19167.75</v>
      </c>
    </row>
    <row r="41" spans="1:12" x14ac:dyDescent="0.3">
      <c r="A41" t="s">
        <v>200</v>
      </c>
      <c r="B41" t="s">
        <v>201</v>
      </c>
      <c r="C41" t="s">
        <v>202</v>
      </c>
      <c r="D41" t="s">
        <v>203</v>
      </c>
      <c r="E41" t="s">
        <v>104</v>
      </c>
      <c r="F41" t="s">
        <v>17</v>
      </c>
      <c r="G41" t="s">
        <v>41</v>
      </c>
      <c r="H41">
        <v>10</v>
      </c>
      <c r="I41">
        <v>4091.24</v>
      </c>
      <c r="J41" t="s">
        <v>50</v>
      </c>
      <c r="K41" t="s">
        <v>29</v>
      </c>
      <c r="L41">
        <f t="shared" si="0"/>
        <v>40912.399999999994</v>
      </c>
    </row>
    <row r="42" spans="1:12" x14ac:dyDescent="0.3">
      <c r="A42" t="s">
        <v>204</v>
      </c>
      <c r="B42" t="s">
        <v>205</v>
      </c>
      <c r="C42" t="s">
        <v>206</v>
      </c>
      <c r="D42" t="s">
        <v>207</v>
      </c>
      <c r="E42" t="s">
        <v>62</v>
      </c>
      <c r="F42" t="s">
        <v>26</v>
      </c>
      <c r="G42" t="s">
        <v>208</v>
      </c>
      <c r="H42">
        <v>4</v>
      </c>
      <c r="I42">
        <v>1048.6199999999999</v>
      </c>
      <c r="J42" t="s">
        <v>28</v>
      </c>
      <c r="K42" t="s">
        <v>43</v>
      </c>
      <c r="L42">
        <f t="shared" si="0"/>
        <v>4194.4799999999996</v>
      </c>
    </row>
    <row r="43" spans="1:12" x14ac:dyDescent="0.3">
      <c r="A43" t="s">
        <v>209</v>
      </c>
      <c r="B43" t="s">
        <v>210</v>
      </c>
      <c r="C43" t="s">
        <v>211</v>
      </c>
      <c r="D43" t="s">
        <v>212</v>
      </c>
      <c r="E43" t="s">
        <v>16</v>
      </c>
      <c r="F43" t="s">
        <v>48</v>
      </c>
      <c r="G43" t="s">
        <v>63</v>
      </c>
      <c r="H43">
        <v>1</v>
      </c>
      <c r="I43">
        <v>2042.23</v>
      </c>
      <c r="J43" t="s">
        <v>28</v>
      </c>
      <c r="K43" t="s">
        <v>36</v>
      </c>
      <c r="L43">
        <f t="shared" si="0"/>
        <v>2042.23</v>
      </c>
    </row>
    <row r="44" spans="1:12" x14ac:dyDescent="0.3">
      <c r="A44" t="s">
        <v>213</v>
      </c>
      <c r="B44" t="s">
        <v>214</v>
      </c>
      <c r="C44" t="s">
        <v>215</v>
      </c>
      <c r="D44" t="s">
        <v>216</v>
      </c>
      <c r="E44" t="s">
        <v>56</v>
      </c>
      <c r="F44" t="s">
        <v>48</v>
      </c>
      <c r="G44" t="s">
        <v>110</v>
      </c>
      <c r="H44">
        <v>10</v>
      </c>
      <c r="I44">
        <v>775.84</v>
      </c>
      <c r="J44" t="s">
        <v>50</v>
      </c>
      <c r="K44" t="s">
        <v>51</v>
      </c>
      <c r="L44">
        <f t="shared" si="0"/>
        <v>7758.4000000000005</v>
      </c>
    </row>
    <row r="45" spans="1:12" x14ac:dyDescent="0.3">
      <c r="A45" t="s">
        <v>217</v>
      </c>
      <c r="B45" t="s">
        <v>218</v>
      </c>
      <c r="C45" t="s">
        <v>219</v>
      </c>
      <c r="D45" t="s">
        <v>220</v>
      </c>
      <c r="E45" t="s">
        <v>16</v>
      </c>
      <c r="F45" t="s">
        <v>77</v>
      </c>
      <c r="G45" t="s">
        <v>78</v>
      </c>
      <c r="H45">
        <v>8</v>
      </c>
      <c r="I45">
        <v>4033.33</v>
      </c>
      <c r="J45" t="s">
        <v>19</v>
      </c>
      <c r="K45" t="s">
        <v>20</v>
      </c>
      <c r="L45">
        <f t="shared" si="0"/>
        <v>32266.639999999999</v>
      </c>
    </row>
    <row r="46" spans="1:12" x14ac:dyDescent="0.3">
      <c r="A46" t="s">
        <v>221</v>
      </c>
      <c r="B46" t="s">
        <v>222</v>
      </c>
      <c r="C46" t="s">
        <v>223</v>
      </c>
      <c r="D46" t="s">
        <v>224</v>
      </c>
      <c r="E46" t="s">
        <v>95</v>
      </c>
      <c r="F46" t="s">
        <v>26</v>
      </c>
      <c r="G46" t="s">
        <v>208</v>
      </c>
      <c r="H46">
        <v>3</v>
      </c>
      <c r="I46">
        <v>1321.17</v>
      </c>
      <c r="J46" t="s">
        <v>19</v>
      </c>
      <c r="K46" t="s">
        <v>43</v>
      </c>
      <c r="L46">
        <f t="shared" si="0"/>
        <v>3963.51</v>
      </c>
    </row>
    <row r="47" spans="1:12" x14ac:dyDescent="0.3">
      <c r="A47" t="s">
        <v>225</v>
      </c>
      <c r="B47" t="s">
        <v>226</v>
      </c>
      <c r="C47" t="s">
        <v>227</v>
      </c>
      <c r="D47" t="s">
        <v>228</v>
      </c>
      <c r="E47" t="s">
        <v>16</v>
      </c>
      <c r="F47" t="s">
        <v>17</v>
      </c>
      <c r="G47" t="s">
        <v>41</v>
      </c>
      <c r="H47">
        <v>3</v>
      </c>
      <c r="I47">
        <v>1532.11</v>
      </c>
      <c r="J47" t="s">
        <v>50</v>
      </c>
      <c r="K47" t="s">
        <v>29</v>
      </c>
      <c r="L47">
        <f t="shared" si="0"/>
        <v>4596.33</v>
      </c>
    </row>
    <row r="48" spans="1:12" x14ac:dyDescent="0.3">
      <c r="A48" t="s">
        <v>229</v>
      </c>
      <c r="B48" t="s">
        <v>230</v>
      </c>
      <c r="C48" t="s">
        <v>231</v>
      </c>
      <c r="D48" t="s">
        <v>232</v>
      </c>
      <c r="E48" t="s">
        <v>104</v>
      </c>
      <c r="F48" t="s">
        <v>77</v>
      </c>
      <c r="G48" t="s">
        <v>171</v>
      </c>
      <c r="H48">
        <v>8</v>
      </c>
      <c r="I48">
        <v>1356.58</v>
      </c>
      <c r="J48" t="s">
        <v>19</v>
      </c>
      <c r="K48" t="s">
        <v>20</v>
      </c>
      <c r="L48">
        <f t="shared" si="0"/>
        <v>10852.64</v>
      </c>
    </row>
    <row r="49" spans="1:12" x14ac:dyDescent="0.3">
      <c r="A49" t="s">
        <v>233</v>
      </c>
      <c r="B49" t="s">
        <v>234</v>
      </c>
      <c r="C49" t="s">
        <v>235</v>
      </c>
      <c r="D49" t="s">
        <v>236</v>
      </c>
      <c r="E49" t="s">
        <v>16</v>
      </c>
      <c r="F49" t="s">
        <v>26</v>
      </c>
      <c r="G49" t="s">
        <v>115</v>
      </c>
      <c r="H49">
        <v>10</v>
      </c>
      <c r="I49">
        <v>1060.1300000000001</v>
      </c>
      <c r="J49" t="s">
        <v>19</v>
      </c>
      <c r="K49" t="s">
        <v>43</v>
      </c>
      <c r="L49">
        <f t="shared" si="0"/>
        <v>10601.300000000001</v>
      </c>
    </row>
    <row r="50" spans="1:12" x14ac:dyDescent="0.3">
      <c r="A50" t="s">
        <v>237</v>
      </c>
      <c r="B50" t="s">
        <v>238</v>
      </c>
      <c r="C50" t="s">
        <v>239</v>
      </c>
      <c r="D50" t="s">
        <v>240</v>
      </c>
      <c r="E50" t="s">
        <v>104</v>
      </c>
      <c r="F50" t="s">
        <v>17</v>
      </c>
      <c r="G50" t="s">
        <v>188</v>
      </c>
      <c r="H50">
        <v>6</v>
      </c>
      <c r="I50">
        <v>4202.45</v>
      </c>
      <c r="J50" t="s">
        <v>50</v>
      </c>
      <c r="K50" t="s">
        <v>43</v>
      </c>
      <c r="L50">
        <f t="shared" si="0"/>
        <v>25214.699999999997</v>
      </c>
    </row>
    <row r="51" spans="1:12" x14ac:dyDescent="0.3">
      <c r="A51" t="s">
        <v>241</v>
      </c>
      <c r="B51" t="s">
        <v>242</v>
      </c>
      <c r="C51" t="s">
        <v>243</v>
      </c>
      <c r="D51" t="s">
        <v>244</v>
      </c>
      <c r="E51" t="s">
        <v>56</v>
      </c>
      <c r="F51" t="s">
        <v>48</v>
      </c>
      <c r="G51" t="s">
        <v>63</v>
      </c>
      <c r="H51">
        <v>10</v>
      </c>
      <c r="I51">
        <v>1049.47</v>
      </c>
      <c r="J51" t="s">
        <v>19</v>
      </c>
      <c r="K51" t="s">
        <v>83</v>
      </c>
      <c r="L51">
        <f t="shared" si="0"/>
        <v>10494.7</v>
      </c>
    </row>
    <row r="52" spans="1:12" x14ac:dyDescent="0.3">
      <c r="A52" t="s">
        <v>245</v>
      </c>
      <c r="B52" t="s">
        <v>246</v>
      </c>
      <c r="C52" t="s">
        <v>247</v>
      </c>
      <c r="D52" t="s">
        <v>248</v>
      </c>
      <c r="E52" t="s">
        <v>95</v>
      </c>
      <c r="F52" t="s">
        <v>48</v>
      </c>
      <c r="G52" t="s">
        <v>179</v>
      </c>
      <c r="H52">
        <v>9</v>
      </c>
      <c r="I52">
        <v>3333.38</v>
      </c>
      <c r="J52" t="s">
        <v>28</v>
      </c>
      <c r="K52" t="s">
        <v>43</v>
      </c>
      <c r="L52">
        <f t="shared" si="0"/>
        <v>30000.420000000002</v>
      </c>
    </row>
    <row r="53" spans="1:12" x14ac:dyDescent="0.3">
      <c r="A53" t="s">
        <v>249</v>
      </c>
      <c r="B53" t="s">
        <v>250</v>
      </c>
      <c r="C53" t="s">
        <v>251</v>
      </c>
      <c r="D53" t="s">
        <v>252</v>
      </c>
      <c r="E53" t="s">
        <v>128</v>
      </c>
      <c r="F53" t="s">
        <v>26</v>
      </c>
      <c r="G53" t="s">
        <v>27</v>
      </c>
      <c r="H53">
        <v>3</v>
      </c>
      <c r="I53">
        <v>932.64</v>
      </c>
      <c r="J53" t="s">
        <v>19</v>
      </c>
      <c r="K53" t="s">
        <v>43</v>
      </c>
      <c r="L53">
        <f t="shared" si="0"/>
        <v>2797.92</v>
      </c>
    </row>
    <row r="54" spans="1:12" x14ac:dyDescent="0.3">
      <c r="A54" t="s">
        <v>253</v>
      </c>
      <c r="B54" t="s">
        <v>254</v>
      </c>
      <c r="C54" t="s">
        <v>255</v>
      </c>
      <c r="D54" t="s">
        <v>256</v>
      </c>
      <c r="E54" t="s">
        <v>25</v>
      </c>
      <c r="F54" t="s">
        <v>48</v>
      </c>
      <c r="G54" t="s">
        <v>57</v>
      </c>
      <c r="H54">
        <v>3</v>
      </c>
      <c r="I54">
        <v>4538.1400000000003</v>
      </c>
      <c r="J54" t="s">
        <v>42</v>
      </c>
      <c r="K54" t="s">
        <v>20</v>
      </c>
      <c r="L54">
        <f t="shared" si="0"/>
        <v>13614.420000000002</v>
      </c>
    </row>
    <row r="55" spans="1:12" x14ac:dyDescent="0.3">
      <c r="A55" t="s">
        <v>257</v>
      </c>
      <c r="B55" t="s">
        <v>258</v>
      </c>
      <c r="C55" t="s">
        <v>259</v>
      </c>
      <c r="D55" t="s">
        <v>260</v>
      </c>
      <c r="E55" t="s">
        <v>62</v>
      </c>
      <c r="F55" t="s">
        <v>26</v>
      </c>
      <c r="G55" t="s">
        <v>166</v>
      </c>
      <c r="H55">
        <v>7</v>
      </c>
      <c r="I55">
        <v>530.67999999999995</v>
      </c>
      <c r="J55" t="s">
        <v>19</v>
      </c>
      <c r="K55" t="s">
        <v>83</v>
      </c>
      <c r="L55">
        <f t="shared" si="0"/>
        <v>3714.7599999999998</v>
      </c>
    </row>
    <row r="56" spans="1:12" x14ac:dyDescent="0.3">
      <c r="A56" t="s">
        <v>261</v>
      </c>
      <c r="B56" t="s">
        <v>262</v>
      </c>
      <c r="C56" t="s">
        <v>263</v>
      </c>
      <c r="D56" t="s">
        <v>264</v>
      </c>
      <c r="E56" t="s">
        <v>104</v>
      </c>
      <c r="F56" t="s">
        <v>77</v>
      </c>
      <c r="G56" t="s">
        <v>265</v>
      </c>
      <c r="H56">
        <v>6</v>
      </c>
      <c r="I56">
        <v>1916.03</v>
      </c>
      <c r="J56" t="s">
        <v>50</v>
      </c>
      <c r="K56" t="s">
        <v>83</v>
      </c>
      <c r="L56">
        <f t="shared" si="0"/>
        <v>11496.18</v>
      </c>
    </row>
    <row r="57" spans="1:12" x14ac:dyDescent="0.3">
      <c r="A57" t="s">
        <v>266</v>
      </c>
      <c r="B57" t="s">
        <v>267</v>
      </c>
      <c r="C57" t="s">
        <v>268</v>
      </c>
      <c r="D57" t="s">
        <v>269</v>
      </c>
      <c r="E57" t="s">
        <v>16</v>
      </c>
      <c r="F57" t="s">
        <v>77</v>
      </c>
      <c r="G57" t="s">
        <v>123</v>
      </c>
      <c r="H57">
        <v>6</v>
      </c>
      <c r="I57">
        <v>992.18</v>
      </c>
      <c r="J57" t="s">
        <v>50</v>
      </c>
      <c r="K57" t="s">
        <v>20</v>
      </c>
      <c r="L57">
        <f t="shared" si="0"/>
        <v>5953.08</v>
      </c>
    </row>
    <row r="58" spans="1:12" x14ac:dyDescent="0.3">
      <c r="A58" t="s">
        <v>270</v>
      </c>
      <c r="B58" t="s">
        <v>271</v>
      </c>
      <c r="C58" t="s">
        <v>272</v>
      </c>
      <c r="D58" t="s">
        <v>273</v>
      </c>
      <c r="E58" t="s">
        <v>128</v>
      </c>
      <c r="F58" t="s">
        <v>26</v>
      </c>
      <c r="G58" t="s">
        <v>27</v>
      </c>
      <c r="H58">
        <v>4</v>
      </c>
      <c r="I58">
        <v>1695.97</v>
      </c>
      <c r="J58" t="s">
        <v>28</v>
      </c>
      <c r="K58" t="s">
        <v>36</v>
      </c>
      <c r="L58">
        <f t="shared" si="0"/>
        <v>6783.88</v>
      </c>
    </row>
    <row r="59" spans="1:12" x14ac:dyDescent="0.3">
      <c r="A59" t="s">
        <v>274</v>
      </c>
      <c r="B59" t="s">
        <v>275</v>
      </c>
      <c r="C59" t="s">
        <v>276</v>
      </c>
      <c r="D59" t="s">
        <v>277</v>
      </c>
      <c r="E59" t="s">
        <v>104</v>
      </c>
      <c r="F59" t="s">
        <v>17</v>
      </c>
      <c r="G59" t="s">
        <v>18</v>
      </c>
      <c r="H59">
        <v>5</v>
      </c>
      <c r="I59">
        <v>3756.8</v>
      </c>
      <c r="J59" t="s">
        <v>42</v>
      </c>
      <c r="K59" t="s">
        <v>83</v>
      </c>
      <c r="L59">
        <f t="shared" si="0"/>
        <v>18784</v>
      </c>
    </row>
    <row r="60" spans="1:12" x14ac:dyDescent="0.3">
      <c r="A60" t="s">
        <v>278</v>
      </c>
      <c r="B60" t="s">
        <v>279</v>
      </c>
      <c r="C60" t="s">
        <v>280</v>
      </c>
      <c r="D60" t="s">
        <v>281</v>
      </c>
      <c r="E60" t="s">
        <v>95</v>
      </c>
      <c r="F60" t="s">
        <v>48</v>
      </c>
      <c r="G60" t="s">
        <v>179</v>
      </c>
      <c r="H60">
        <v>9</v>
      </c>
      <c r="I60">
        <v>4363.6000000000004</v>
      </c>
      <c r="J60" t="s">
        <v>19</v>
      </c>
      <c r="K60" t="s">
        <v>29</v>
      </c>
      <c r="L60">
        <f t="shared" si="0"/>
        <v>39272.400000000001</v>
      </c>
    </row>
    <row r="61" spans="1:12" x14ac:dyDescent="0.3">
      <c r="A61" t="s">
        <v>282</v>
      </c>
      <c r="B61" t="s">
        <v>283</v>
      </c>
      <c r="C61" t="s">
        <v>284</v>
      </c>
      <c r="D61" t="s">
        <v>285</v>
      </c>
      <c r="E61" t="s">
        <v>128</v>
      </c>
      <c r="F61" t="s">
        <v>77</v>
      </c>
      <c r="G61" t="s">
        <v>265</v>
      </c>
      <c r="H61">
        <v>8</v>
      </c>
      <c r="I61">
        <v>1082.56</v>
      </c>
      <c r="J61" t="s">
        <v>50</v>
      </c>
      <c r="K61" t="s">
        <v>36</v>
      </c>
      <c r="L61">
        <f t="shared" si="0"/>
        <v>8660.48</v>
      </c>
    </row>
    <row r="62" spans="1:12" x14ac:dyDescent="0.3">
      <c r="A62" t="s">
        <v>286</v>
      </c>
      <c r="B62" t="s">
        <v>287</v>
      </c>
      <c r="C62" t="s">
        <v>288</v>
      </c>
      <c r="D62" t="s">
        <v>289</v>
      </c>
      <c r="E62" t="s">
        <v>62</v>
      </c>
      <c r="F62" t="s">
        <v>77</v>
      </c>
      <c r="G62" t="s">
        <v>105</v>
      </c>
      <c r="H62">
        <v>5</v>
      </c>
      <c r="I62">
        <v>2587.8000000000002</v>
      </c>
      <c r="J62" t="s">
        <v>42</v>
      </c>
      <c r="K62" t="s">
        <v>36</v>
      </c>
      <c r="L62">
        <f t="shared" si="0"/>
        <v>12939</v>
      </c>
    </row>
    <row r="63" spans="1:12" x14ac:dyDescent="0.3">
      <c r="A63" t="s">
        <v>290</v>
      </c>
      <c r="B63" t="s">
        <v>291</v>
      </c>
      <c r="C63" t="s">
        <v>292</v>
      </c>
      <c r="D63" t="s">
        <v>293</v>
      </c>
      <c r="E63" t="s">
        <v>62</v>
      </c>
      <c r="F63" t="s">
        <v>17</v>
      </c>
      <c r="G63" t="s">
        <v>188</v>
      </c>
      <c r="H63">
        <v>7</v>
      </c>
      <c r="I63">
        <v>2899.59</v>
      </c>
      <c r="J63" t="s">
        <v>19</v>
      </c>
      <c r="K63" t="s">
        <v>51</v>
      </c>
      <c r="L63">
        <f t="shared" si="0"/>
        <v>20297.13</v>
      </c>
    </row>
    <row r="64" spans="1:12" x14ac:dyDescent="0.3">
      <c r="A64" t="s">
        <v>294</v>
      </c>
      <c r="B64" t="s">
        <v>295</v>
      </c>
      <c r="C64" t="s">
        <v>268</v>
      </c>
      <c r="D64" t="s">
        <v>146</v>
      </c>
      <c r="E64" t="s">
        <v>56</v>
      </c>
      <c r="F64" t="s">
        <v>26</v>
      </c>
      <c r="G64" t="s">
        <v>296</v>
      </c>
      <c r="H64">
        <v>1</v>
      </c>
      <c r="I64">
        <v>1561.74</v>
      </c>
      <c r="J64" t="s">
        <v>42</v>
      </c>
      <c r="K64" t="s">
        <v>20</v>
      </c>
      <c r="L64">
        <f t="shared" si="0"/>
        <v>1561.74</v>
      </c>
    </row>
    <row r="65" spans="1:12" x14ac:dyDescent="0.3">
      <c r="A65" t="s">
        <v>297</v>
      </c>
      <c r="B65" t="s">
        <v>298</v>
      </c>
      <c r="C65" t="s">
        <v>186</v>
      </c>
      <c r="D65" t="s">
        <v>299</v>
      </c>
      <c r="E65" t="s">
        <v>16</v>
      </c>
      <c r="F65" t="s">
        <v>77</v>
      </c>
      <c r="G65" t="s">
        <v>105</v>
      </c>
      <c r="H65">
        <v>7</v>
      </c>
      <c r="I65">
        <v>1946.69</v>
      </c>
      <c r="J65" t="s">
        <v>50</v>
      </c>
      <c r="K65" t="s">
        <v>83</v>
      </c>
      <c r="L65">
        <f t="shared" si="0"/>
        <v>13626.83</v>
      </c>
    </row>
    <row r="66" spans="1:12" x14ac:dyDescent="0.3">
      <c r="A66" t="s">
        <v>300</v>
      </c>
      <c r="B66" t="s">
        <v>301</v>
      </c>
      <c r="C66" t="s">
        <v>302</v>
      </c>
      <c r="D66" t="s">
        <v>303</v>
      </c>
      <c r="E66" t="s">
        <v>62</v>
      </c>
      <c r="F66" t="s">
        <v>17</v>
      </c>
      <c r="G66" t="s">
        <v>35</v>
      </c>
      <c r="H66">
        <v>5</v>
      </c>
      <c r="I66">
        <v>4576.2700000000004</v>
      </c>
      <c r="J66" t="s">
        <v>42</v>
      </c>
      <c r="K66" t="s">
        <v>20</v>
      </c>
      <c r="L66">
        <f t="shared" si="0"/>
        <v>22881.350000000002</v>
      </c>
    </row>
    <row r="67" spans="1:12" x14ac:dyDescent="0.3">
      <c r="A67" t="s">
        <v>304</v>
      </c>
      <c r="B67" t="s">
        <v>305</v>
      </c>
      <c r="C67" t="s">
        <v>306</v>
      </c>
      <c r="D67" t="s">
        <v>307</v>
      </c>
      <c r="E67" t="s">
        <v>34</v>
      </c>
      <c r="F67" t="s">
        <v>17</v>
      </c>
      <c r="G67" t="s">
        <v>35</v>
      </c>
      <c r="H67">
        <v>5</v>
      </c>
      <c r="I67">
        <v>1741.2</v>
      </c>
      <c r="J67" t="s">
        <v>50</v>
      </c>
      <c r="K67" t="s">
        <v>83</v>
      </c>
      <c r="L67">
        <f t="shared" ref="L67:L130" si="1">H67*I67</f>
        <v>8706</v>
      </c>
    </row>
    <row r="68" spans="1:12" x14ac:dyDescent="0.3">
      <c r="A68" t="s">
        <v>308</v>
      </c>
      <c r="B68" t="s">
        <v>309</v>
      </c>
      <c r="C68" t="s">
        <v>310</v>
      </c>
      <c r="D68" t="s">
        <v>311</v>
      </c>
      <c r="E68" t="s">
        <v>62</v>
      </c>
      <c r="F68" t="s">
        <v>77</v>
      </c>
      <c r="G68" t="s">
        <v>123</v>
      </c>
      <c r="H68">
        <v>6</v>
      </c>
      <c r="I68">
        <v>2102.9</v>
      </c>
      <c r="J68" t="s">
        <v>42</v>
      </c>
      <c r="K68" t="s">
        <v>20</v>
      </c>
      <c r="L68">
        <f t="shared" si="1"/>
        <v>12617.400000000001</v>
      </c>
    </row>
    <row r="69" spans="1:12" x14ac:dyDescent="0.3">
      <c r="A69" t="s">
        <v>312</v>
      </c>
      <c r="B69" t="s">
        <v>313</v>
      </c>
      <c r="C69" t="s">
        <v>314</v>
      </c>
      <c r="D69" t="s">
        <v>315</v>
      </c>
      <c r="E69" t="s">
        <v>62</v>
      </c>
      <c r="F69" t="s">
        <v>26</v>
      </c>
      <c r="G69" t="s">
        <v>296</v>
      </c>
      <c r="H69">
        <v>10</v>
      </c>
      <c r="I69">
        <v>4315.68</v>
      </c>
      <c r="J69" t="s">
        <v>50</v>
      </c>
      <c r="K69" t="s">
        <v>43</v>
      </c>
      <c r="L69">
        <f t="shared" si="1"/>
        <v>43156.800000000003</v>
      </c>
    </row>
    <row r="70" spans="1:12" x14ac:dyDescent="0.3">
      <c r="A70" t="s">
        <v>316</v>
      </c>
      <c r="B70" t="s">
        <v>317</v>
      </c>
      <c r="C70" t="s">
        <v>318</v>
      </c>
      <c r="D70" t="s">
        <v>103</v>
      </c>
      <c r="E70" t="s">
        <v>95</v>
      </c>
      <c r="F70" t="s">
        <v>17</v>
      </c>
      <c r="G70" t="s">
        <v>41</v>
      </c>
      <c r="H70">
        <v>3</v>
      </c>
      <c r="I70">
        <v>3001.15</v>
      </c>
      <c r="J70" t="s">
        <v>19</v>
      </c>
      <c r="K70" t="s">
        <v>51</v>
      </c>
      <c r="L70">
        <f t="shared" si="1"/>
        <v>9003.4500000000007</v>
      </c>
    </row>
    <row r="71" spans="1:12" x14ac:dyDescent="0.3">
      <c r="A71" t="s">
        <v>319</v>
      </c>
      <c r="B71" t="s">
        <v>320</v>
      </c>
      <c r="C71" t="s">
        <v>321</v>
      </c>
      <c r="D71" t="s">
        <v>322</v>
      </c>
      <c r="E71" t="s">
        <v>34</v>
      </c>
      <c r="F71" t="s">
        <v>48</v>
      </c>
      <c r="G71" t="s">
        <v>57</v>
      </c>
      <c r="H71">
        <v>8</v>
      </c>
      <c r="I71">
        <v>3077.12</v>
      </c>
      <c r="J71" t="s">
        <v>19</v>
      </c>
      <c r="K71" t="s">
        <v>83</v>
      </c>
      <c r="L71">
        <f t="shared" si="1"/>
        <v>24616.959999999999</v>
      </c>
    </row>
    <row r="72" spans="1:12" x14ac:dyDescent="0.3">
      <c r="A72" t="s">
        <v>323</v>
      </c>
      <c r="B72" t="s">
        <v>324</v>
      </c>
      <c r="C72" t="s">
        <v>325</v>
      </c>
      <c r="D72" t="s">
        <v>326</v>
      </c>
      <c r="E72" t="s">
        <v>128</v>
      </c>
      <c r="F72" t="s">
        <v>17</v>
      </c>
      <c r="G72" t="s">
        <v>35</v>
      </c>
      <c r="H72">
        <v>3</v>
      </c>
      <c r="I72">
        <v>4229.95</v>
      </c>
      <c r="J72" t="s">
        <v>42</v>
      </c>
      <c r="K72" t="s">
        <v>36</v>
      </c>
      <c r="L72">
        <f t="shared" si="1"/>
        <v>12689.849999999999</v>
      </c>
    </row>
    <row r="73" spans="1:12" x14ac:dyDescent="0.3">
      <c r="A73" t="s">
        <v>327</v>
      </c>
      <c r="B73" t="s">
        <v>328</v>
      </c>
      <c r="C73" t="s">
        <v>329</v>
      </c>
      <c r="D73" t="s">
        <v>330</v>
      </c>
      <c r="E73" t="s">
        <v>56</v>
      </c>
      <c r="F73" t="s">
        <v>26</v>
      </c>
      <c r="G73" t="s">
        <v>166</v>
      </c>
      <c r="H73">
        <v>6</v>
      </c>
      <c r="I73">
        <v>2387.37</v>
      </c>
      <c r="J73" t="s">
        <v>50</v>
      </c>
      <c r="K73" t="s">
        <v>29</v>
      </c>
      <c r="L73">
        <f t="shared" si="1"/>
        <v>14324.22</v>
      </c>
    </row>
    <row r="74" spans="1:12" x14ac:dyDescent="0.3">
      <c r="A74" t="s">
        <v>331</v>
      </c>
      <c r="B74" t="s">
        <v>332</v>
      </c>
      <c r="C74" t="s">
        <v>333</v>
      </c>
      <c r="D74" t="s">
        <v>334</v>
      </c>
      <c r="E74" t="s">
        <v>25</v>
      </c>
      <c r="F74" t="s">
        <v>48</v>
      </c>
      <c r="G74" t="s">
        <v>49</v>
      </c>
      <c r="H74">
        <v>8</v>
      </c>
      <c r="I74">
        <v>2723.72</v>
      </c>
      <c r="J74" t="s">
        <v>19</v>
      </c>
      <c r="K74" t="s">
        <v>43</v>
      </c>
      <c r="L74">
        <f t="shared" si="1"/>
        <v>21789.759999999998</v>
      </c>
    </row>
    <row r="75" spans="1:12" x14ac:dyDescent="0.3">
      <c r="A75" t="s">
        <v>335</v>
      </c>
      <c r="B75" t="s">
        <v>336</v>
      </c>
      <c r="C75" t="s">
        <v>337</v>
      </c>
      <c r="D75" t="s">
        <v>61</v>
      </c>
      <c r="E75" t="s">
        <v>25</v>
      </c>
      <c r="F75" t="s">
        <v>26</v>
      </c>
      <c r="G75" t="s">
        <v>27</v>
      </c>
      <c r="H75">
        <v>6</v>
      </c>
      <c r="I75">
        <v>2062.73</v>
      </c>
      <c r="J75" t="s">
        <v>50</v>
      </c>
      <c r="K75" t="s">
        <v>36</v>
      </c>
      <c r="L75">
        <f t="shared" si="1"/>
        <v>12376.380000000001</v>
      </c>
    </row>
    <row r="76" spans="1:12" x14ac:dyDescent="0.3">
      <c r="A76" t="s">
        <v>338</v>
      </c>
      <c r="B76" t="s">
        <v>339</v>
      </c>
      <c r="C76" t="s">
        <v>340</v>
      </c>
      <c r="D76" t="s">
        <v>341</v>
      </c>
      <c r="E76" t="s">
        <v>56</v>
      </c>
      <c r="F76" t="s">
        <v>77</v>
      </c>
      <c r="G76" t="s">
        <v>171</v>
      </c>
      <c r="H76">
        <v>10</v>
      </c>
      <c r="I76">
        <v>2034.15</v>
      </c>
      <c r="J76" t="s">
        <v>19</v>
      </c>
      <c r="K76" t="s">
        <v>83</v>
      </c>
      <c r="L76">
        <f t="shared" si="1"/>
        <v>20341.5</v>
      </c>
    </row>
    <row r="77" spans="1:12" x14ac:dyDescent="0.3">
      <c r="A77" t="s">
        <v>342</v>
      </c>
      <c r="B77" t="s">
        <v>343</v>
      </c>
      <c r="C77" t="s">
        <v>344</v>
      </c>
      <c r="D77" t="s">
        <v>345</v>
      </c>
      <c r="E77" t="s">
        <v>128</v>
      </c>
      <c r="F77" t="s">
        <v>77</v>
      </c>
      <c r="G77" t="s">
        <v>78</v>
      </c>
      <c r="H77">
        <v>5</v>
      </c>
      <c r="I77">
        <v>2786.95</v>
      </c>
      <c r="J77" t="s">
        <v>50</v>
      </c>
      <c r="K77" t="s">
        <v>29</v>
      </c>
      <c r="L77">
        <f t="shared" si="1"/>
        <v>13934.75</v>
      </c>
    </row>
    <row r="78" spans="1:12" x14ac:dyDescent="0.3">
      <c r="A78" t="s">
        <v>346</v>
      </c>
      <c r="B78" t="s">
        <v>347</v>
      </c>
      <c r="C78" t="s">
        <v>348</v>
      </c>
      <c r="D78" t="s">
        <v>349</v>
      </c>
      <c r="E78" t="s">
        <v>25</v>
      </c>
      <c r="F78" t="s">
        <v>17</v>
      </c>
      <c r="G78" t="s">
        <v>35</v>
      </c>
      <c r="H78">
        <v>7</v>
      </c>
      <c r="I78">
        <v>4062.77</v>
      </c>
      <c r="J78" t="s">
        <v>42</v>
      </c>
      <c r="K78" t="s">
        <v>29</v>
      </c>
      <c r="L78">
        <f t="shared" si="1"/>
        <v>28439.39</v>
      </c>
    </row>
    <row r="79" spans="1:12" x14ac:dyDescent="0.3">
      <c r="A79" t="s">
        <v>350</v>
      </c>
      <c r="B79" t="s">
        <v>351</v>
      </c>
      <c r="C79" t="s">
        <v>352</v>
      </c>
      <c r="D79" t="s">
        <v>353</v>
      </c>
      <c r="E79" t="s">
        <v>62</v>
      </c>
      <c r="F79" t="s">
        <v>77</v>
      </c>
      <c r="G79" t="s">
        <v>123</v>
      </c>
      <c r="H79">
        <v>9</v>
      </c>
      <c r="I79">
        <v>4480.96</v>
      </c>
      <c r="J79" t="s">
        <v>19</v>
      </c>
      <c r="K79" t="s">
        <v>20</v>
      </c>
      <c r="L79">
        <f t="shared" si="1"/>
        <v>40328.639999999999</v>
      </c>
    </row>
    <row r="80" spans="1:12" x14ac:dyDescent="0.3">
      <c r="A80" t="s">
        <v>354</v>
      </c>
      <c r="B80" t="s">
        <v>355</v>
      </c>
      <c r="C80" t="s">
        <v>356</v>
      </c>
      <c r="D80" t="s">
        <v>357</v>
      </c>
      <c r="E80" t="s">
        <v>16</v>
      </c>
      <c r="F80" t="s">
        <v>77</v>
      </c>
      <c r="G80" t="s">
        <v>123</v>
      </c>
      <c r="H80">
        <v>1</v>
      </c>
      <c r="I80">
        <v>4516.93</v>
      </c>
      <c r="J80" t="s">
        <v>50</v>
      </c>
      <c r="K80" t="s">
        <v>83</v>
      </c>
      <c r="L80">
        <f t="shared" si="1"/>
        <v>4516.93</v>
      </c>
    </row>
    <row r="81" spans="1:12" x14ac:dyDescent="0.3">
      <c r="A81" t="s">
        <v>358</v>
      </c>
      <c r="B81" t="s">
        <v>359</v>
      </c>
      <c r="C81" t="s">
        <v>360</v>
      </c>
      <c r="D81" t="s">
        <v>361</v>
      </c>
      <c r="E81" t="s">
        <v>56</v>
      </c>
      <c r="F81" t="s">
        <v>77</v>
      </c>
      <c r="G81" t="s">
        <v>123</v>
      </c>
      <c r="H81">
        <v>7</v>
      </c>
      <c r="I81">
        <v>2396.69</v>
      </c>
      <c r="J81" t="s">
        <v>28</v>
      </c>
      <c r="K81" t="s">
        <v>29</v>
      </c>
      <c r="L81">
        <f t="shared" si="1"/>
        <v>16776.830000000002</v>
      </c>
    </row>
    <row r="82" spans="1:12" x14ac:dyDescent="0.3">
      <c r="A82" t="s">
        <v>362</v>
      </c>
      <c r="B82" t="s">
        <v>74</v>
      </c>
      <c r="C82" t="s">
        <v>363</v>
      </c>
      <c r="D82" t="s">
        <v>364</v>
      </c>
      <c r="E82" t="s">
        <v>16</v>
      </c>
      <c r="F82" t="s">
        <v>26</v>
      </c>
      <c r="G82" t="s">
        <v>27</v>
      </c>
      <c r="H82">
        <v>8</v>
      </c>
      <c r="I82">
        <v>4935.47</v>
      </c>
      <c r="J82" t="s">
        <v>19</v>
      </c>
      <c r="K82" t="s">
        <v>36</v>
      </c>
      <c r="L82">
        <f t="shared" si="1"/>
        <v>39483.760000000002</v>
      </c>
    </row>
    <row r="83" spans="1:12" x14ac:dyDescent="0.3">
      <c r="A83" t="s">
        <v>365</v>
      </c>
      <c r="B83" t="s">
        <v>366</v>
      </c>
      <c r="C83" t="s">
        <v>367</v>
      </c>
      <c r="D83" t="s">
        <v>368</v>
      </c>
      <c r="E83" t="s">
        <v>16</v>
      </c>
      <c r="F83" t="s">
        <v>17</v>
      </c>
      <c r="G83" t="s">
        <v>68</v>
      </c>
      <c r="H83">
        <v>4</v>
      </c>
      <c r="I83">
        <v>2905.63</v>
      </c>
      <c r="J83" t="s">
        <v>50</v>
      </c>
      <c r="K83" t="s">
        <v>20</v>
      </c>
      <c r="L83">
        <f t="shared" si="1"/>
        <v>11622.52</v>
      </c>
    </row>
    <row r="84" spans="1:12" x14ac:dyDescent="0.3">
      <c r="A84" t="s">
        <v>369</v>
      </c>
      <c r="B84" t="s">
        <v>370</v>
      </c>
      <c r="C84" t="s">
        <v>371</v>
      </c>
      <c r="D84" t="s">
        <v>372</v>
      </c>
      <c r="E84" t="s">
        <v>34</v>
      </c>
      <c r="F84" t="s">
        <v>17</v>
      </c>
      <c r="G84" t="s">
        <v>68</v>
      </c>
      <c r="H84">
        <v>6</v>
      </c>
      <c r="I84">
        <v>4209.08</v>
      </c>
      <c r="J84" t="s">
        <v>42</v>
      </c>
      <c r="K84" t="s">
        <v>20</v>
      </c>
      <c r="L84">
        <f t="shared" si="1"/>
        <v>25254.48</v>
      </c>
    </row>
    <row r="85" spans="1:12" x14ac:dyDescent="0.3">
      <c r="A85" t="s">
        <v>373</v>
      </c>
      <c r="B85" t="s">
        <v>287</v>
      </c>
      <c r="C85" t="s">
        <v>374</v>
      </c>
      <c r="D85" t="s">
        <v>375</v>
      </c>
      <c r="E85" t="s">
        <v>16</v>
      </c>
      <c r="F85" t="s">
        <v>77</v>
      </c>
      <c r="G85" t="s">
        <v>171</v>
      </c>
      <c r="H85">
        <v>3</v>
      </c>
      <c r="I85">
        <v>3135.78</v>
      </c>
      <c r="J85" t="s">
        <v>50</v>
      </c>
      <c r="K85" t="s">
        <v>83</v>
      </c>
      <c r="L85">
        <f t="shared" si="1"/>
        <v>9407.34</v>
      </c>
    </row>
    <row r="86" spans="1:12" x14ac:dyDescent="0.3">
      <c r="A86" t="s">
        <v>376</v>
      </c>
      <c r="B86" t="s">
        <v>377</v>
      </c>
      <c r="C86" t="s">
        <v>378</v>
      </c>
      <c r="D86" t="s">
        <v>379</v>
      </c>
      <c r="E86" t="s">
        <v>128</v>
      </c>
      <c r="F86" t="s">
        <v>77</v>
      </c>
      <c r="G86" t="s">
        <v>123</v>
      </c>
      <c r="H86">
        <v>1</v>
      </c>
      <c r="I86">
        <v>2389.71</v>
      </c>
      <c r="J86" t="s">
        <v>19</v>
      </c>
      <c r="K86" t="s">
        <v>51</v>
      </c>
      <c r="L86">
        <f t="shared" si="1"/>
        <v>2389.71</v>
      </c>
    </row>
    <row r="87" spans="1:12" x14ac:dyDescent="0.3">
      <c r="A87" t="s">
        <v>380</v>
      </c>
      <c r="B87" t="s">
        <v>381</v>
      </c>
      <c r="C87" t="s">
        <v>382</v>
      </c>
      <c r="D87" t="s">
        <v>383</v>
      </c>
      <c r="E87" t="s">
        <v>25</v>
      </c>
      <c r="F87" t="s">
        <v>48</v>
      </c>
      <c r="G87" t="s">
        <v>63</v>
      </c>
      <c r="H87">
        <v>8</v>
      </c>
      <c r="I87">
        <v>1186.49</v>
      </c>
      <c r="J87" t="s">
        <v>19</v>
      </c>
      <c r="K87" t="s">
        <v>43</v>
      </c>
      <c r="L87">
        <f t="shared" si="1"/>
        <v>9491.92</v>
      </c>
    </row>
    <row r="88" spans="1:12" x14ac:dyDescent="0.3">
      <c r="A88" t="s">
        <v>384</v>
      </c>
      <c r="B88" t="s">
        <v>385</v>
      </c>
      <c r="C88" t="s">
        <v>386</v>
      </c>
      <c r="D88" t="s">
        <v>387</v>
      </c>
      <c r="E88" t="s">
        <v>25</v>
      </c>
      <c r="F88" t="s">
        <v>17</v>
      </c>
      <c r="G88" t="s">
        <v>68</v>
      </c>
      <c r="H88">
        <v>8</v>
      </c>
      <c r="I88">
        <v>3228.85</v>
      </c>
      <c r="J88" t="s">
        <v>42</v>
      </c>
      <c r="K88" t="s">
        <v>29</v>
      </c>
      <c r="L88">
        <f t="shared" si="1"/>
        <v>25830.799999999999</v>
      </c>
    </row>
    <row r="89" spans="1:12" x14ac:dyDescent="0.3">
      <c r="A89" t="s">
        <v>388</v>
      </c>
      <c r="B89" t="s">
        <v>389</v>
      </c>
      <c r="C89" t="s">
        <v>390</v>
      </c>
      <c r="D89" t="s">
        <v>391</v>
      </c>
      <c r="E89" t="s">
        <v>104</v>
      </c>
      <c r="F89" t="s">
        <v>26</v>
      </c>
      <c r="G89" t="s">
        <v>166</v>
      </c>
      <c r="H89">
        <v>5</v>
      </c>
      <c r="I89">
        <v>2703.43</v>
      </c>
      <c r="J89" t="s">
        <v>28</v>
      </c>
      <c r="K89" t="s">
        <v>20</v>
      </c>
      <c r="L89">
        <f t="shared" si="1"/>
        <v>13517.15</v>
      </c>
    </row>
    <row r="90" spans="1:12" x14ac:dyDescent="0.3">
      <c r="A90" t="s">
        <v>392</v>
      </c>
      <c r="B90" t="s">
        <v>393</v>
      </c>
      <c r="C90" t="s">
        <v>394</v>
      </c>
      <c r="D90" t="s">
        <v>395</v>
      </c>
      <c r="E90" t="s">
        <v>104</v>
      </c>
      <c r="F90" t="s">
        <v>77</v>
      </c>
      <c r="G90" t="s">
        <v>171</v>
      </c>
      <c r="H90">
        <v>10</v>
      </c>
      <c r="I90">
        <v>4763.6099999999997</v>
      </c>
      <c r="J90" t="s">
        <v>28</v>
      </c>
      <c r="K90" t="s">
        <v>43</v>
      </c>
      <c r="L90">
        <f t="shared" si="1"/>
        <v>47636.1</v>
      </c>
    </row>
    <row r="91" spans="1:12" x14ac:dyDescent="0.3">
      <c r="A91" t="s">
        <v>396</v>
      </c>
      <c r="B91" t="s">
        <v>397</v>
      </c>
      <c r="C91" t="s">
        <v>398</v>
      </c>
      <c r="D91" t="s">
        <v>399</v>
      </c>
      <c r="E91" t="s">
        <v>95</v>
      </c>
      <c r="F91" t="s">
        <v>77</v>
      </c>
      <c r="G91" t="s">
        <v>105</v>
      </c>
      <c r="H91">
        <v>1</v>
      </c>
      <c r="I91">
        <v>2248.81</v>
      </c>
      <c r="J91" t="s">
        <v>19</v>
      </c>
      <c r="K91" t="s">
        <v>29</v>
      </c>
      <c r="L91">
        <f t="shared" si="1"/>
        <v>2248.81</v>
      </c>
    </row>
    <row r="92" spans="1:12" x14ac:dyDescent="0.3">
      <c r="A92" t="s">
        <v>400</v>
      </c>
      <c r="B92" t="s">
        <v>401</v>
      </c>
      <c r="C92" t="s">
        <v>402</v>
      </c>
      <c r="D92" t="s">
        <v>403</v>
      </c>
      <c r="E92" t="s">
        <v>104</v>
      </c>
      <c r="F92" t="s">
        <v>26</v>
      </c>
      <c r="G92" t="s">
        <v>166</v>
      </c>
      <c r="H92">
        <v>10</v>
      </c>
      <c r="I92">
        <v>423.09</v>
      </c>
      <c r="J92" t="s">
        <v>50</v>
      </c>
      <c r="K92" t="s">
        <v>51</v>
      </c>
      <c r="L92">
        <f t="shared" si="1"/>
        <v>4230.8999999999996</v>
      </c>
    </row>
    <row r="93" spans="1:12" x14ac:dyDescent="0.3">
      <c r="A93" t="s">
        <v>404</v>
      </c>
      <c r="B93" t="s">
        <v>405</v>
      </c>
      <c r="C93" t="s">
        <v>406</v>
      </c>
      <c r="D93" t="s">
        <v>407</v>
      </c>
      <c r="E93" t="s">
        <v>34</v>
      </c>
      <c r="F93" t="s">
        <v>26</v>
      </c>
      <c r="G93" t="s">
        <v>115</v>
      </c>
      <c r="H93">
        <v>9</v>
      </c>
      <c r="I93">
        <v>2919.64</v>
      </c>
      <c r="J93" t="s">
        <v>50</v>
      </c>
      <c r="K93" t="s">
        <v>51</v>
      </c>
      <c r="L93">
        <f t="shared" si="1"/>
        <v>26276.76</v>
      </c>
    </row>
    <row r="94" spans="1:12" x14ac:dyDescent="0.3">
      <c r="A94" t="s">
        <v>408</v>
      </c>
      <c r="B94" t="s">
        <v>409</v>
      </c>
      <c r="C94" t="s">
        <v>352</v>
      </c>
      <c r="D94" t="s">
        <v>410</v>
      </c>
      <c r="E94" t="s">
        <v>16</v>
      </c>
      <c r="F94" t="s">
        <v>48</v>
      </c>
      <c r="G94" t="s">
        <v>57</v>
      </c>
      <c r="H94">
        <v>4</v>
      </c>
      <c r="I94">
        <v>3390.71</v>
      </c>
      <c r="J94" t="s">
        <v>19</v>
      </c>
      <c r="K94" t="s">
        <v>83</v>
      </c>
      <c r="L94">
        <f t="shared" si="1"/>
        <v>13562.84</v>
      </c>
    </row>
    <row r="95" spans="1:12" x14ac:dyDescent="0.3">
      <c r="A95" t="s">
        <v>411</v>
      </c>
      <c r="B95" t="s">
        <v>412</v>
      </c>
      <c r="C95" t="s">
        <v>86</v>
      </c>
      <c r="D95" t="s">
        <v>413</v>
      </c>
      <c r="E95" t="s">
        <v>128</v>
      </c>
      <c r="F95" t="s">
        <v>17</v>
      </c>
      <c r="G95" t="s">
        <v>68</v>
      </c>
      <c r="H95">
        <v>4</v>
      </c>
      <c r="I95">
        <v>813.9</v>
      </c>
      <c r="J95" t="s">
        <v>28</v>
      </c>
      <c r="K95" t="s">
        <v>83</v>
      </c>
      <c r="L95">
        <f t="shared" si="1"/>
        <v>3255.6</v>
      </c>
    </row>
    <row r="96" spans="1:12" x14ac:dyDescent="0.3">
      <c r="A96" t="s">
        <v>414</v>
      </c>
      <c r="B96" t="s">
        <v>415</v>
      </c>
      <c r="C96" t="s">
        <v>416</v>
      </c>
      <c r="D96" t="s">
        <v>417</v>
      </c>
      <c r="E96" t="s">
        <v>128</v>
      </c>
      <c r="F96" t="s">
        <v>77</v>
      </c>
      <c r="G96" t="s">
        <v>78</v>
      </c>
      <c r="H96">
        <v>2</v>
      </c>
      <c r="I96">
        <v>3245.79</v>
      </c>
      <c r="J96" t="s">
        <v>19</v>
      </c>
      <c r="K96" t="s">
        <v>83</v>
      </c>
      <c r="L96">
        <f t="shared" si="1"/>
        <v>6491.58</v>
      </c>
    </row>
    <row r="97" spans="1:12" x14ac:dyDescent="0.3">
      <c r="A97" t="s">
        <v>418</v>
      </c>
      <c r="B97" t="s">
        <v>419</v>
      </c>
      <c r="C97" t="s">
        <v>420</v>
      </c>
      <c r="D97" t="s">
        <v>303</v>
      </c>
      <c r="E97" t="s">
        <v>95</v>
      </c>
      <c r="F97" t="s">
        <v>17</v>
      </c>
      <c r="G97" t="s">
        <v>68</v>
      </c>
      <c r="H97">
        <v>7</v>
      </c>
      <c r="I97">
        <v>3043.32</v>
      </c>
      <c r="J97" t="s">
        <v>42</v>
      </c>
      <c r="K97" t="s">
        <v>29</v>
      </c>
      <c r="L97">
        <f t="shared" si="1"/>
        <v>21303.24</v>
      </c>
    </row>
    <row r="98" spans="1:12" x14ac:dyDescent="0.3">
      <c r="A98" t="s">
        <v>421</v>
      </c>
      <c r="B98" t="s">
        <v>422</v>
      </c>
      <c r="C98" t="s">
        <v>423</v>
      </c>
      <c r="D98" t="s">
        <v>424</v>
      </c>
      <c r="E98" t="s">
        <v>104</v>
      </c>
      <c r="F98" t="s">
        <v>77</v>
      </c>
      <c r="G98" t="s">
        <v>78</v>
      </c>
      <c r="H98">
        <v>6</v>
      </c>
      <c r="I98">
        <v>1694.51</v>
      </c>
      <c r="J98" t="s">
        <v>42</v>
      </c>
      <c r="K98" t="s">
        <v>36</v>
      </c>
      <c r="L98">
        <f t="shared" si="1"/>
        <v>10167.06</v>
      </c>
    </row>
    <row r="99" spans="1:12" x14ac:dyDescent="0.3">
      <c r="A99" t="s">
        <v>425</v>
      </c>
      <c r="B99" t="s">
        <v>426</v>
      </c>
      <c r="C99" t="s">
        <v>427</v>
      </c>
      <c r="D99" t="s">
        <v>428</v>
      </c>
      <c r="E99" t="s">
        <v>95</v>
      </c>
      <c r="F99" t="s">
        <v>17</v>
      </c>
      <c r="G99" t="s">
        <v>35</v>
      </c>
      <c r="H99">
        <v>3</v>
      </c>
      <c r="I99">
        <v>2433.14</v>
      </c>
      <c r="J99" t="s">
        <v>42</v>
      </c>
      <c r="K99" t="s">
        <v>36</v>
      </c>
      <c r="L99">
        <f t="shared" si="1"/>
        <v>7299.42</v>
      </c>
    </row>
    <row r="100" spans="1:12" x14ac:dyDescent="0.3">
      <c r="A100" t="s">
        <v>429</v>
      </c>
      <c r="B100" t="s">
        <v>347</v>
      </c>
      <c r="C100" t="s">
        <v>430</v>
      </c>
      <c r="D100" t="s">
        <v>431</v>
      </c>
      <c r="E100" t="s">
        <v>62</v>
      </c>
      <c r="F100" t="s">
        <v>26</v>
      </c>
      <c r="G100" t="s">
        <v>208</v>
      </c>
      <c r="H100">
        <v>7</v>
      </c>
      <c r="I100">
        <v>1442.96</v>
      </c>
      <c r="J100" t="s">
        <v>28</v>
      </c>
      <c r="K100" t="s">
        <v>36</v>
      </c>
      <c r="L100">
        <f t="shared" si="1"/>
        <v>10100.720000000001</v>
      </c>
    </row>
    <row r="101" spans="1:12" x14ac:dyDescent="0.3">
      <c r="A101" t="s">
        <v>432</v>
      </c>
      <c r="B101" t="s">
        <v>433</v>
      </c>
      <c r="C101" t="s">
        <v>434</v>
      </c>
      <c r="D101" t="s">
        <v>435</v>
      </c>
      <c r="E101" t="s">
        <v>128</v>
      </c>
      <c r="F101" t="s">
        <v>77</v>
      </c>
      <c r="G101" t="s">
        <v>171</v>
      </c>
      <c r="H101">
        <v>7</v>
      </c>
      <c r="I101">
        <v>1579.19</v>
      </c>
      <c r="J101" t="s">
        <v>42</v>
      </c>
      <c r="K101" t="s">
        <v>83</v>
      </c>
      <c r="L101">
        <f t="shared" si="1"/>
        <v>11054.33</v>
      </c>
    </row>
    <row r="102" spans="1:12" x14ac:dyDescent="0.3">
      <c r="A102" t="s">
        <v>436</v>
      </c>
      <c r="B102" t="s">
        <v>437</v>
      </c>
      <c r="C102" t="s">
        <v>438</v>
      </c>
      <c r="D102" t="s">
        <v>439</v>
      </c>
      <c r="E102" t="s">
        <v>56</v>
      </c>
      <c r="F102" t="s">
        <v>17</v>
      </c>
      <c r="G102" t="s">
        <v>41</v>
      </c>
      <c r="H102">
        <v>8</v>
      </c>
      <c r="I102">
        <v>4761.93</v>
      </c>
      <c r="J102" t="s">
        <v>42</v>
      </c>
      <c r="K102" t="s">
        <v>43</v>
      </c>
      <c r="L102">
        <f t="shared" si="1"/>
        <v>38095.440000000002</v>
      </c>
    </row>
    <row r="103" spans="1:12" x14ac:dyDescent="0.3">
      <c r="A103" t="s">
        <v>440</v>
      </c>
      <c r="B103" t="s">
        <v>441</v>
      </c>
      <c r="C103" t="s">
        <v>442</v>
      </c>
      <c r="D103" t="s">
        <v>443</v>
      </c>
      <c r="E103" t="s">
        <v>95</v>
      </c>
      <c r="F103" t="s">
        <v>48</v>
      </c>
      <c r="G103" t="s">
        <v>57</v>
      </c>
      <c r="H103">
        <v>2</v>
      </c>
      <c r="I103">
        <v>3673.2</v>
      </c>
      <c r="J103" t="s">
        <v>42</v>
      </c>
      <c r="K103" t="s">
        <v>29</v>
      </c>
      <c r="L103">
        <f t="shared" si="1"/>
        <v>7346.4</v>
      </c>
    </row>
    <row r="104" spans="1:12" x14ac:dyDescent="0.3">
      <c r="A104" t="s">
        <v>444</v>
      </c>
      <c r="B104" t="s">
        <v>445</v>
      </c>
      <c r="C104" t="s">
        <v>446</v>
      </c>
      <c r="D104" t="s">
        <v>447</v>
      </c>
      <c r="E104" t="s">
        <v>25</v>
      </c>
      <c r="F104" t="s">
        <v>26</v>
      </c>
      <c r="G104" t="s">
        <v>166</v>
      </c>
      <c r="H104">
        <v>8</v>
      </c>
      <c r="I104">
        <v>1837.73</v>
      </c>
      <c r="J104" t="s">
        <v>19</v>
      </c>
      <c r="K104" t="s">
        <v>43</v>
      </c>
      <c r="L104">
        <f t="shared" si="1"/>
        <v>14701.84</v>
      </c>
    </row>
    <row r="105" spans="1:12" x14ac:dyDescent="0.3">
      <c r="A105" t="s">
        <v>448</v>
      </c>
      <c r="B105" t="s">
        <v>449</v>
      </c>
      <c r="C105" t="s">
        <v>450</v>
      </c>
      <c r="D105" t="s">
        <v>451</v>
      </c>
      <c r="E105" t="s">
        <v>34</v>
      </c>
      <c r="F105" t="s">
        <v>17</v>
      </c>
      <c r="G105" t="s">
        <v>18</v>
      </c>
      <c r="H105">
        <v>3</v>
      </c>
      <c r="I105">
        <v>519.26</v>
      </c>
      <c r="J105" t="s">
        <v>19</v>
      </c>
      <c r="K105" t="s">
        <v>83</v>
      </c>
      <c r="L105">
        <f t="shared" si="1"/>
        <v>1557.78</v>
      </c>
    </row>
    <row r="106" spans="1:12" x14ac:dyDescent="0.3">
      <c r="A106" t="s">
        <v>452</v>
      </c>
      <c r="B106" t="s">
        <v>453</v>
      </c>
      <c r="C106" t="s">
        <v>454</v>
      </c>
      <c r="D106" t="s">
        <v>455</v>
      </c>
      <c r="E106" t="s">
        <v>128</v>
      </c>
      <c r="F106" t="s">
        <v>26</v>
      </c>
      <c r="G106" t="s">
        <v>208</v>
      </c>
      <c r="H106">
        <v>3</v>
      </c>
      <c r="I106">
        <v>1772.75</v>
      </c>
      <c r="J106" t="s">
        <v>50</v>
      </c>
      <c r="K106" t="s">
        <v>29</v>
      </c>
      <c r="L106">
        <f t="shared" si="1"/>
        <v>5318.25</v>
      </c>
    </row>
    <row r="107" spans="1:12" x14ac:dyDescent="0.3">
      <c r="A107" t="s">
        <v>456</v>
      </c>
      <c r="B107" t="s">
        <v>457</v>
      </c>
      <c r="C107" t="s">
        <v>458</v>
      </c>
      <c r="D107" t="s">
        <v>459</v>
      </c>
      <c r="E107" t="s">
        <v>56</v>
      </c>
      <c r="F107" t="s">
        <v>48</v>
      </c>
      <c r="G107" t="s">
        <v>57</v>
      </c>
      <c r="H107">
        <v>1</v>
      </c>
      <c r="I107">
        <v>2600.4699999999998</v>
      </c>
      <c r="J107" t="s">
        <v>42</v>
      </c>
      <c r="K107" t="s">
        <v>29</v>
      </c>
      <c r="L107">
        <f t="shared" si="1"/>
        <v>2600.4699999999998</v>
      </c>
    </row>
    <row r="108" spans="1:12" x14ac:dyDescent="0.3">
      <c r="A108" t="s">
        <v>460</v>
      </c>
      <c r="B108" t="s">
        <v>461</v>
      </c>
      <c r="C108" t="s">
        <v>352</v>
      </c>
      <c r="D108" t="s">
        <v>462</v>
      </c>
      <c r="E108" t="s">
        <v>104</v>
      </c>
      <c r="F108" t="s">
        <v>26</v>
      </c>
      <c r="G108" t="s">
        <v>27</v>
      </c>
      <c r="H108">
        <v>10</v>
      </c>
      <c r="I108">
        <v>4710.95</v>
      </c>
      <c r="J108" t="s">
        <v>42</v>
      </c>
      <c r="K108" t="s">
        <v>51</v>
      </c>
      <c r="L108">
        <f t="shared" si="1"/>
        <v>47109.5</v>
      </c>
    </row>
    <row r="109" spans="1:12" x14ac:dyDescent="0.3">
      <c r="A109" t="s">
        <v>463</v>
      </c>
      <c r="B109" t="s">
        <v>464</v>
      </c>
      <c r="C109" t="s">
        <v>215</v>
      </c>
      <c r="D109" t="s">
        <v>465</v>
      </c>
      <c r="E109" t="s">
        <v>56</v>
      </c>
      <c r="F109" t="s">
        <v>17</v>
      </c>
      <c r="G109" t="s">
        <v>35</v>
      </c>
      <c r="H109">
        <v>6</v>
      </c>
      <c r="I109">
        <v>4840.12</v>
      </c>
      <c r="J109" t="s">
        <v>19</v>
      </c>
      <c r="K109" t="s">
        <v>29</v>
      </c>
      <c r="L109">
        <f t="shared" si="1"/>
        <v>29040.720000000001</v>
      </c>
    </row>
    <row r="110" spans="1:12" x14ac:dyDescent="0.3">
      <c r="A110" t="s">
        <v>466</v>
      </c>
      <c r="B110" t="s">
        <v>467</v>
      </c>
      <c r="C110" t="s">
        <v>468</v>
      </c>
      <c r="D110" t="s">
        <v>469</v>
      </c>
      <c r="E110" t="s">
        <v>62</v>
      </c>
      <c r="F110" t="s">
        <v>26</v>
      </c>
      <c r="G110" t="s">
        <v>166</v>
      </c>
      <c r="H110">
        <v>1</v>
      </c>
      <c r="I110">
        <v>947.38</v>
      </c>
      <c r="J110" t="s">
        <v>19</v>
      </c>
      <c r="K110" t="s">
        <v>20</v>
      </c>
      <c r="L110">
        <f t="shared" si="1"/>
        <v>947.38</v>
      </c>
    </row>
    <row r="111" spans="1:12" x14ac:dyDescent="0.3">
      <c r="A111" t="s">
        <v>470</v>
      </c>
      <c r="B111" t="s">
        <v>471</v>
      </c>
      <c r="C111" t="s">
        <v>344</v>
      </c>
      <c r="D111" t="s">
        <v>472</v>
      </c>
      <c r="E111" t="s">
        <v>128</v>
      </c>
      <c r="F111" t="s">
        <v>17</v>
      </c>
      <c r="G111" t="s">
        <v>188</v>
      </c>
      <c r="H111">
        <v>2</v>
      </c>
      <c r="I111">
        <v>3273.22</v>
      </c>
      <c r="J111" t="s">
        <v>28</v>
      </c>
      <c r="K111" t="s">
        <v>43</v>
      </c>
      <c r="L111">
        <f t="shared" si="1"/>
        <v>6546.44</v>
      </c>
    </row>
    <row r="112" spans="1:12" x14ac:dyDescent="0.3">
      <c r="A112" t="s">
        <v>473</v>
      </c>
      <c r="B112" t="s">
        <v>474</v>
      </c>
      <c r="C112" t="s">
        <v>118</v>
      </c>
      <c r="D112" t="s">
        <v>475</v>
      </c>
      <c r="E112" t="s">
        <v>56</v>
      </c>
      <c r="F112" t="s">
        <v>26</v>
      </c>
      <c r="G112" t="s">
        <v>27</v>
      </c>
      <c r="H112">
        <v>8</v>
      </c>
      <c r="I112">
        <v>528.77</v>
      </c>
      <c r="J112" t="s">
        <v>28</v>
      </c>
      <c r="K112" t="s">
        <v>43</v>
      </c>
      <c r="L112">
        <f t="shared" si="1"/>
        <v>4230.16</v>
      </c>
    </row>
    <row r="113" spans="1:12" x14ac:dyDescent="0.3">
      <c r="A113" t="s">
        <v>476</v>
      </c>
      <c r="B113" t="s">
        <v>477</v>
      </c>
      <c r="C113" t="s">
        <v>478</v>
      </c>
      <c r="D113" t="s">
        <v>479</v>
      </c>
      <c r="E113" t="s">
        <v>104</v>
      </c>
      <c r="F113" t="s">
        <v>26</v>
      </c>
      <c r="G113" t="s">
        <v>115</v>
      </c>
      <c r="H113">
        <v>10</v>
      </c>
      <c r="I113">
        <v>2619.59</v>
      </c>
      <c r="J113" t="s">
        <v>42</v>
      </c>
      <c r="K113" t="s">
        <v>83</v>
      </c>
      <c r="L113">
        <f t="shared" si="1"/>
        <v>26195.9</v>
      </c>
    </row>
    <row r="114" spans="1:12" x14ac:dyDescent="0.3">
      <c r="A114" t="s">
        <v>480</v>
      </c>
      <c r="B114" t="s">
        <v>328</v>
      </c>
      <c r="C114" t="s">
        <v>374</v>
      </c>
      <c r="D114" t="s">
        <v>481</v>
      </c>
      <c r="E114" t="s">
        <v>104</v>
      </c>
      <c r="F114" t="s">
        <v>17</v>
      </c>
      <c r="G114" t="s">
        <v>18</v>
      </c>
      <c r="H114">
        <v>3</v>
      </c>
      <c r="I114">
        <v>2297.48</v>
      </c>
      <c r="J114" t="s">
        <v>19</v>
      </c>
      <c r="K114" t="s">
        <v>83</v>
      </c>
      <c r="L114">
        <f t="shared" si="1"/>
        <v>6892.4400000000005</v>
      </c>
    </row>
    <row r="115" spans="1:12" x14ac:dyDescent="0.3">
      <c r="A115" t="s">
        <v>482</v>
      </c>
      <c r="B115" t="s">
        <v>483</v>
      </c>
      <c r="C115" t="s">
        <v>337</v>
      </c>
      <c r="D115" t="s">
        <v>484</v>
      </c>
      <c r="E115" t="s">
        <v>95</v>
      </c>
      <c r="F115" t="s">
        <v>77</v>
      </c>
      <c r="G115" t="s">
        <v>105</v>
      </c>
      <c r="H115">
        <v>6</v>
      </c>
      <c r="I115">
        <v>1322.78</v>
      </c>
      <c r="J115" t="s">
        <v>50</v>
      </c>
      <c r="K115" t="s">
        <v>83</v>
      </c>
      <c r="L115">
        <f t="shared" si="1"/>
        <v>7936.68</v>
      </c>
    </row>
    <row r="116" spans="1:12" x14ac:dyDescent="0.3">
      <c r="A116" t="s">
        <v>485</v>
      </c>
      <c r="B116" t="s">
        <v>486</v>
      </c>
      <c r="C116" t="s">
        <v>487</v>
      </c>
      <c r="D116" t="s">
        <v>488</v>
      </c>
      <c r="E116" t="s">
        <v>25</v>
      </c>
      <c r="F116" t="s">
        <v>48</v>
      </c>
      <c r="G116" t="s">
        <v>49</v>
      </c>
      <c r="H116">
        <v>5</v>
      </c>
      <c r="I116">
        <v>2803.99</v>
      </c>
      <c r="J116" t="s">
        <v>28</v>
      </c>
      <c r="K116" t="s">
        <v>51</v>
      </c>
      <c r="L116">
        <f t="shared" si="1"/>
        <v>14019.949999999999</v>
      </c>
    </row>
    <row r="117" spans="1:12" x14ac:dyDescent="0.3">
      <c r="A117" t="s">
        <v>489</v>
      </c>
      <c r="B117" t="s">
        <v>490</v>
      </c>
      <c r="C117" t="s">
        <v>491</v>
      </c>
      <c r="D117" t="s">
        <v>492</v>
      </c>
      <c r="E117" t="s">
        <v>56</v>
      </c>
      <c r="F117" t="s">
        <v>77</v>
      </c>
      <c r="G117" t="s">
        <v>105</v>
      </c>
      <c r="H117">
        <v>1</v>
      </c>
      <c r="I117">
        <v>2071.4299999999998</v>
      </c>
      <c r="J117" t="s">
        <v>28</v>
      </c>
      <c r="K117" t="s">
        <v>83</v>
      </c>
      <c r="L117">
        <f t="shared" si="1"/>
        <v>2071.4299999999998</v>
      </c>
    </row>
    <row r="118" spans="1:12" x14ac:dyDescent="0.3">
      <c r="A118" t="s">
        <v>493</v>
      </c>
      <c r="B118" t="s">
        <v>494</v>
      </c>
      <c r="C118" t="s">
        <v>495</v>
      </c>
      <c r="D118" t="s">
        <v>496</v>
      </c>
      <c r="E118" t="s">
        <v>95</v>
      </c>
      <c r="F118" t="s">
        <v>26</v>
      </c>
      <c r="G118" t="s">
        <v>166</v>
      </c>
      <c r="H118">
        <v>2</v>
      </c>
      <c r="I118">
        <v>4323.8900000000003</v>
      </c>
      <c r="J118" t="s">
        <v>28</v>
      </c>
      <c r="K118" t="s">
        <v>83</v>
      </c>
      <c r="L118">
        <f t="shared" si="1"/>
        <v>8647.7800000000007</v>
      </c>
    </row>
    <row r="119" spans="1:12" x14ac:dyDescent="0.3">
      <c r="A119" t="s">
        <v>497</v>
      </c>
      <c r="B119" t="s">
        <v>287</v>
      </c>
      <c r="C119" t="s">
        <v>498</v>
      </c>
      <c r="D119" t="s">
        <v>499</v>
      </c>
      <c r="E119" t="s">
        <v>56</v>
      </c>
      <c r="F119" t="s">
        <v>26</v>
      </c>
      <c r="G119" t="s">
        <v>115</v>
      </c>
      <c r="H119">
        <v>1</v>
      </c>
      <c r="I119">
        <v>3507.73</v>
      </c>
      <c r="J119" t="s">
        <v>42</v>
      </c>
      <c r="K119" t="s">
        <v>36</v>
      </c>
      <c r="L119">
        <f t="shared" si="1"/>
        <v>3507.73</v>
      </c>
    </row>
    <row r="120" spans="1:12" x14ac:dyDescent="0.3">
      <c r="A120" t="s">
        <v>500</v>
      </c>
      <c r="B120" t="s">
        <v>501</v>
      </c>
      <c r="C120" t="s">
        <v>502</v>
      </c>
      <c r="D120" t="s">
        <v>503</v>
      </c>
      <c r="E120" t="s">
        <v>95</v>
      </c>
      <c r="F120" t="s">
        <v>48</v>
      </c>
      <c r="G120" t="s">
        <v>179</v>
      </c>
      <c r="H120">
        <v>3</v>
      </c>
      <c r="I120">
        <v>3166.33</v>
      </c>
      <c r="J120" t="s">
        <v>50</v>
      </c>
      <c r="K120" t="s">
        <v>29</v>
      </c>
      <c r="L120">
        <f t="shared" si="1"/>
        <v>9498.99</v>
      </c>
    </row>
    <row r="121" spans="1:12" x14ac:dyDescent="0.3">
      <c r="A121" t="s">
        <v>504</v>
      </c>
      <c r="B121" t="s">
        <v>505</v>
      </c>
      <c r="C121" t="s">
        <v>506</v>
      </c>
      <c r="D121" t="s">
        <v>507</v>
      </c>
      <c r="E121" t="s">
        <v>128</v>
      </c>
      <c r="F121" t="s">
        <v>17</v>
      </c>
      <c r="G121" t="s">
        <v>35</v>
      </c>
      <c r="H121">
        <v>6</v>
      </c>
      <c r="I121">
        <v>3887.65</v>
      </c>
      <c r="J121" t="s">
        <v>42</v>
      </c>
      <c r="K121" t="s">
        <v>20</v>
      </c>
      <c r="L121">
        <f t="shared" si="1"/>
        <v>23325.9</v>
      </c>
    </row>
    <row r="122" spans="1:12" x14ac:dyDescent="0.3">
      <c r="A122" t="s">
        <v>508</v>
      </c>
      <c r="B122" t="s">
        <v>509</v>
      </c>
      <c r="C122" t="s">
        <v>510</v>
      </c>
      <c r="D122" t="s">
        <v>511</v>
      </c>
      <c r="E122" t="s">
        <v>128</v>
      </c>
      <c r="F122" t="s">
        <v>26</v>
      </c>
      <c r="G122" t="s">
        <v>115</v>
      </c>
      <c r="H122">
        <v>3</v>
      </c>
      <c r="I122">
        <v>2009.42</v>
      </c>
      <c r="J122" t="s">
        <v>19</v>
      </c>
      <c r="K122" t="s">
        <v>20</v>
      </c>
      <c r="L122">
        <f t="shared" si="1"/>
        <v>6028.26</v>
      </c>
    </row>
    <row r="123" spans="1:12" x14ac:dyDescent="0.3">
      <c r="A123" t="s">
        <v>512</v>
      </c>
      <c r="B123" t="s">
        <v>59</v>
      </c>
      <c r="C123" t="s">
        <v>513</v>
      </c>
      <c r="D123" t="s">
        <v>514</v>
      </c>
      <c r="E123" t="s">
        <v>104</v>
      </c>
      <c r="F123" t="s">
        <v>17</v>
      </c>
      <c r="G123" t="s">
        <v>18</v>
      </c>
      <c r="H123">
        <v>5</v>
      </c>
      <c r="I123">
        <v>2982.76</v>
      </c>
      <c r="J123" t="s">
        <v>28</v>
      </c>
      <c r="K123" t="s">
        <v>29</v>
      </c>
      <c r="L123">
        <f t="shared" si="1"/>
        <v>14913.800000000001</v>
      </c>
    </row>
    <row r="124" spans="1:12" x14ac:dyDescent="0.3">
      <c r="A124" t="s">
        <v>515</v>
      </c>
      <c r="B124" t="s">
        <v>163</v>
      </c>
      <c r="C124" t="s">
        <v>516</v>
      </c>
      <c r="D124" t="s">
        <v>517</v>
      </c>
      <c r="E124" t="s">
        <v>95</v>
      </c>
      <c r="F124" t="s">
        <v>26</v>
      </c>
      <c r="G124" t="s">
        <v>208</v>
      </c>
      <c r="H124">
        <v>3</v>
      </c>
      <c r="I124">
        <v>2231.7800000000002</v>
      </c>
      <c r="J124" t="s">
        <v>50</v>
      </c>
      <c r="K124" t="s">
        <v>51</v>
      </c>
      <c r="L124">
        <f t="shared" si="1"/>
        <v>6695.34</v>
      </c>
    </row>
    <row r="125" spans="1:12" x14ac:dyDescent="0.3">
      <c r="A125" t="s">
        <v>518</v>
      </c>
      <c r="B125" t="s">
        <v>519</v>
      </c>
      <c r="C125" t="s">
        <v>160</v>
      </c>
      <c r="D125" t="s">
        <v>520</v>
      </c>
      <c r="E125" t="s">
        <v>62</v>
      </c>
      <c r="F125" t="s">
        <v>77</v>
      </c>
      <c r="G125" t="s">
        <v>123</v>
      </c>
      <c r="H125">
        <v>6</v>
      </c>
      <c r="I125">
        <v>1721.01</v>
      </c>
      <c r="J125" t="s">
        <v>42</v>
      </c>
      <c r="K125" t="s">
        <v>51</v>
      </c>
      <c r="L125">
        <f t="shared" si="1"/>
        <v>10326.06</v>
      </c>
    </row>
    <row r="126" spans="1:12" x14ac:dyDescent="0.3">
      <c r="A126" t="s">
        <v>521</v>
      </c>
      <c r="B126" t="s">
        <v>522</v>
      </c>
      <c r="C126" t="s">
        <v>523</v>
      </c>
      <c r="D126" t="s">
        <v>524</v>
      </c>
      <c r="E126" t="s">
        <v>25</v>
      </c>
      <c r="F126" t="s">
        <v>77</v>
      </c>
      <c r="G126" t="s">
        <v>105</v>
      </c>
      <c r="H126">
        <v>10</v>
      </c>
      <c r="I126">
        <v>508.19</v>
      </c>
      <c r="J126" t="s">
        <v>19</v>
      </c>
      <c r="K126" t="s">
        <v>36</v>
      </c>
      <c r="L126">
        <f t="shared" si="1"/>
        <v>5081.8999999999996</v>
      </c>
    </row>
    <row r="127" spans="1:12" x14ac:dyDescent="0.3">
      <c r="A127" t="s">
        <v>525</v>
      </c>
      <c r="B127" t="s">
        <v>526</v>
      </c>
      <c r="C127" t="s">
        <v>527</v>
      </c>
      <c r="D127" t="s">
        <v>528</v>
      </c>
      <c r="E127" t="s">
        <v>34</v>
      </c>
      <c r="F127" t="s">
        <v>77</v>
      </c>
      <c r="G127" t="s">
        <v>265</v>
      </c>
      <c r="H127">
        <v>5</v>
      </c>
      <c r="I127">
        <v>2986.64</v>
      </c>
      <c r="J127" t="s">
        <v>50</v>
      </c>
      <c r="K127" t="s">
        <v>83</v>
      </c>
      <c r="L127">
        <f t="shared" si="1"/>
        <v>14933.199999999999</v>
      </c>
    </row>
    <row r="128" spans="1:12" x14ac:dyDescent="0.3">
      <c r="A128" t="s">
        <v>529</v>
      </c>
      <c r="B128" t="s">
        <v>530</v>
      </c>
      <c r="C128" t="s">
        <v>531</v>
      </c>
      <c r="D128" t="s">
        <v>532</v>
      </c>
      <c r="E128" t="s">
        <v>34</v>
      </c>
      <c r="F128" t="s">
        <v>48</v>
      </c>
      <c r="G128" t="s">
        <v>63</v>
      </c>
      <c r="H128">
        <v>3</v>
      </c>
      <c r="I128">
        <v>3749.29</v>
      </c>
      <c r="J128" t="s">
        <v>50</v>
      </c>
      <c r="K128" t="s">
        <v>43</v>
      </c>
      <c r="L128">
        <f t="shared" si="1"/>
        <v>11247.869999999999</v>
      </c>
    </row>
    <row r="129" spans="1:12" x14ac:dyDescent="0.3">
      <c r="A129" t="s">
        <v>533</v>
      </c>
      <c r="B129" t="s">
        <v>534</v>
      </c>
      <c r="C129" t="s">
        <v>535</v>
      </c>
      <c r="D129" t="s">
        <v>536</v>
      </c>
      <c r="E129" t="s">
        <v>95</v>
      </c>
      <c r="F129" t="s">
        <v>26</v>
      </c>
      <c r="G129" t="s">
        <v>296</v>
      </c>
      <c r="H129">
        <v>2</v>
      </c>
      <c r="I129">
        <v>1243.31</v>
      </c>
      <c r="J129" t="s">
        <v>42</v>
      </c>
      <c r="K129" t="s">
        <v>29</v>
      </c>
      <c r="L129">
        <f t="shared" si="1"/>
        <v>2486.62</v>
      </c>
    </row>
    <row r="130" spans="1:12" x14ac:dyDescent="0.3">
      <c r="A130" t="s">
        <v>537</v>
      </c>
      <c r="B130" t="s">
        <v>538</v>
      </c>
      <c r="C130" t="s">
        <v>539</v>
      </c>
      <c r="D130" t="s">
        <v>540</v>
      </c>
      <c r="E130" t="s">
        <v>104</v>
      </c>
      <c r="F130" t="s">
        <v>48</v>
      </c>
      <c r="G130" t="s">
        <v>110</v>
      </c>
      <c r="H130">
        <v>9</v>
      </c>
      <c r="I130">
        <v>3184.64</v>
      </c>
      <c r="J130" t="s">
        <v>19</v>
      </c>
      <c r="K130" t="s">
        <v>51</v>
      </c>
      <c r="L130">
        <f t="shared" si="1"/>
        <v>28661.759999999998</v>
      </c>
    </row>
    <row r="131" spans="1:12" x14ac:dyDescent="0.3">
      <c r="A131" t="s">
        <v>541</v>
      </c>
      <c r="B131" t="s">
        <v>542</v>
      </c>
      <c r="C131" t="s">
        <v>543</v>
      </c>
      <c r="D131" t="s">
        <v>544</v>
      </c>
      <c r="E131" t="s">
        <v>16</v>
      </c>
      <c r="F131" t="s">
        <v>48</v>
      </c>
      <c r="G131" t="s">
        <v>63</v>
      </c>
      <c r="H131">
        <v>9</v>
      </c>
      <c r="I131">
        <v>4383.04</v>
      </c>
      <c r="J131" t="s">
        <v>50</v>
      </c>
      <c r="K131" t="s">
        <v>29</v>
      </c>
      <c r="L131">
        <f t="shared" ref="L131:L194" si="2">H131*I131</f>
        <v>39447.360000000001</v>
      </c>
    </row>
    <row r="132" spans="1:12" x14ac:dyDescent="0.3">
      <c r="A132" t="s">
        <v>545</v>
      </c>
      <c r="B132" t="s">
        <v>546</v>
      </c>
      <c r="C132" t="s">
        <v>547</v>
      </c>
      <c r="D132" t="s">
        <v>548</v>
      </c>
      <c r="E132" t="s">
        <v>104</v>
      </c>
      <c r="F132" t="s">
        <v>17</v>
      </c>
      <c r="G132" t="s">
        <v>68</v>
      </c>
      <c r="H132">
        <v>9</v>
      </c>
      <c r="I132">
        <v>307.10000000000002</v>
      </c>
      <c r="J132" t="s">
        <v>50</v>
      </c>
      <c r="K132" t="s">
        <v>51</v>
      </c>
      <c r="L132">
        <f t="shared" si="2"/>
        <v>2763.9</v>
      </c>
    </row>
    <row r="133" spans="1:12" x14ac:dyDescent="0.3">
      <c r="A133" t="s">
        <v>549</v>
      </c>
      <c r="B133" t="s">
        <v>550</v>
      </c>
      <c r="C133" t="s">
        <v>551</v>
      </c>
      <c r="D133" t="s">
        <v>552</v>
      </c>
      <c r="E133" t="s">
        <v>56</v>
      </c>
      <c r="F133" t="s">
        <v>48</v>
      </c>
      <c r="G133" t="s">
        <v>63</v>
      </c>
      <c r="H133">
        <v>3</v>
      </c>
      <c r="I133">
        <v>2047.19</v>
      </c>
      <c r="J133" t="s">
        <v>42</v>
      </c>
      <c r="K133" t="s">
        <v>36</v>
      </c>
      <c r="L133">
        <f t="shared" si="2"/>
        <v>6141.57</v>
      </c>
    </row>
    <row r="134" spans="1:12" x14ac:dyDescent="0.3">
      <c r="A134" t="s">
        <v>553</v>
      </c>
      <c r="B134" t="s">
        <v>295</v>
      </c>
      <c r="C134" t="s">
        <v>554</v>
      </c>
      <c r="D134" t="s">
        <v>555</v>
      </c>
      <c r="E134" t="s">
        <v>62</v>
      </c>
      <c r="F134" t="s">
        <v>48</v>
      </c>
      <c r="G134" t="s">
        <v>179</v>
      </c>
      <c r="H134">
        <v>10</v>
      </c>
      <c r="I134">
        <v>478.46</v>
      </c>
      <c r="J134" t="s">
        <v>19</v>
      </c>
      <c r="K134" t="s">
        <v>29</v>
      </c>
      <c r="L134">
        <f t="shared" si="2"/>
        <v>4784.5999999999995</v>
      </c>
    </row>
    <row r="135" spans="1:12" x14ac:dyDescent="0.3">
      <c r="A135" t="s">
        <v>556</v>
      </c>
      <c r="B135" t="s">
        <v>557</v>
      </c>
      <c r="C135" t="s">
        <v>558</v>
      </c>
      <c r="D135" t="s">
        <v>559</v>
      </c>
      <c r="E135" t="s">
        <v>62</v>
      </c>
      <c r="F135" t="s">
        <v>77</v>
      </c>
      <c r="G135" t="s">
        <v>123</v>
      </c>
      <c r="H135">
        <v>5</v>
      </c>
      <c r="I135">
        <v>3951.7</v>
      </c>
      <c r="J135" t="s">
        <v>42</v>
      </c>
      <c r="K135" t="s">
        <v>83</v>
      </c>
      <c r="L135">
        <f t="shared" si="2"/>
        <v>19758.5</v>
      </c>
    </row>
    <row r="136" spans="1:12" x14ac:dyDescent="0.3">
      <c r="A136" t="s">
        <v>560</v>
      </c>
      <c r="B136" t="s">
        <v>561</v>
      </c>
      <c r="C136" t="s">
        <v>562</v>
      </c>
      <c r="D136" t="s">
        <v>536</v>
      </c>
      <c r="E136" t="s">
        <v>62</v>
      </c>
      <c r="F136" t="s">
        <v>77</v>
      </c>
      <c r="G136" t="s">
        <v>78</v>
      </c>
      <c r="H136">
        <v>4</v>
      </c>
      <c r="I136">
        <v>402.21</v>
      </c>
      <c r="J136" t="s">
        <v>42</v>
      </c>
      <c r="K136" t="s">
        <v>51</v>
      </c>
      <c r="L136">
        <f t="shared" si="2"/>
        <v>1608.84</v>
      </c>
    </row>
    <row r="137" spans="1:12" x14ac:dyDescent="0.3">
      <c r="A137" t="s">
        <v>563</v>
      </c>
      <c r="B137" t="s">
        <v>564</v>
      </c>
      <c r="C137" t="s">
        <v>565</v>
      </c>
      <c r="D137" t="s">
        <v>122</v>
      </c>
      <c r="E137" t="s">
        <v>56</v>
      </c>
      <c r="F137" t="s">
        <v>26</v>
      </c>
      <c r="G137" t="s">
        <v>208</v>
      </c>
      <c r="H137">
        <v>1</v>
      </c>
      <c r="I137">
        <v>2319.4499999999998</v>
      </c>
      <c r="J137" t="s">
        <v>42</v>
      </c>
      <c r="K137" t="s">
        <v>20</v>
      </c>
      <c r="L137">
        <f t="shared" si="2"/>
        <v>2319.4499999999998</v>
      </c>
    </row>
    <row r="138" spans="1:12" x14ac:dyDescent="0.3">
      <c r="A138" t="s">
        <v>566</v>
      </c>
      <c r="B138" t="s">
        <v>117</v>
      </c>
      <c r="C138" t="s">
        <v>394</v>
      </c>
      <c r="D138" t="s">
        <v>428</v>
      </c>
      <c r="E138" t="s">
        <v>104</v>
      </c>
      <c r="F138" t="s">
        <v>17</v>
      </c>
      <c r="G138" t="s">
        <v>188</v>
      </c>
      <c r="H138">
        <v>6</v>
      </c>
      <c r="I138">
        <v>428.8</v>
      </c>
      <c r="J138" t="s">
        <v>19</v>
      </c>
      <c r="K138" t="s">
        <v>20</v>
      </c>
      <c r="L138">
        <f t="shared" si="2"/>
        <v>2572.8000000000002</v>
      </c>
    </row>
    <row r="139" spans="1:12" x14ac:dyDescent="0.3">
      <c r="A139" t="s">
        <v>567</v>
      </c>
      <c r="B139" t="s">
        <v>568</v>
      </c>
      <c r="C139" t="s">
        <v>569</v>
      </c>
      <c r="D139" t="s">
        <v>207</v>
      </c>
      <c r="E139" t="s">
        <v>25</v>
      </c>
      <c r="F139" t="s">
        <v>77</v>
      </c>
      <c r="G139" t="s">
        <v>171</v>
      </c>
      <c r="H139">
        <v>9</v>
      </c>
      <c r="I139">
        <v>3240.88</v>
      </c>
      <c r="J139" t="s">
        <v>28</v>
      </c>
      <c r="K139" t="s">
        <v>43</v>
      </c>
      <c r="L139">
        <f t="shared" si="2"/>
        <v>29167.920000000002</v>
      </c>
    </row>
    <row r="140" spans="1:12" x14ac:dyDescent="0.3">
      <c r="A140" t="s">
        <v>570</v>
      </c>
      <c r="B140" t="s">
        <v>571</v>
      </c>
      <c r="C140" t="s">
        <v>572</v>
      </c>
      <c r="D140" t="s">
        <v>573</v>
      </c>
      <c r="E140" t="s">
        <v>95</v>
      </c>
      <c r="F140" t="s">
        <v>48</v>
      </c>
      <c r="G140" t="s">
        <v>63</v>
      </c>
      <c r="H140">
        <v>10</v>
      </c>
      <c r="I140">
        <v>3436.3</v>
      </c>
      <c r="J140" t="s">
        <v>50</v>
      </c>
      <c r="K140" t="s">
        <v>43</v>
      </c>
      <c r="L140">
        <f t="shared" si="2"/>
        <v>34363</v>
      </c>
    </row>
    <row r="141" spans="1:12" x14ac:dyDescent="0.3">
      <c r="A141" t="s">
        <v>574</v>
      </c>
      <c r="B141" t="s">
        <v>575</v>
      </c>
      <c r="C141" t="s">
        <v>576</v>
      </c>
      <c r="D141" t="s">
        <v>577</v>
      </c>
      <c r="E141" t="s">
        <v>62</v>
      </c>
      <c r="F141" t="s">
        <v>48</v>
      </c>
      <c r="G141" t="s">
        <v>179</v>
      </c>
      <c r="H141">
        <v>8</v>
      </c>
      <c r="I141">
        <v>4438.9399999999996</v>
      </c>
      <c r="J141" t="s">
        <v>50</v>
      </c>
      <c r="K141" t="s">
        <v>43</v>
      </c>
      <c r="L141">
        <f t="shared" si="2"/>
        <v>35511.519999999997</v>
      </c>
    </row>
    <row r="142" spans="1:12" x14ac:dyDescent="0.3">
      <c r="A142" t="s">
        <v>578</v>
      </c>
      <c r="B142" t="s">
        <v>579</v>
      </c>
      <c r="C142" t="s">
        <v>580</v>
      </c>
      <c r="D142" t="s">
        <v>199</v>
      </c>
      <c r="E142" t="s">
        <v>34</v>
      </c>
      <c r="F142" t="s">
        <v>77</v>
      </c>
      <c r="G142" t="s">
        <v>78</v>
      </c>
      <c r="H142">
        <v>7</v>
      </c>
      <c r="I142">
        <v>3787.42</v>
      </c>
      <c r="J142" t="s">
        <v>42</v>
      </c>
      <c r="K142" t="s">
        <v>29</v>
      </c>
      <c r="L142">
        <f t="shared" si="2"/>
        <v>26511.940000000002</v>
      </c>
    </row>
    <row r="143" spans="1:12" x14ac:dyDescent="0.3">
      <c r="A143" t="s">
        <v>581</v>
      </c>
      <c r="B143" t="s">
        <v>582</v>
      </c>
      <c r="C143" t="s">
        <v>583</v>
      </c>
      <c r="D143" t="s">
        <v>584</v>
      </c>
      <c r="E143" t="s">
        <v>128</v>
      </c>
      <c r="F143" t="s">
        <v>48</v>
      </c>
      <c r="G143" t="s">
        <v>49</v>
      </c>
      <c r="H143">
        <v>9</v>
      </c>
      <c r="I143">
        <v>723.86</v>
      </c>
      <c r="J143" t="s">
        <v>50</v>
      </c>
      <c r="K143" t="s">
        <v>83</v>
      </c>
      <c r="L143">
        <f t="shared" si="2"/>
        <v>6514.74</v>
      </c>
    </row>
    <row r="144" spans="1:12" x14ac:dyDescent="0.3">
      <c r="A144" t="s">
        <v>585</v>
      </c>
      <c r="B144" t="s">
        <v>586</v>
      </c>
      <c r="C144" t="s">
        <v>378</v>
      </c>
      <c r="D144" t="s">
        <v>587</v>
      </c>
      <c r="E144" t="s">
        <v>104</v>
      </c>
      <c r="F144" t="s">
        <v>26</v>
      </c>
      <c r="G144" t="s">
        <v>296</v>
      </c>
      <c r="H144">
        <v>2</v>
      </c>
      <c r="I144">
        <v>4537.49</v>
      </c>
      <c r="J144" t="s">
        <v>19</v>
      </c>
      <c r="K144" t="s">
        <v>36</v>
      </c>
      <c r="L144">
        <f t="shared" si="2"/>
        <v>9074.98</v>
      </c>
    </row>
    <row r="145" spans="1:12" x14ac:dyDescent="0.3">
      <c r="A145" t="s">
        <v>588</v>
      </c>
      <c r="B145" t="s">
        <v>589</v>
      </c>
      <c r="C145" t="s">
        <v>590</v>
      </c>
      <c r="D145" t="s">
        <v>591</v>
      </c>
      <c r="E145" t="s">
        <v>34</v>
      </c>
      <c r="F145" t="s">
        <v>26</v>
      </c>
      <c r="G145" t="s">
        <v>296</v>
      </c>
      <c r="H145">
        <v>10</v>
      </c>
      <c r="I145">
        <v>4220.78</v>
      </c>
      <c r="J145" t="s">
        <v>50</v>
      </c>
      <c r="K145" t="s">
        <v>51</v>
      </c>
      <c r="L145">
        <f t="shared" si="2"/>
        <v>42207.799999999996</v>
      </c>
    </row>
    <row r="146" spans="1:12" x14ac:dyDescent="0.3">
      <c r="A146" t="s">
        <v>592</v>
      </c>
      <c r="B146" t="s">
        <v>593</v>
      </c>
      <c r="C146" t="s">
        <v>594</v>
      </c>
      <c r="D146" t="s">
        <v>595</v>
      </c>
      <c r="E146" t="s">
        <v>128</v>
      </c>
      <c r="F146" t="s">
        <v>48</v>
      </c>
      <c r="G146" t="s">
        <v>179</v>
      </c>
      <c r="H146">
        <v>6</v>
      </c>
      <c r="I146">
        <v>693.85</v>
      </c>
      <c r="J146" t="s">
        <v>28</v>
      </c>
      <c r="K146" t="s">
        <v>83</v>
      </c>
      <c r="L146">
        <f t="shared" si="2"/>
        <v>4163.1000000000004</v>
      </c>
    </row>
    <row r="147" spans="1:12" x14ac:dyDescent="0.3">
      <c r="A147" t="s">
        <v>596</v>
      </c>
      <c r="B147" t="s">
        <v>597</v>
      </c>
      <c r="C147" t="s">
        <v>598</v>
      </c>
      <c r="D147" t="s">
        <v>599</v>
      </c>
      <c r="E147" t="s">
        <v>25</v>
      </c>
      <c r="F147" t="s">
        <v>17</v>
      </c>
      <c r="G147" t="s">
        <v>35</v>
      </c>
      <c r="H147">
        <v>5</v>
      </c>
      <c r="I147">
        <v>4095.58</v>
      </c>
      <c r="J147" t="s">
        <v>50</v>
      </c>
      <c r="K147" t="s">
        <v>83</v>
      </c>
      <c r="L147">
        <f t="shared" si="2"/>
        <v>20477.900000000001</v>
      </c>
    </row>
    <row r="148" spans="1:12" x14ac:dyDescent="0.3">
      <c r="A148" t="s">
        <v>600</v>
      </c>
      <c r="B148" t="s">
        <v>601</v>
      </c>
      <c r="C148" t="s">
        <v>602</v>
      </c>
      <c r="D148" t="s">
        <v>603</v>
      </c>
      <c r="E148" t="s">
        <v>34</v>
      </c>
      <c r="F148" t="s">
        <v>17</v>
      </c>
      <c r="G148" t="s">
        <v>35</v>
      </c>
      <c r="H148">
        <v>9</v>
      </c>
      <c r="I148">
        <v>1396.59</v>
      </c>
      <c r="J148" t="s">
        <v>28</v>
      </c>
      <c r="K148" t="s">
        <v>43</v>
      </c>
      <c r="L148">
        <f t="shared" si="2"/>
        <v>12569.31</v>
      </c>
    </row>
    <row r="149" spans="1:12" x14ac:dyDescent="0.3">
      <c r="A149" t="s">
        <v>604</v>
      </c>
      <c r="B149" t="s">
        <v>605</v>
      </c>
      <c r="C149" t="s">
        <v>606</v>
      </c>
      <c r="D149" t="s">
        <v>607</v>
      </c>
      <c r="E149" t="s">
        <v>95</v>
      </c>
      <c r="F149" t="s">
        <v>26</v>
      </c>
      <c r="G149" t="s">
        <v>208</v>
      </c>
      <c r="H149">
        <v>2</v>
      </c>
      <c r="I149">
        <v>3380.7</v>
      </c>
      <c r="J149" t="s">
        <v>19</v>
      </c>
      <c r="K149" t="s">
        <v>83</v>
      </c>
      <c r="L149">
        <f t="shared" si="2"/>
        <v>6761.4</v>
      </c>
    </row>
    <row r="150" spans="1:12" x14ac:dyDescent="0.3">
      <c r="A150" t="s">
        <v>608</v>
      </c>
      <c r="B150" t="s">
        <v>609</v>
      </c>
      <c r="C150" t="s">
        <v>610</v>
      </c>
      <c r="D150" t="s">
        <v>611</v>
      </c>
      <c r="E150" t="s">
        <v>16</v>
      </c>
      <c r="F150" t="s">
        <v>26</v>
      </c>
      <c r="G150" t="s">
        <v>166</v>
      </c>
      <c r="H150">
        <v>2</v>
      </c>
      <c r="I150">
        <v>500.58</v>
      </c>
      <c r="J150" t="s">
        <v>19</v>
      </c>
      <c r="K150" t="s">
        <v>51</v>
      </c>
      <c r="L150">
        <f t="shared" si="2"/>
        <v>1001.16</v>
      </c>
    </row>
    <row r="151" spans="1:12" x14ac:dyDescent="0.3">
      <c r="A151" t="s">
        <v>612</v>
      </c>
      <c r="B151" t="s">
        <v>613</v>
      </c>
      <c r="C151" t="s">
        <v>614</v>
      </c>
      <c r="D151" t="s">
        <v>94</v>
      </c>
      <c r="E151" t="s">
        <v>128</v>
      </c>
      <c r="F151" t="s">
        <v>77</v>
      </c>
      <c r="G151" t="s">
        <v>171</v>
      </c>
      <c r="H151">
        <v>9</v>
      </c>
      <c r="I151">
        <v>1824.33</v>
      </c>
      <c r="J151" t="s">
        <v>19</v>
      </c>
      <c r="K151" t="s">
        <v>20</v>
      </c>
      <c r="L151">
        <f t="shared" si="2"/>
        <v>16418.97</v>
      </c>
    </row>
    <row r="152" spans="1:12" x14ac:dyDescent="0.3">
      <c r="A152" t="s">
        <v>615</v>
      </c>
      <c r="B152" t="s">
        <v>616</v>
      </c>
      <c r="C152" t="s">
        <v>617</v>
      </c>
      <c r="D152" t="s">
        <v>618</v>
      </c>
      <c r="E152" t="s">
        <v>95</v>
      </c>
      <c r="F152" t="s">
        <v>26</v>
      </c>
      <c r="G152" t="s">
        <v>166</v>
      </c>
      <c r="H152">
        <v>9</v>
      </c>
      <c r="I152">
        <v>2865.09</v>
      </c>
      <c r="J152" t="s">
        <v>50</v>
      </c>
      <c r="K152" t="s">
        <v>83</v>
      </c>
      <c r="L152">
        <f t="shared" si="2"/>
        <v>25785.81</v>
      </c>
    </row>
    <row r="153" spans="1:12" x14ac:dyDescent="0.3">
      <c r="A153" t="s">
        <v>619</v>
      </c>
      <c r="B153" t="s">
        <v>393</v>
      </c>
      <c r="C153" t="s">
        <v>620</v>
      </c>
      <c r="D153" t="s">
        <v>621</v>
      </c>
      <c r="E153" t="s">
        <v>104</v>
      </c>
      <c r="F153" t="s">
        <v>77</v>
      </c>
      <c r="G153" t="s">
        <v>78</v>
      </c>
      <c r="H153">
        <v>6</v>
      </c>
      <c r="I153">
        <v>1750.68</v>
      </c>
      <c r="J153" t="s">
        <v>19</v>
      </c>
      <c r="K153" t="s">
        <v>51</v>
      </c>
      <c r="L153">
        <f t="shared" si="2"/>
        <v>10504.08</v>
      </c>
    </row>
    <row r="154" spans="1:12" x14ac:dyDescent="0.3">
      <c r="A154" t="s">
        <v>622</v>
      </c>
      <c r="B154" t="s">
        <v>623</v>
      </c>
      <c r="C154" t="s">
        <v>624</v>
      </c>
      <c r="D154" t="s">
        <v>67</v>
      </c>
      <c r="E154" t="s">
        <v>128</v>
      </c>
      <c r="F154" t="s">
        <v>26</v>
      </c>
      <c r="G154" t="s">
        <v>166</v>
      </c>
      <c r="H154">
        <v>7</v>
      </c>
      <c r="I154">
        <v>3257.17</v>
      </c>
      <c r="J154" t="s">
        <v>19</v>
      </c>
      <c r="K154" t="s">
        <v>20</v>
      </c>
      <c r="L154">
        <f t="shared" si="2"/>
        <v>22800.190000000002</v>
      </c>
    </row>
    <row r="155" spans="1:12" x14ac:dyDescent="0.3">
      <c r="A155" t="s">
        <v>625</v>
      </c>
      <c r="B155" t="s">
        <v>626</v>
      </c>
      <c r="C155" t="s">
        <v>627</v>
      </c>
      <c r="D155" t="s">
        <v>628</v>
      </c>
      <c r="E155" t="s">
        <v>34</v>
      </c>
      <c r="F155" t="s">
        <v>17</v>
      </c>
      <c r="G155" t="s">
        <v>18</v>
      </c>
      <c r="H155">
        <v>1</v>
      </c>
      <c r="I155">
        <v>1773.23</v>
      </c>
      <c r="J155" t="s">
        <v>42</v>
      </c>
      <c r="K155" t="s">
        <v>51</v>
      </c>
      <c r="L155">
        <f t="shared" si="2"/>
        <v>1773.23</v>
      </c>
    </row>
    <row r="156" spans="1:12" x14ac:dyDescent="0.3">
      <c r="A156" t="s">
        <v>629</v>
      </c>
      <c r="B156" t="s">
        <v>630</v>
      </c>
      <c r="C156" t="s">
        <v>631</v>
      </c>
      <c r="D156" t="s">
        <v>632</v>
      </c>
      <c r="E156" t="s">
        <v>56</v>
      </c>
      <c r="F156" t="s">
        <v>26</v>
      </c>
      <c r="G156" t="s">
        <v>296</v>
      </c>
      <c r="H156">
        <v>8</v>
      </c>
      <c r="I156">
        <v>1298.78</v>
      </c>
      <c r="J156" t="s">
        <v>42</v>
      </c>
      <c r="K156" t="s">
        <v>20</v>
      </c>
      <c r="L156">
        <f t="shared" si="2"/>
        <v>10390.24</v>
      </c>
    </row>
    <row r="157" spans="1:12" x14ac:dyDescent="0.3">
      <c r="A157" t="s">
        <v>633</v>
      </c>
      <c r="B157" t="s">
        <v>634</v>
      </c>
      <c r="C157" t="s">
        <v>635</v>
      </c>
      <c r="D157" t="s">
        <v>451</v>
      </c>
      <c r="E157" t="s">
        <v>104</v>
      </c>
      <c r="F157" t="s">
        <v>48</v>
      </c>
      <c r="G157" t="s">
        <v>110</v>
      </c>
      <c r="H157">
        <v>7</v>
      </c>
      <c r="I157">
        <v>777.39</v>
      </c>
      <c r="J157" t="s">
        <v>50</v>
      </c>
      <c r="K157" t="s">
        <v>29</v>
      </c>
      <c r="L157">
        <f t="shared" si="2"/>
        <v>5441.73</v>
      </c>
    </row>
    <row r="158" spans="1:12" x14ac:dyDescent="0.3">
      <c r="A158" t="s">
        <v>636</v>
      </c>
      <c r="B158" t="s">
        <v>262</v>
      </c>
      <c r="C158" t="s">
        <v>637</v>
      </c>
      <c r="D158" t="s">
        <v>277</v>
      </c>
      <c r="E158" t="s">
        <v>34</v>
      </c>
      <c r="F158" t="s">
        <v>26</v>
      </c>
      <c r="G158" t="s">
        <v>208</v>
      </c>
      <c r="H158">
        <v>9</v>
      </c>
      <c r="I158">
        <v>3364.22</v>
      </c>
      <c r="J158" t="s">
        <v>42</v>
      </c>
      <c r="K158" t="s">
        <v>83</v>
      </c>
      <c r="L158">
        <f t="shared" si="2"/>
        <v>30277.98</v>
      </c>
    </row>
    <row r="159" spans="1:12" x14ac:dyDescent="0.3">
      <c r="A159" t="s">
        <v>638</v>
      </c>
      <c r="B159" t="s">
        <v>639</v>
      </c>
      <c r="C159" t="s">
        <v>640</v>
      </c>
      <c r="D159" t="s">
        <v>228</v>
      </c>
      <c r="E159" t="s">
        <v>95</v>
      </c>
      <c r="F159" t="s">
        <v>26</v>
      </c>
      <c r="G159" t="s">
        <v>208</v>
      </c>
      <c r="H159">
        <v>2</v>
      </c>
      <c r="I159">
        <v>2611.36</v>
      </c>
      <c r="J159" t="s">
        <v>42</v>
      </c>
      <c r="K159" t="s">
        <v>51</v>
      </c>
      <c r="L159">
        <f t="shared" si="2"/>
        <v>5222.72</v>
      </c>
    </row>
    <row r="160" spans="1:12" x14ac:dyDescent="0.3">
      <c r="A160" t="s">
        <v>641</v>
      </c>
      <c r="B160" t="s">
        <v>642</v>
      </c>
      <c r="C160" t="s">
        <v>643</v>
      </c>
      <c r="D160" t="s">
        <v>644</v>
      </c>
      <c r="E160" t="s">
        <v>56</v>
      </c>
      <c r="F160" t="s">
        <v>48</v>
      </c>
      <c r="G160" t="s">
        <v>63</v>
      </c>
      <c r="H160">
        <v>5</v>
      </c>
      <c r="I160">
        <v>406.26</v>
      </c>
      <c r="J160" t="s">
        <v>42</v>
      </c>
      <c r="K160" t="s">
        <v>83</v>
      </c>
      <c r="L160">
        <f t="shared" si="2"/>
        <v>2031.3</v>
      </c>
    </row>
    <row r="161" spans="1:12" x14ac:dyDescent="0.3">
      <c r="A161" t="s">
        <v>645</v>
      </c>
      <c r="B161" t="s">
        <v>646</v>
      </c>
      <c r="C161" t="s">
        <v>647</v>
      </c>
      <c r="D161" t="s">
        <v>648</v>
      </c>
      <c r="E161" t="s">
        <v>56</v>
      </c>
      <c r="F161" t="s">
        <v>77</v>
      </c>
      <c r="G161" t="s">
        <v>123</v>
      </c>
      <c r="H161">
        <v>5</v>
      </c>
      <c r="I161">
        <v>3816.59</v>
      </c>
      <c r="J161" t="s">
        <v>19</v>
      </c>
      <c r="K161" t="s">
        <v>36</v>
      </c>
      <c r="L161">
        <f t="shared" si="2"/>
        <v>19082.95</v>
      </c>
    </row>
    <row r="162" spans="1:12" x14ac:dyDescent="0.3">
      <c r="A162" t="s">
        <v>649</v>
      </c>
      <c r="B162" t="s">
        <v>650</v>
      </c>
      <c r="C162" t="s">
        <v>651</v>
      </c>
      <c r="D162" t="s">
        <v>652</v>
      </c>
      <c r="E162" t="s">
        <v>34</v>
      </c>
      <c r="F162" t="s">
        <v>17</v>
      </c>
      <c r="G162" t="s">
        <v>68</v>
      </c>
      <c r="H162">
        <v>3</v>
      </c>
      <c r="I162">
        <v>2326.98</v>
      </c>
      <c r="J162" t="s">
        <v>28</v>
      </c>
      <c r="K162" t="s">
        <v>20</v>
      </c>
      <c r="L162">
        <f t="shared" si="2"/>
        <v>6980.9400000000005</v>
      </c>
    </row>
    <row r="163" spans="1:12" x14ac:dyDescent="0.3">
      <c r="A163" t="s">
        <v>653</v>
      </c>
      <c r="B163" t="s">
        <v>654</v>
      </c>
      <c r="C163" t="s">
        <v>655</v>
      </c>
      <c r="D163" t="s">
        <v>656</v>
      </c>
      <c r="E163" t="s">
        <v>16</v>
      </c>
      <c r="F163" t="s">
        <v>17</v>
      </c>
      <c r="G163" t="s">
        <v>188</v>
      </c>
      <c r="H163">
        <v>1</v>
      </c>
      <c r="I163">
        <v>810.39</v>
      </c>
      <c r="J163" t="s">
        <v>28</v>
      </c>
      <c r="K163" t="s">
        <v>83</v>
      </c>
      <c r="L163">
        <f t="shared" si="2"/>
        <v>810.39</v>
      </c>
    </row>
    <row r="164" spans="1:12" x14ac:dyDescent="0.3">
      <c r="A164" t="s">
        <v>657</v>
      </c>
      <c r="B164" t="s">
        <v>159</v>
      </c>
      <c r="C164" t="s">
        <v>516</v>
      </c>
      <c r="D164" t="s">
        <v>658</v>
      </c>
      <c r="E164" t="s">
        <v>128</v>
      </c>
      <c r="F164" t="s">
        <v>48</v>
      </c>
      <c r="G164" t="s">
        <v>57</v>
      </c>
      <c r="H164">
        <v>5</v>
      </c>
      <c r="I164">
        <v>1069.97</v>
      </c>
      <c r="J164" t="s">
        <v>28</v>
      </c>
      <c r="K164" t="s">
        <v>36</v>
      </c>
      <c r="L164">
        <f t="shared" si="2"/>
        <v>5349.85</v>
      </c>
    </row>
    <row r="165" spans="1:12" x14ac:dyDescent="0.3">
      <c r="A165" t="s">
        <v>659</v>
      </c>
      <c r="B165" t="s">
        <v>660</v>
      </c>
      <c r="C165" t="s">
        <v>661</v>
      </c>
      <c r="D165" t="s">
        <v>662</v>
      </c>
      <c r="E165" t="s">
        <v>16</v>
      </c>
      <c r="F165" t="s">
        <v>48</v>
      </c>
      <c r="G165" t="s">
        <v>49</v>
      </c>
      <c r="H165">
        <v>2</v>
      </c>
      <c r="I165">
        <v>587.51</v>
      </c>
      <c r="J165" t="s">
        <v>50</v>
      </c>
      <c r="K165" t="s">
        <v>20</v>
      </c>
      <c r="L165">
        <f t="shared" si="2"/>
        <v>1175.02</v>
      </c>
    </row>
    <row r="166" spans="1:12" x14ac:dyDescent="0.3">
      <c r="A166" t="s">
        <v>663</v>
      </c>
      <c r="B166" t="s">
        <v>664</v>
      </c>
      <c r="C166" t="s">
        <v>665</v>
      </c>
      <c r="D166" t="s">
        <v>666</v>
      </c>
      <c r="E166" t="s">
        <v>56</v>
      </c>
      <c r="F166" t="s">
        <v>77</v>
      </c>
      <c r="G166" t="s">
        <v>105</v>
      </c>
      <c r="H166">
        <v>10</v>
      </c>
      <c r="I166">
        <v>1225.3800000000001</v>
      </c>
      <c r="J166" t="s">
        <v>28</v>
      </c>
      <c r="K166" t="s">
        <v>36</v>
      </c>
      <c r="L166">
        <f t="shared" si="2"/>
        <v>12253.800000000001</v>
      </c>
    </row>
    <row r="167" spans="1:12" x14ac:dyDescent="0.3">
      <c r="A167" t="s">
        <v>667</v>
      </c>
      <c r="B167" t="s">
        <v>668</v>
      </c>
      <c r="C167" t="s">
        <v>669</v>
      </c>
      <c r="D167" t="s">
        <v>670</v>
      </c>
      <c r="E167" t="s">
        <v>16</v>
      </c>
      <c r="F167" t="s">
        <v>48</v>
      </c>
      <c r="G167" t="s">
        <v>49</v>
      </c>
      <c r="H167">
        <v>2</v>
      </c>
      <c r="I167">
        <v>3895.84</v>
      </c>
      <c r="J167" t="s">
        <v>50</v>
      </c>
      <c r="K167" t="s">
        <v>43</v>
      </c>
      <c r="L167">
        <f t="shared" si="2"/>
        <v>7791.68</v>
      </c>
    </row>
    <row r="168" spans="1:12" x14ac:dyDescent="0.3">
      <c r="A168" t="s">
        <v>671</v>
      </c>
      <c r="B168" t="s">
        <v>672</v>
      </c>
      <c r="C168" t="s">
        <v>673</v>
      </c>
      <c r="D168" t="s">
        <v>674</v>
      </c>
      <c r="E168" t="s">
        <v>95</v>
      </c>
      <c r="F168" t="s">
        <v>26</v>
      </c>
      <c r="G168" t="s">
        <v>296</v>
      </c>
      <c r="H168">
        <v>4</v>
      </c>
      <c r="I168">
        <v>4868.7700000000004</v>
      </c>
      <c r="J168" t="s">
        <v>28</v>
      </c>
      <c r="K168" t="s">
        <v>51</v>
      </c>
      <c r="L168">
        <f t="shared" si="2"/>
        <v>19475.080000000002</v>
      </c>
    </row>
    <row r="169" spans="1:12" x14ac:dyDescent="0.3">
      <c r="A169" t="s">
        <v>675</v>
      </c>
      <c r="B169" t="s">
        <v>676</v>
      </c>
      <c r="C169" t="s">
        <v>677</v>
      </c>
      <c r="D169" t="s">
        <v>678</v>
      </c>
      <c r="E169" t="s">
        <v>62</v>
      </c>
      <c r="F169" t="s">
        <v>26</v>
      </c>
      <c r="G169" t="s">
        <v>208</v>
      </c>
      <c r="H169">
        <v>5</v>
      </c>
      <c r="I169">
        <v>2547.15</v>
      </c>
      <c r="J169" t="s">
        <v>50</v>
      </c>
      <c r="K169" t="s">
        <v>29</v>
      </c>
      <c r="L169">
        <f t="shared" si="2"/>
        <v>12735.75</v>
      </c>
    </row>
    <row r="170" spans="1:12" x14ac:dyDescent="0.3">
      <c r="A170" t="s">
        <v>679</v>
      </c>
      <c r="B170" t="s">
        <v>112</v>
      </c>
      <c r="C170" t="s">
        <v>680</v>
      </c>
      <c r="D170" t="s">
        <v>681</v>
      </c>
      <c r="E170" t="s">
        <v>104</v>
      </c>
      <c r="F170" t="s">
        <v>48</v>
      </c>
      <c r="G170" t="s">
        <v>110</v>
      </c>
      <c r="H170">
        <v>4</v>
      </c>
      <c r="I170">
        <v>2093.79</v>
      </c>
      <c r="J170" t="s">
        <v>50</v>
      </c>
      <c r="K170" t="s">
        <v>36</v>
      </c>
      <c r="L170">
        <f t="shared" si="2"/>
        <v>8375.16</v>
      </c>
    </row>
    <row r="171" spans="1:12" x14ac:dyDescent="0.3">
      <c r="A171" t="s">
        <v>682</v>
      </c>
      <c r="B171" t="s">
        <v>683</v>
      </c>
      <c r="C171" t="s">
        <v>684</v>
      </c>
      <c r="D171" t="s">
        <v>685</v>
      </c>
      <c r="E171" t="s">
        <v>104</v>
      </c>
      <c r="F171" t="s">
        <v>17</v>
      </c>
      <c r="G171" t="s">
        <v>68</v>
      </c>
      <c r="H171">
        <v>1</v>
      </c>
      <c r="I171">
        <v>3919.71</v>
      </c>
      <c r="J171" t="s">
        <v>42</v>
      </c>
      <c r="K171" t="s">
        <v>43</v>
      </c>
      <c r="L171">
        <f t="shared" si="2"/>
        <v>3919.71</v>
      </c>
    </row>
    <row r="172" spans="1:12" x14ac:dyDescent="0.3">
      <c r="A172" t="s">
        <v>686</v>
      </c>
      <c r="B172" t="s">
        <v>687</v>
      </c>
      <c r="C172" t="s">
        <v>688</v>
      </c>
      <c r="D172" t="s">
        <v>488</v>
      </c>
      <c r="E172" t="s">
        <v>34</v>
      </c>
      <c r="F172" t="s">
        <v>17</v>
      </c>
      <c r="G172" t="s">
        <v>18</v>
      </c>
      <c r="H172">
        <v>4</v>
      </c>
      <c r="I172">
        <v>430.53</v>
      </c>
      <c r="J172" t="s">
        <v>42</v>
      </c>
      <c r="K172" t="s">
        <v>29</v>
      </c>
      <c r="L172">
        <f t="shared" si="2"/>
        <v>1722.12</v>
      </c>
    </row>
    <row r="173" spans="1:12" x14ac:dyDescent="0.3">
      <c r="A173" t="s">
        <v>689</v>
      </c>
      <c r="B173" t="s">
        <v>419</v>
      </c>
      <c r="C173" t="s">
        <v>690</v>
      </c>
      <c r="D173" t="s">
        <v>691</v>
      </c>
      <c r="E173" t="s">
        <v>104</v>
      </c>
      <c r="F173" t="s">
        <v>48</v>
      </c>
      <c r="G173" t="s">
        <v>179</v>
      </c>
      <c r="H173">
        <v>9</v>
      </c>
      <c r="I173">
        <v>1355.63</v>
      </c>
      <c r="J173" t="s">
        <v>50</v>
      </c>
      <c r="K173" t="s">
        <v>83</v>
      </c>
      <c r="L173">
        <f t="shared" si="2"/>
        <v>12200.670000000002</v>
      </c>
    </row>
    <row r="174" spans="1:12" x14ac:dyDescent="0.3">
      <c r="A174" t="s">
        <v>692</v>
      </c>
      <c r="B174" t="s">
        <v>542</v>
      </c>
      <c r="C174" t="s">
        <v>693</v>
      </c>
      <c r="D174" t="s">
        <v>694</v>
      </c>
      <c r="E174" t="s">
        <v>62</v>
      </c>
      <c r="F174" t="s">
        <v>26</v>
      </c>
      <c r="G174" t="s">
        <v>166</v>
      </c>
      <c r="H174">
        <v>6</v>
      </c>
      <c r="I174">
        <v>1489.81</v>
      </c>
      <c r="J174" t="s">
        <v>28</v>
      </c>
      <c r="K174" t="s">
        <v>51</v>
      </c>
      <c r="L174">
        <f t="shared" si="2"/>
        <v>8938.86</v>
      </c>
    </row>
    <row r="175" spans="1:12" x14ac:dyDescent="0.3">
      <c r="A175" t="s">
        <v>695</v>
      </c>
      <c r="B175" t="s">
        <v>613</v>
      </c>
      <c r="C175" t="s">
        <v>696</v>
      </c>
      <c r="D175" t="s">
        <v>697</v>
      </c>
      <c r="E175" t="s">
        <v>95</v>
      </c>
      <c r="F175" t="s">
        <v>26</v>
      </c>
      <c r="G175" t="s">
        <v>115</v>
      </c>
      <c r="H175">
        <v>8</v>
      </c>
      <c r="I175">
        <v>3274.41</v>
      </c>
      <c r="J175" t="s">
        <v>42</v>
      </c>
      <c r="K175" t="s">
        <v>83</v>
      </c>
      <c r="L175">
        <f t="shared" si="2"/>
        <v>26195.279999999999</v>
      </c>
    </row>
    <row r="176" spans="1:12" x14ac:dyDescent="0.3">
      <c r="A176" t="s">
        <v>698</v>
      </c>
      <c r="B176" t="s">
        <v>699</v>
      </c>
      <c r="C176" t="s">
        <v>700</v>
      </c>
      <c r="D176" t="s">
        <v>701</v>
      </c>
      <c r="E176" t="s">
        <v>128</v>
      </c>
      <c r="F176" t="s">
        <v>48</v>
      </c>
      <c r="G176" t="s">
        <v>57</v>
      </c>
      <c r="H176">
        <v>2</v>
      </c>
      <c r="I176">
        <v>2581.62</v>
      </c>
      <c r="J176" t="s">
        <v>19</v>
      </c>
      <c r="K176" t="s">
        <v>51</v>
      </c>
      <c r="L176">
        <f t="shared" si="2"/>
        <v>5163.24</v>
      </c>
    </row>
    <row r="177" spans="1:12" x14ac:dyDescent="0.3">
      <c r="A177" t="s">
        <v>702</v>
      </c>
      <c r="B177" t="s">
        <v>703</v>
      </c>
      <c r="C177" t="s">
        <v>704</v>
      </c>
      <c r="D177" t="s">
        <v>87</v>
      </c>
      <c r="E177" t="s">
        <v>25</v>
      </c>
      <c r="F177" t="s">
        <v>77</v>
      </c>
      <c r="G177" t="s">
        <v>123</v>
      </c>
      <c r="H177">
        <v>2</v>
      </c>
      <c r="I177">
        <v>2852.48</v>
      </c>
      <c r="J177" t="s">
        <v>50</v>
      </c>
      <c r="K177" t="s">
        <v>83</v>
      </c>
      <c r="L177">
        <f t="shared" si="2"/>
        <v>5704.96</v>
      </c>
    </row>
    <row r="178" spans="1:12" x14ac:dyDescent="0.3">
      <c r="A178" t="s">
        <v>705</v>
      </c>
      <c r="B178" t="s">
        <v>706</v>
      </c>
      <c r="C178" t="s">
        <v>142</v>
      </c>
      <c r="D178" t="s">
        <v>707</v>
      </c>
      <c r="E178" t="s">
        <v>16</v>
      </c>
      <c r="F178" t="s">
        <v>77</v>
      </c>
      <c r="G178" t="s">
        <v>78</v>
      </c>
      <c r="H178">
        <v>3</v>
      </c>
      <c r="I178">
        <v>3401.76</v>
      </c>
      <c r="J178" t="s">
        <v>28</v>
      </c>
      <c r="K178" t="s">
        <v>29</v>
      </c>
      <c r="L178">
        <f t="shared" si="2"/>
        <v>10205.280000000001</v>
      </c>
    </row>
    <row r="179" spans="1:12" x14ac:dyDescent="0.3">
      <c r="A179" t="s">
        <v>708</v>
      </c>
      <c r="B179" t="s">
        <v>709</v>
      </c>
      <c r="C179" t="s">
        <v>710</v>
      </c>
      <c r="D179" t="s">
        <v>711</v>
      </c>
      <c r="E179" t="s">
        <v>128</v>
      </c>
      <c r="F179" t="s">
        <v>26</v>
      </c>
      <c r="G179" t="s">
        <v>27</v>
      </c>
      <c r="H179">
        <v>6</v>
      </c>
      <c r="I179">
        <v>1812.8</v>
      </c>
      <c r="J179" t="s">
        <v>19</v>
      </c>
      <c r="K179" t="s">
        <v>36</v>
      </c>
      <c r="L179">
        <f t="shared" si="2"/>
        <v>10876.8</v>
      </c>
    </row>
    <row r="180" spans="1:12" x14ac:dyDescent="0.3">
      <c r="A180" t="s">
        <v>712</v>
      </c>
      <c r="B180" t="s">
        <v>467</v>
      </c>
      <c r="C180" t="s">
        <v>713</v>
      </c>
      <c r="D180" t="s">
        <v>714</v>
      </c>
      <c r="E180" t="s">
        <v>34</v>
      </c>
      <c r="F180" t="s">
        <v>48</v>
      </c>
      <c r="G180" t="s">
        <v>179</v>
      </c>
      <c r="H180">
        <v>8</v>
      </c>
      <c r="I180">
        <v>3966.01</v>
      </c>
      <c r="J180" t="s">
        <v>28</v>
      </c>
      <c r="K180" t="s">
        <v>20</v>
      </c>
      <c r="L180">
        <f t="shared" si="2"/>
        <v>31728.080000000002</v>
      </c>
    </row>
    <row r="181" spans="1:12" x14ac:dyDescent="0.3">
      <c r="A181" t="s">
        <v>715</v>
      </c>
      <c r="B181" t="s">
        <v>716</v>
      </c>
      <c r="C181" t="s">
        <v>717</v>
      </c>
      <c r="D181" t="s">
        <v>718</v>
      </c>
      <c r="E181" t="s">
        <v>104</v>
      </c>
      <c r="F181" t="s">
        <v>77</v>
      </c>
      <c r="G181" t="s">
        <v>123</v>
      </c>
      <c r="H181">
        <v>1</v>
      </c>
      <c r="I181">
        <v>3080.66</v>
      </c>
      <c r="J181" t="s">
        <v>28</v>
      </c>
      <c r="K181" t="s">
        <v>36</v>
      </c>
      <c r="L181">
        <f t="shared" si="2"/>
        <v>3080.66</v>
      </c>
    </row>
    <row r="182" spans="1:12" x14ac:dyDescent="0.3">
      <c r="A182" t="s">
        <v>719</v>
      </c>
      <c r="B182" t="s">
        <v>65</v>
      </c>
      <c r="C182" t="s">
        <v>720</v>
      </c>
      <c r="D182" t="s">
        <v>721</v>
      </c>
      <c r="E182" t="s">
        <v>25</v>
      </c>
      <c r="F182" t="s">
        <v>77</v>
      </c>
      <c r="G182" t="s">
        <v>78</v>
      </c>
      <c r="H182">
        <v>7</v>
      </c>
      <c r="I182">
        <v>2593.34</v>
      </c>
      <c r="J182" t="s">
        <v>19</v>
      </c>
      <c r="K182" t="s">
        <v>83</v>
      </c>
      <c r="L182">
        <f t="shared" si="2"/>
        <v>18153.38</v>
      </c>
    </row>
    <row r="183" spans="1:12" x14ac:dyDescent="0.3">
      <c r="A183" t="s">
        <v>722</v>
      </c>
      <c r="B183" t="s">
        <v>112</v>
      </c>
      <c r="C183" t="s">
        <v>723</v>
      </c>
      <c r="D183" t="s">
        <v>178</v>
      </c>
      <c r="E183" t="s">
        <v>62</v>
      </c>
      <c r="F183" t="s">
        <v>48</v>
      </c>
      <c r="G183" t="s">
        <v>57</v>
      </c>
      <c r="H183">
        <v>8</v>
      </c>
      <c r="I183">
        <v>3515.88</v>
      </c>
      <c r="J183" t="s">
        <v>42</v>
      </c>
      <c r="K183" t="s">
        <v>51</v>
      </c>
      <c r="L183">
        <f t="shared" si="2"/>
        <v>28127.040000000001</v>
      </c>
    </row>
    <row r="184" spans="1:12" x14ac:dyDescent="0.3">
      <c r="A184" t="s">
        <v>724</v>
      </c>
      <c r="B184" t="s">
        <v>725</v>
      </c>
      <c r="C184" t="s">
        <v>726</v>
      </c>
      <c r="D184" t="s">
        <v>236</v>
      </c>
      <c r="E184" t="s">
        <v>56</v>
      </c>
      <c r="F184" t="s">
        <v>77</v>
      </c>
      <c r="G184" t="s">
        <v>171</v>
      </c>
      <c r="H184">
        <v>8</v>
      </c>
      <c r="I184">
        <v>577.09</v>
      </c>
      <c r="J184" t="s">
        <v>28</v>
      </c>
      <c r="K184" t="s">
        <v>29</v>
      </c>
      <c r="L184">
        <f t="shared" si="2"/>
        <v>4616.72</v>
      </c>
    </row>
    <row r="185" spans="1:12" x14ac:dyDescent="0.3">
      <c r="A185" t="s">
        <v>727</v>
      </c>
      <c r="B185" t="s">
        <v>728</v>
      </c>
      <c r="C185" t="s">
        <v>620</v>
      </c>
      <c r="D185" t="s">
        <v>729</v>
      </c>
      <c r="E185" t="s">
        <v>104</v>
      </c>
      <c r="F185" t="s">
        <v>48</v>
      </c>
      <c r="G185" t="s">
        <v>57</v>
      </c>
      <c r="H185">
        <v>10</v>
      </c>
      <c r="I185">
        <v>768.33</v>
      </c>
      <c r="J185" t="s">
        <v>42</v>
      </c>
      <c r="K185" t="s">
        <v>51</v>
      </c>
      <c r="L185">
        <f t="shared" si="2"/>
        <v>7683.3</v>
      </c>
    </row>
    <row r="186" spans="1:12" x14ac:dyDescent="0.3">
      <c r="A186" t="s">
        <v>730</v>
      </c>
      <c r="B186" t="s">
        <v>731</v>
      </c>
      <c r="C186" t="s">
        <v>732</v>
      </c>
      <c r="D186" t="s">
        <v>733</v>
      </c>
      <c r="E186" t="s">
        <v>128</v>
      </c>
      <c r="F186" t="s">
        <v>26</v>
      </c>
      <c r="G186" t="s">
        <v>27</v>
      </c>
      <c r="H186">
        <v>4</v>
      </c>
      <c r="I186">
        <v>2183.48</v>
      </c>
      <c r="J186" t="s">
        <v>28</v>
      </c>
      <c r="K186" t="s">
        <v>20</v>
      </c>
      <c r="L186">
        <f t="shared" si="2"/>
        <v>8733.92</v>
      </c>
    </row>
    <row r="187" spans="1:12" x14ac:dyDescent="0.3">
      <c r="A187" t="s">
        <v>734</v>
      </c>
      <c r="B187" t="s">
        <v>550</v>
      </c>
      <c r="C187" t="s">
        <v>735</v>
      </c>
      <c r="D187" t="s">
        <v>736</v>
      </c>
      <c r="E187" t="s">
        <v>104</v>
      </c>
      <c r="F187" t="s">
        <v>77</v>
      </c>
      <c r="G187" t="s">
        <v>171</v>
      </c>
      <c r="H187">
        <v>3</v>
      </c>
      <c r="I187">
        <v>329.99</v>
      </c>
      <c r="J187" t="s">
        <v>19</v>
      </c>
      <c r="K187" t="s">
        <v>51</v>
      </c>
      <c r="L187">
        <f t="shared" si="2"/>
        <v>989.97</v>
      </c>
    </row>
    <row r="188" spans="1:12" x14ac:dyDescent="0.3">
      <c r="A188" t="s">
        <v>737</v>
      </c>
      <c r="B188" t="s">
        <v>738</v>
      </c>
      <c r="C188" t="s">
        <v>739</v>
      </c>
      <c r="D188" t="s">
        <v>740</v>
      </c>
      <c r="E188" t="s">
        <v>25</v>
      </c>
      <c r="F188" t="s">
        <v>26</v>
      </c>
      <c r="G188" t="s">
        <v>115</v>
      </c>
      <c r="H188">
        <v>7</v>
      </c>
      <c r="I188">
        <v>3525.06</v>
      </c>
      <c r="J188" t="s">
        <v>42</v>
      </c>
      <c r="K188" t="s">
        <v>20</v>
      </c>
      <c r="L188">
        <f t="shared" si="2"/>
        <v>24675.42</v>
      </c>
    </row>
    <row r="189" spans="1:12" x14ac:dyDescent="0.3">
      <c r="A189" t="s">
        <v>741</v>
      </c>
      <c r="B189" t="s">
        <v>742</v>
      </c>
      <c r="C189" t="s">
        <v>743</v>
      </c>
      <c r="D189" t="s">
        <v>744</v>
      </c>
      <c r="E189" t="s">
        <v>25</v>
      </c>
      <c r="F189" t="s">
        <v>26</v>
      </c>
      <c r="G189" t="s">
        <v>166</v>
      </c>
      <c r="H189">
        <v>4</v>
      </c>
      <c r="I189">
        <v>1699.38</v>
      </c>
      <c r="J189" t="s">
        <v>42</v>
      </c>
      <c r="K189" t="s">
        <v>29</v>
      </c>
      <c r="L189">
        <f t="shared" si="2"/>
        <v>6797.52</v>
      </c>
    </row>
    <row r="190" spans="1:12" x14ac:dyDescent="0.3">
      <c r="A190" t="s">
        <v>745</v>
      </c>
      <c r="B190" t="s">
        <v>746</v>
      </c>
      <c r="C190" t="s">
        <v>747</v>
      </c>
      <c r="D190" t="s">
        <v>748</v>
      </c>
      <c r="E190" t="s">
        <v>128</v>
      </c>
      <c r="F190" t="s">
        <v>26</v>
      </c>
      <c r="G190" t="s">
        <v>208</v>
      </c>
      <c r="H190">
        <v>8</v>
      </c>
      <c r="I190">
        <v>2488.02</v>
      </c>
      <c r="J190" t="s">
        <v>50</v>
      </c>
      <c r="K190" t="s">
        <v>43</v>
      </c>
      <c r="L190">
        <f t="shared" si="2"/>
        <v>19904.16</v>
      </c>
    </row>
    <row r="191" spans="1:12" x14ac:dyDescent="0.3">
      <c r="A191" t="s">
        <v>749</v>
      </c>
      <c r="B191" t="s">
        <v>750</v>
      </c>
      <c r="C191" t="s">
        <v>627</v>
      </c>
      <c r="D191" t="s">
        <v>751</v>
      </c>
      <c r="E191" t="s">
        <v>128</v>
      </c>
      <c r="F191" t="s">
        <v>77</v>
      </c>
      <c r="G191" t="s">
        <v>105</v>
      </c>
      <c r="H191">
        <v>4</v>
      </c>
      <c r="I191">
        <v>1881.58</v>
      </c>
      <c r="J191" t="s">
        <v>19</v>
      </c>
      <c r="K191" t="s">
        <v>29</v>
      </c>
      <c r="L191">
        <f t="shared" si="2"/>
        <v>7526.32</v>
      </c>
    </row>
    <row r="192" spans="1:12" x14ac:dyDescent="0.3">
      <c r="A192" t="s">
        <v>752</v>
      </c>
      <c r="B192" t="s">
        <v>753</v>
      </c>
      <c r="C192" t="s">
        <v>430</v>
      </c>
      <c r="D192" t="s">
        <v>754</v>
      </c>
      <c r="E192" t="s">
        <v>25</v>
      </c>
      <c r="F192" t="s">
        <v>77</v>
      </c>
      <c r="G192" t="s">
        <v>78</v>
      </c>
      <c r="H192">
        <v>7</v>
      </c>
      <c r="I192">
        <v>3915.83</v>
      </c>
      <c r="J192" t="s">
        <v>42</v>
      </c>
      <c r="K192" t="s">
        <v>20</v>
      </c>
      <c r="L192">
        <f t="shared" si="2"/>
        <v>27410.809999999998</v>
      </c>
    </row>
    <row r="193" spans="1:12" x14ac:dyDescent="0.3">
      <c r="A193" t="s">
        <v>755</v>
      </c>
      <c r="B193" t="s">
        <v>756</v>
      </c>
      <c r="C193" t="s">
        <v>757</v>
      </c>
      <c r="D193" t="s">
        <v>758</v>
      </c>
      <c r="E193" t="s">
        <v>104</v>
      </c>
      <c r="F193" t="s">
        <v>17</v>
      </c>
      <c r="G193" t="s">
        <v>68</v>
      </c>
      <c r="H193">
        <v>8</v>
      </c>
      <c r="I193">
        <v>3650.96</v>
      </c>
      <c r="J193" t="s">
        <v>42</v>
      </c>
      <c r="K193" t="s">
        <v>83</v>
      </c>
      <c r="L193">
        <f t="shared" si="2"/>
        <v>29207.68</v>
      </c>
    </row>
    <row r="194" spans="1:12" x14ac:dyDescent="0.3">
      <c r="A194" t="s">
        <v>759</v>
      </c>
      <c r="B194" t="s">
        <v>65</v>
      </c>
      <c r="C194" t="s">
        <v>760</v>
      </c>
      <c r="D194" t="s">
        <v>761</v>
      </c>
      <c r="E194" t="s">
        <v>34</v>
      </c>
      <c r="F194" t="s">
        <v>17</v>
      </c>
      <c r="G194" t="s">
        <v>18</v>
      </c>
      <c r="H194">
        <v>6</v>
      </c>
      <c r="I194">
        <v>3348.83</v>
      </c>
      <c r="J194" t="s">
        <v>28</v>
      </c>
      <c r="K194" t="s">
        <v>29</v>
      </c>
      <c r="L194">
        <f t="shared" si="2"/>
        <v>20092.98</v>
      </c>
    </row>
    <row r="195" spans="1:12" x14ac:dyDescent="0.3">
      <c r="A195" t="s">
        <v>762</v>
      </c>
      <c r="B195" t="s">
        <v>389</v>
      </c>
      <c r="C195" t="s">
        <v>569</v>
      </c>
      <c r="D195" t="s">
        <v>763</v>
      </c>
      <c r="E195" t="s">
        <v>62</v>
      </c>
      <c r="F195" t="s">
        <v>26</v>
      </c>
      <c r="G195" t="s">
        <v>115</v>
      </c>
      <c r="H195">
        <v>5</v>
      </c>
      <c r="I195">
        <v>1543.69</v>
      </c>
      <c r="J195" t="s">
        <v>19</v>
      </c>
      <c r="K195" t="s">
        <v>20</v>
      </c>
      <c r="L195">
        <f t="shared" ref="L195:L258" si="3">H195*I195</f>
        <v>7718.4500000000007</v>
      </c>
    </row>
    <row r="196" spans="1:12" x14ac:dyDescent="0.3">
      <c r="A196" t="s">
        <v>764</v>
      </c>
      <c r="B196" t="s">
        <v>275</v>
      </c>
      <c r="C196" t="s">
        <v>765</v>
      </c>
      <c r="D196" t="s">
        <v>766</v>
      </c>
      <c r="E196" t="s">
        <v>34</v>
      </c>
      <c r="F196" t="s">
        <v>48</v>
      </c>
      <c r="G196" t="s">
        <v>63</v>
      </c>
      <c r="H196">
        <v>5</v>
      </c>
      <c r="I196">
        <v>1297.98</v>
      </c>
      <c r="J196" t="s">
        <v>50</v>
      </c>
      <c r="K196" t="s">
        <v>20</v>
      </c>
      <c r="L196">
        <f t="shared" si="3"/>
        <v>6489.9</v>
      </c>
    </row>
    <row r="197" spans="1:12" x14ac:dyDescent="0.3">
      <c r="A197" t="s">
        <v>767</v>
      </c>
      <c r="B197" t="s">
        <v>768</v>
      </c>
      <c r="C197" t="s">
        <v>769</v>
      </c>
      <c r="D197" t="s">
        <v>770</v>
      </c>
      <c r="E197" t="s">
        <v>56</v>
      </c>
      <c r="F197" t="s">
        <v>17</v>
      </c>
      <c r="G197" t="s">
        <v>68</v>
      </c>
      <c r="H197">
        <v>6</v>
      </c>
      <c r="I197">
        <v>2642.46</v>
      </c>
      <c r="J197" t="s">
        <v>28</v>
      </c>
      <c r="K197" t="s">
        <v>43</v>
      </c>
      <c r="L197">
        <f t="shared" si="3"/>
        <v>15854.76</v>
      </c>
    </row>
    <row r="198" spans="1:12" x14ac:dyDescent="0.3">
      <c r="A198" t="s">
        <v>771</v>
      </c>
      <c r="B198" t="s">
        <v>609</v>
      </c>
      <c r="C198" t="s">
        <v>164</v>
      </c>
      <c r="D198" t="s">
        <v>224</v>
      </c>
      <c r="E198" t="s">
        <v>56</v>
      </c>
      <c r="F198" t="s">
        <v>17</v>
      </c>
      <c r="G198" t="s">
        <v>68</v>
      </c>
      <c r="H198">
        <v>6</v>
      </c>
      <c r="I198">
        <v>494.07</v>
      </c>
      <c r="J198" t="s">
        <v>28</v>
      </c>
      <c r="K198" t="s">
        <v>43</v>
      </c>
      <c r="L198">
        <f t="shared" si="3"/>
        <v>2964.42</v>
      </c>
    </row>
    <row r="199" spans="1:12" x14ac:dyDescent="0.3">
      <c r="A199" t="s">
        <v>772</v>
      </c>
      <c r="B199" t="s">
        <v>773</v>
      </c>
      <c r="C199" t="s">
        <v>774</v>
      </c>
      <c r="D199" t="s">
        <v>775</v>
      </c>
      <c r="E199" t="s">
        <v>25</v>
      </c>
      <c r="F199" t="s">
        <v>77</v>
      </c>
      <c r="G199" t="s">
        <v>171</v>
      </c>
      <c r="H199">
        <v>6</v>
      </c>
      <c r="I199">
        <v>4640.58</v>
      </c>
      <c r="J199" t="s">
        <v>19</v>
      </c>
      <c r="K199" t="s">
        <v>51</v>
      </c>
      <c r="L199">
        <f t="shared" si="3"/>
        <v>27843.48</v>
      </c>
    </row>
    <row r="200" spans="1:12" x14ac:dyDescent="0.3">
      <c r="A200" t="s">
        <v>776</v>
      </c>
      <c r="B200" t="s">
        <v>777</v>
      </c>
      <c r="C200" t="s">
        <v>32</v>
      </c>
      <c r="D200" t="s">
        <v>778</v>
      </c>
      <c r="E200" t="s">
        <v>16</v>
      </c>
      <c r="F200" t="s">
        <v>77</v>
      </c>
      <c r="G200" t="s">
        <v>171</v>
      </c>
      <c r="H200">
        <v>4</v>
      </c>
      <c r="I200">
        <v>1657.37</v>
      </c>
      <c r="J200" t="s">
        <v>28</v>
      </c>
      <c r="K200" t="s">
        <v>29</v>
      </c>
      <c r="L200">
        <f t="shared" si="3"/>
        <v>6629.48</v>
      </c>
    </row>
    <row r="201" spans="1:12" x14ac:dyDescent="0.3">
      <c r="A201" t="s">
        <v>779</v>
      </c>
      <c r="B201" t="s">
        <v>780</v>
      </c>
      <c r="C201" t="s">
        <v>781</v>
      </c>
      <c r="D201" t="s">
        <v>782</v>
      </c>
      <c r="E201" t="s">
        <v>16</v>
      </c>
      <c r="F201" t="s">
        <v>17</v>
      </c>
      <c r="G201" t="s">
        <v>68</v>
      </c>
      <c r="H201">
        <v>3</v>
      </c>
      <c r="I201">
        <v>2485.6999999999998</v>
      </c>
      <c r="J201" t="s">
        <v>50</v>
      </c>
      <c r="K201" t="s">
        <v>51</v>
      </c>
      <c r="L201">
        <f t="shared" si="3"/>
        <v>7457.0999999999995</v>
      </c>
    </row>
    <row r="202" spans="1:12" x14ac:dyDescent="0.3">
      <c r="A202" t="s">
        <v>783</v>
      </c>
      <c r="B202" t="s">
        <v>784</v>
      </c>
      <c r="C202" t="s">
        <v>160</v>
      </c>
      <c r="D202" t="s">
        <v>785</v>
      </c>
      <c r="E202" t="s">
        <v>16</v>
      </c>
      <c r="F202" t="s">
        <v>77</v>
      </c>
      <c r="G202" t="s">
        <v>78</v>
      </c>
      <c r="H202">
        <v>9</v>
      </c>
      <c r="I202">
        <v>541.59</v>
      </c>
      <c r="J202" t="s">
        <v>42</v>
      </c>
      <c r="K202" t="s">
        <v>29</v>
      </c>
      <c r="L202">
        <f t="shared" si="3"/>
        <v>4874.3100000000004</v>
      </c>
    </row>
    <row r="203" spans="1:12" x14ac:dyDescent="0.3">
      <c r="A203" t="s">
        <v>786</v>
      </c>
      <c r="B203" t="s">
        <v>74</v>
      </c>
      <c r="C203" t="s">
        <v>787</v>
      </c>
      <c r="D203" t="s">
        <v>788</v>
      </c>
      <c r="E203" t="s">
        <v>95</v>
      </c>
      <c r="F203" t="s">
        <v>26</v>
      </c>
      <c r="G203" t="s">
        <v>166</v>
      </c>
      <c r="H203">
        <v>5</v>
      </c>
      <c r="I203">
        <v>904.42</v>
      </c>
      <c r="J203" t="s">
        <v>19</v>
      </c>
      <c r="K203" t="s">
        <v>20</v>
      </c>
      <c r="L203">
        <f t="shared" si="3"/>
        <v>4522.0999999999995</v>
      </c>
    </row>
    <row r="204" spans="1:12" x14ac:dyDescent="0.3">
      <c r="A204" t="s">
        <v>789</v>
      </c>
      <c r="B204" t="s">
        <v>790</v>
      </c>
      <c r="C204" t="s">
        <v>791</v>
      </c>
      <c r="D204" t="s">
        <v>792</v>
      </c>
      <c r="E204" t="s">
        <v>95</v>
      </c>
      <c r="F204" t="s">
        <v>17</v>
      </c>
      <c r="G204" t="s">
        <v>68</v>
      </c>
      <c r="H204">
        <v>7</v>
      </c>
      <c r="I204">
        <v>1730.65</v>
      </c>
      <c r="J204" t="s">
        <v>28</v>
      </c>
      <c r="K204" t="s">
        <v>20</v>
      </c>
      <c r="L204">
        <f t="shared" si="3"/>
        <v>12114.550000000001</v>
      </c>
    </row>
    <row r="205" spans="1:12" x14ac:dyDescent="0.3">
      <c r="A205" t="s">
        <v>793</v>
      </c>
      <c r="B205" t="s">
        <v>794</v>
      </c>
      <c r="C205" t="s">
        <v>795</v>
      </c>
      <c r="D205" t="s">
        <v>796</v>
      </c>
      <c r="E205" t="s">
        <v>62</v>
      </c>
      <c r="F205" t="s">
        <v>48</v>
      </c>
      <c r="G205" t="s">
        <v>49</v>
      </c>
      <c r="H205">
        <v>8</v>
      </c>
      <c r="I205">
        <v>2782.61</v>
      </c>
      <c r="J205" t="s">
        <v>50</v>
      </c>
      <c r="K205" t="s">
        <v>43</v>
      </c>
      <c r="L205">
        <f t="shared" si="3"/>
        <v>22260.880000000001</v>
      </c>
    </row>
    <row r="206" spans="1:12" x14ac:dyDescent="0.3">
      <c r="A206" t="s">
        <v>797</v>
      </c>
      <c r="B206" t="s">
        <v>441</v>
      </c>
      <c r="C206" t="s">
        <v>798</v>
      </c>
      <c r="D206" t="s">
        <v>520</v>
      </c>
      <c r="E206" t="s">
        <v>95</v>
      </c>
      <c r="F206" t="s">
        <v>17</v>
      </c>
      <c r="G206" t="s">
        <v>41</v>
      </c>
      <c r="H206">
        <v>10</v>
      </c>
      <c r="I206">
        <v>2761.98</v>
      </c>
      <c r="J206" t="s">
        <v>28</v>
      </c>
      <c r="K206" t="s">
        <v>43</v>
      </c>
      <c r="L206">
        <f t="shared" si="3"/>
        <v>27619.8</v>
      </c>
    </row>
    <row r="207" spans="1:12" x14ac:dyDescent="0.3">
      <c r="A207" t="s">
        <v>799</v>
      </c>
      <c r="B207" t="s">
        <v>800</v>
      </c>
      <c r="C207" t="s">
        <v>801</v>
      </c>
      <c r="D207" t="s">
        <v>802</v>
      </c>
      <c r="E207" t="s">
        <v>128</v>
      </c>
      <c r="F207" t="s">
        <v>17</v>
      </c>
      <c r="G207" t="s">
        <v>35</v>
      </c>
      <c r="H207">
        <v>8</v>
      </c>
      <c r="I207">
        <v>428.91</v>
      </c>
      <c r="J207" t="s">
        <v>19</v>
      </c>
      <c r="K207" t="s">
        <v>20</v>
      </c>
      <c r="L207">
        <f t="shared" si="3"/>
        <v>3431.28</v>
      </c>
    </row>
    <row r="208" spans="1:12" x14ac:dyDescent="0.3">
      <c r="A208" t="s">
        <v>803</v>
      </c>
      <c r="B208" t="s">
        <v>804</v>
      </c>
      <c r="C208" t="s">
        <v>805</v>
      </c>
      <c r="D208" t="s">
        <v>806</v>
      </c>
      <c r="E208" t="s">
        <v>25</v>
      </c>
      <c r="F208" t="s">
        <v>77</v>
      </c>
      <c r="G208" t="s">
        <v>105</v>
      </c>
      <c r="H208">
        <v>1</v>
      </c>
      <c r="I208">
        <v>4934.3100000000004</v>
      </c>
      <c r="J208" t="s">
        <v>19</v>
      </c>
      <c r="K208" t="s">
        <v>29</v>
      </c>
      <c r="L208">
        <f t="shared" si="3"/>
        <v>4934.3100000000004</v>
      </c>
    </row>
    <row r="209" spans="1:12" x14ac:dyDescent="0.3">
      <c r="A209" t="s">
        <v>807</v>
      </c>
      <c r="B209" t="s">
        <v>250</v>
      </c>
      <c r="C209" t="s">
        <v>808</v>
      </c>
      <c r="D209" t="s">
        <v>809</v>
      </c>
      <c r="E209" t="s">
        <v>16</v>
      </c>
      <c r="F209" t="s">
        <v>48</v>
      </c>
      <c r="G209" t="s">
        <v>179</v>
      </c>
      <c r="H209">
        <v>5</v>
      </c>
      <c r="I209">
        <v>1966</v>
      </c>
      <c r="J209" t="s">
        <v>50</v>
      </c>
      <c r="K209" t="s">
        <v>43</v>
      </c>
      <c r="L209">
        <f t="shared" si="3"/>
        <v>9830</v>
      </c>
    </row>
    <row r="210" spans="1:12" x14ac:dyDescent="0.3">
      <c r="A210" t="s">
        <v>810</v>
      </c>
      <c r="B210" t="s">
        <v>811</v>
      </c>
      <c r="C210" t="s">
        <v>812</v>
      </c>
      <c r="D210" t="s">
        <v>770</v>
      </c>
      <c r="E210" t="s">
        <v>62</v>
      </c>
      <c r="F210" t="s">
        <v>17</v>
      </c>
      <c r="G210" t="s">
        <v>41</v>
      </c>
      <c r="H210">
        <v>9</v>
      </c>
      <c r="I210">
        <v>1871.9</v>
      </c>
      <c r="J210" t="s">
        <v>42</v>
      </c>
      <c r="K210" t="s">
        <v>36</v>
      </c>
      <c r="L210">
        <f t="shared" si="3"/>
        <v>16847.100000000002</v>
      </c>
    </row>
    <row r="211" spans="1:12" x14ac:dyDescent="0.3">
      <c r="A211" t="s">
        <v>813</v>
      </c>
      <c r="B211" t="s">
        <v>814</v>
      </c>
      <c r="C211" t="s">
        <v>815</v>
      </c>
      <c r="D211" t="s">
        <v>165</v>
      </c>
      <c r="E211" t="s">
        <v>34</v>
      </c>
      <c r="F211" t="s">
        <v>26</v>
      </c>
      <c r="G211" t="s">
        <v>296</v>
      </c>
      <c r="H211">
        <v>6</v>
      </c>
      <c r="I211">
        <v>4670.4399999999996</v>
      </c>
      <c r="J211" t="s">
        <v>28</v>
      </c>
      <c r="K211" t="s">
        <v>36</v>
      </c>
      <c r="L211">
        <f t="shared" si="3"/>
        <v>28022.639999999999</v>
      </c>
    </row>
    <row r="212" spans="1:12" x14ac:dyDescent="0.3">
      <c r="A212" t="s">
        <v>816</v>
      </c>
      <c r="B212" t="s">
        <v>377</v>
      </c>
      <c r="C212" t="s">
        <v>817</v>
      </c>
      <c r="D212" t="s">
        <v>818</v>
      </c>
      <c r="E212" t="s">
        <v>34</v>
      </c>
      <c r="F212" t="s">
        <v>17</v>
      </c>
      <c r="G212" t="s">
        <v>68</v>
      </c>
      <c r="H212">
        <v>3</v>
      </c>
      <c r="I212">
        <v>1610.86</v>
      </c>
      <c r="J212" t="s">
        <v>42</v>
      </c>
      <c r="K212" t="s">
        <v>83</v>
      </c>
      <c r="L212">
        <f t="shared" si="3"/>
        <v>4832.58</v>
      </c>
    </row>
    <row r="213" spans="1:12" x14ac:dyDescent="0.3">
      <c r="A213" t="s">
        <v>819</v>
      </c>
      <c r="B213" t="s">
        <v>377</v>
      </c>
      <c r="C213" t="s">
        <v>820</v>
      </c>
      <c r="D213" t="s">
        <v>821</v>
      </c>
      <c r="E213" t="s">
        <v>16</v>
      </c>
      <c r="F213" t="s">
        <v>26</v>
      </c>
      <c r="G213" t="s">
        <v>27</v>
      </c>
      <c r="H213">
        <v>4</v>
      </c>
      <c r="I213">
        <v>3023.65</v>
      </c>
      <c r="J213" t="s">
        <v>19</v>
      </c>
      <c r="K213" t="s">
        <v>20</v>
      </c>
      <c r="L213">
        <f t="shared" si="3"/>
        <v>12094.6</v>
      </c>
    </row>
    <row r="214" spans="1:12" x14ac:dyDescent="0.3">
      <c r="A214" t="s">
        <v>822</v>
      </c>
      <c r="B214" t="s">
        <v>823</v>
      </c>
      <c r="C214" t="s">
        <v>824</v>
      </c>
      <c r="D214" t="s">
        <v>825</v>
      </c>
      <c r="E214" t="s">
        <v>16</v>
      </c>
      <c r="F214" t="s">
        <v>77</v>
      </c>
      <c r="G214" t="s">
        <v>123</v>
      </c>
      <c r="H214">
        <v>6</v>
      </c>
      <c r="I214">
        <v>3156.97</v>
      </c>
      <c r="J214" t="s">
        <v>19</v>
      </c>
      <c r="K214" t="s">
        <v>36</v>
      </c>
      <c r="L214">
        <f t="shared" si="3"/>
        <v>18941.82</v>
      </c>
    </row>
    <row r="215" spans="1:12" x14ac:dyDescent="0.3">
      <c r="A215" t="s">
        <v>826</v>
      </c>
      <c r="B215" t="s">
        <v>827</v>
      </c>
      <c r="C215" t="s">
        <v>828</v>
      </c>
      <c r="D215" t="s">
        <v>829</v>
      </c>
      <c r="E215" t="s">
        <v>34</v>
      </c>
      <c r="F215" t="s">
        <v>77</v>
      </c>
      <c r="G215" t="s">
        <v>171</v>
      </c>
      <c r="H215">
        <v>9</v>
      </c>
      <c r="I215">
        <v>666.78</v>
      </c>
      <c r="J215" t="s">
        <v>28</v>
      </c>
      <c r="K215" t="s">
        <v>43</v>
      </c>
      <c r="L215">
        <f t="shared" si="3"/>
        <v>6001.0199999999995</v>
      </c>
    </row>
    <row r="216" spans="1:12" x14ac:dyDescent="0.3">
      <c r="A216" t="s">
        <v>830</v>
      </c>
      <c r="B216" t="s">
        <v>731</v>
      </c>
      <c r="C216" t="s">
        <v>831</v>
      </c>
      <c r="D216" t="s">
        <v>832</v>
      </c>
      <c r="E216" t="s">
        <v>25</v>
      </c>
      <c r="F216" t="s">
        <v>48</v>
      </c>
      <c r="G216" t="s">
        <v>49</v>
      </c>
      <c r="H216">
        <v>9</v>
      </c>
      <c r="I216">
        <v>3865.62</v>
      </c>
      <c r="J216" t="s">
        <v>42</v>
      </c>
      <c r="K216" t="s">
        <v>20</v>
      </c>
      <c r="L216">
        <f t="shared" si="3"/>
        <v>34790.58</v>
      </c>
    </row>
    <row r="217" spans="1:12" x14ac:dyDescent="0.3">
      <c r="A217" t="s">
        <v>833</v>
      </c>
      <c r="B217" t="s">
        <v>437</v>
      </c>
      <c r="C217" t="s">
        <v>834</v>
      </c>
      <c r="D217" t="s">
        <v>835</v>
      </c>
      <c r="E217" t="s">
        <v>34</v>
      </c>
      <c r="F217" t="s">
        <v>26</v>
      </c>
      <c r="G217" t="s">
        <v>166</v>
      </c>
      <c r="H217">
        <v>9</v>
      </c>
      <c r="I217">
        <v>2735.49</v>
      </c>
      <c r="J217" t="s">
        <v>28</v>
      </c>
      <c r="K217" t="s">
        <v>36</v>
      </c>
      <c r="L217">
        <f t="shared" si="3"/>
        <v>24619.409999999996</v>
      </c>
    </row>
    <row r="218" spans="1:12" x14ac:dyDescent="0.3">
      <c r="A218" t="s">
        <v>836</v>
      </c>
      <c r="B218" t="s">
        <v>474</v>
      </c>
      <c r="C218" t="s">
        <v>837</v>
      </c>
      <c r="D218" t="s">
        <v>838</v>
      </c>
      <c r="E218" t="s">
        <v>62</v>
      </c>
      <c r="F218" t="s">
        <v>77</v>
      </c>
      <c r="G218" t="s">
        <v>265</v>
      </c>
      <c r="H218">
        <v>5</v>
      </c>
      <c r="I218">
        <v>187.84</v>
      </c>
      <c r="J218" t="s">
        <v>50</v>
      </c>
      <c r="K218" t="s">
        <v>20</v>
      </c>
      <c r="L218">
        <f t="shared" si="3"/>
        <v>939.2</v>
      </c>
    </row>
    <row r="219" spans="1:12" x14ac:dyDescent="0.3">
      <c r="A219" t="s">
        <v>839</v>
      </c>
      <c r="B219" t="s">
        <v>840</v>
      </c>
      <c r="C219" t="s">
        <v>841</v>
      </c>
      <c r="D219" t="s">
        <v>842</v>
      </c>
      <c r="E219" t="s">
        <v>16</v>
      </c>
      <c r="F219" t="s">
        <v>17</v>
      </c>
      <c r="G219" t="s">
        <v>41</v>
      </c>
      <c r="H219">
        <v>9</v>
      </c>
      <c r="I219">
        <v>4580.76</v>
      </c>
      <c r="J219" t="s">
        <v>50</v>
      </c>
      <c r="K219" t="s">
        <v>83</v>
      </c>
      <c r="L219">
        <f t="shared" si="3"/>
        <v>41226.840000000004</v>
      </c>
    </row>
    <row r="220" spans="1:12" x14ac:dyDescent="0.3">
      <c r="A220" t="s">
        <v>843</v>
      </c>
      <c r="B220" t="s">
        <v>844</v>
      </c>
      <c r="C220" t="s">
        <v>845</v>
      </c>
      <c r="D220" t="s">
        <v>846</v>
      </c>
      <c r="E220" t="s">
        <v>16</v>
      </c>
      <c r="F220" t="s">
        <v>26</v>
      </c>
      <c r="G220" t="s">
        <v>27</v>
      </c>
      <c r="H220">
        <v>5</v>
      </c>
      <c r="I220">
        <v>2135.4899999999998</v>
      </c>
      <c r="J220" t="s">
        <v>19</v>
      </c>
      <c r="K220" t="s">
        <v>20</v>
      </c>
      <c r="L220">
        <f t="shared" si="3"/>
        <v>10677.449999999999</v>
      </c>
    </row>
    <row r="221" spans="1:12" x14ac:dyDescent="0.3">
      <c r="A221" t="s">
        <v>847</v>
      </c>
      <c r="B221" t="s">
        <v>13</v>
      </c>
      <c r="C221" t="s">
        <v>848</v>
      </c>
      <c r="D221" t="s">
        <v>849</v>
      </c>
      <c r="E221" t="s">
        <v>34</v>
      </c>
      <c r="F221" t="s">
        <v>48</v>
      </c>
      <c r="G221" t="s">
        <v>110</v>
      </c>
      <c r="H221">
        <v>3</v>
      </c>
      <c r="I221">
        <v>3036.92</v>
      </c>
      <c r="J221" t="s">
        <v>50</v>
      </c>
      <c r="K221" t="s">
        <v>43</v>
      </c>
      <c r="L221">
        <f t="shared" si="3"/>
        <v>9110.76</v>
      </c>
    </row>
    <row r="222" spans="1:12" x14ac:dyDescent="0.3">
      <c r="A222" t="s">
        <v>850</v>
      </c>
      <c r="B222" t="s">
        <v>654</v>
      </c>
      <c r="C222" t="s">
        <v>851</v>
      </c>
      <c r="D222" t="s">
        <v>852</v>
      </c>
      <c r="E222" t="s">
        <v>62</v>
      </c>
      <c r="F222" t="s">
        <v>26</v>
      </c>
      <c r="G222" t="s">
        <v>115</v>
      </c>
      <c r="H222">
        <v>9</v>
      </c>
      <c r="I222">
        <v>4706.1899999999996</v>
      </c>
      <c r="J222" t="s">
        <v>50</v>
      </c>
      <c r="K222" t="s">
        <v>36</v>
      </c>
      <c r="L222">
        <f t="shared" si="3"/>
        <v>42355.71</v>
      </c>
    </row>
    <row r="223" spans="1:12" x14ac:dyDescent="0.3">
      <c r="A223" t="s">
        <v>853</v>
      </c>
      <c r="B223" t="s">
        <v>854</v>
      </c>
      <c r="C223" t="s">
        <v>450</v>
      </c>
      <c r="D223" t="s">
        <v>277</v>
      </c>
      <c r="E223" t="s">
        <v>56</v>
      </c>
      <c r="F223" t="s">
        <v>17</v>
      </c>
      <c r="G223" t="s">
        <v>41</v>
      </c>
      <c r="H223">
        <v>3</v>
      </c>
      <c r="I223">
        <v>2886.45</v>
      </c>
      <c r="J223" t="s">
        <v>42</v>
      </c>
      <c r="K223" t="s">
        <v>20</v>
      </c>
      <c r="L223">
        <f t="shared" si="3"/>
        <v>8659.3499999999985</v>
      </c>
    </row>
    <row r="224" spans="1:12" x14ac:dyDescent="0.3">
      <c r="A224" t="s">
        <v>855</v>
      </c>
      <c r="B224" t="s">
        <v>141</v>
      </c>
      <c r="C224" t="s">
        <v>856</v>
      </c>
      <c r="D224" t="s">
        <v>857</v>
      </c>
      <c r="E224" t="s">
        <v>104</v>
      </c>
      <c r="F224" t="s">
        <v>26</v>
      </c>
      <c r="G224" t="s">
        <v>166</v>
      </c>
      <c r="H224">
        <v>3</v>
      </c>
      <c r="I224">
        <v>2854.47</v>
      </c>
      <c r="J224" t="s">
        <v>19</v>
      </c>
      <c r="K224" t="s">
        <v>51</v>
      </c>
      <c r="L224">
        <f t="shared" si="3"/>
        <v>8563.41</v>
      </c>
    </row>
    <row r="225" spans="1:12" x14ac:dyDescent="0.3">
      <c r="A225" t="s">
        <v>858</v>
      </c>
      <c r="B225" t="s">
        <v>859</v>
      </c>
      <c r="C225" t="s">
        <v>340</v>
      </c>
      <c r="D225" t="s">
        <v>860</v>
      </c>
      <c r="E225" t="s">
        <v>128</v>
      </c>
      <c r="F225" t="s">
        <v>48</v>
      </c>
      <c r="G225" t="s">
        <v>57</v>
      </c>
      <c r="H225">
        <v>9</v>
      </c>
      <c r="I225">
        <v>264.85000000000002</v>
      </c>
      <c r="J225" t="s">
        <v>19</v>
      </c>
      <c r="K225" t="s">
        <v>20</v>
      </c>
      <c r="L225">
        <f t="shared" si="3"/>
        <v>2383.65</v>
      </c>
    </row>
    <row r="226" spans="1:12" x14ac:dyDescent="0.3">
      <c r="A226" t="s">
        <v>861</v>
      </c>
      <c r="B226" t="s">
        <v>862</v>
      </c>
      <c r="C226" t="s">
        <v>531</v>
      </c>
      <c r="D226" t="s">
        <v>863</v>
      </c>
      <c r="E226" t="s">
        <v>62</v>
      </c>
      <c r="F226" t="s">
        <v>77</v>
      </c>
      <c r="G226" t="s">
        <v>123</v>
      </c>
      <c r="H226">
        <v>3</v>
      </c>
      <c r="I226">
        <v>4709.3900000000003</v>
      </c>
      <c r="J226" t="s">
        <v>42</v>
      </c>
      <c r="K226" t="s">
        <v>36</v>
      </c>
      <c r="L226">
        <f t="shared" si="3"/>
        <v>14128.170000000002</v>
      </c>
    </row>
    <row r="227" spans="1:12" x14ac:dyDescent="0.3">
      <c r="A227" t="s">
        <v>864</v>
      </c>
      <c r="B227" t="s">
        <v>865</v>
      </c>
      <c r="C227" t="s">
        <v>866</v>
      </c>
      <c r="D227" t="s">
        <v>867</v>
      </c>
      <c r="E227" t="s">
        <v>128</v>
      </c>
      <c r="F227" t="s">
        <v>77</v>
      </c>
      <c r="G227" t="s">
        <v>78</v>
      </c>
      <c r="H227">
        <v>5</v>
      </c>
      <c r="I227">
        <v>51.41</v>
      </c>
      <c r="J227" t="s">
        <v>42</v>
      </c>
      <c r="K227" t="s">
        <v>43</v>
      </c>
      <c r="L227">
        <f t="shared" si="3"/>
        <v>257.04999999999995</v>
      </c>
    </row>
    <row r="228" spans="1:12" x14ac:dyDescent="0.3">
      <c r="A228" t="s">
        <v>868</v>
      </c>
      <c r="B228" t="s">
        <v>869</v>
      </c>
      <c r="C228" t="s">
        <v>870</v>
      </c>
      <c r="D228" t="s">
        <v>871</v>
      </c>
      <c r="E228" t="s">
        <v>104</v>
      </c>
      <c r="F228" t="s">
        <v>26</v>
      </c>
      <c r="G228" t="s">
        <v>27</v>
      </c>
      <c r="H228">
        <v>7</v>
      </c>
      <c r="I228">
        <v>2559.4899999999998</v>
      </c>
      <c r="J228" t="s">
        <v>50</v>
      </c>
      <c r="K228" t="s">
        <v>51</v>
      </c>
      <c r="L228">
        <f t="shared" si="3"/>
        <v>17916.43</v>
      </c>
    </row>
    <row r="229" spans="1:12" x14ac:dyDescent="0.3">
      <c r="A229" t="s">
        <v>872</v>
      </c>
      <c r="B229" t="s">
        <v>873</v>
      </c>
      <c r="C229" t="s">
        <v>874</v>
      </c>
      <c r="D229" t="s">
        <v>875</v>
      </c>
      <c r="E229" t="s">
        <v>56</v>
      </c>
      <c r="F229" t="s">
        <v>17</v>
      </c>
      <c r="G229" t="s">
        <v>35</v>
      </c>
      <c r="H229">
        <v>9</v>
      </c>
      <c r="I229">
        <v>4288.42</v>
      </c>
      <c r="J229" t="s">
        <v>50</v>
      </c>
      <c r="K229" t="s">
        <v>36</v>
      </c>
      <c r="L229">
        <f t="shared" si="3"/>
        <v>38595.78</v>
      </c>
    </row>
    <row r="230" spans="1:12" x14ac:dyDescent="0.3">
      <c r="A230" t="s">
        <v>876</v>
      </c>
      <c r="B230" t="s">
        <v>877</v>
      </c>
      <c r="C230" t="s">
        <v>878</v>
      </c>
      <c r="D230" t="s">
        <v>879</v>
      </c>
      <c r="E230" t="s">
        <v>34</v>
      </c>
      <c r="F230" t="s">
        <v>26</v>
      </c>
      <c r="G230" t="s">
        <v>115</v>
      </c>
      <c r="H230">
        <v>9</v>
      </c>
      <c r="I230">
        <v>2355.16</v>
      </c>
      <c r="J230" t="s">
        <v>28</v>
      </c>
      <c r="K230" t="s">
        <v>83</v>
      </c>
      <c r="L230">
        <f t="shared" si="3"/>
        <v>21196.44</v>
      </c>
    </row>
    <row r="231" spans="1:12" x14ac:dyDescent="0.3">
      <c r="A231" t="s">
        <v>880</v>
      </c>
      <c r="B231" t="s">
        <v>840</v>
      </c>
      <c r="C231" t="s">
        <v>881</v>
      </c>
      <c r="D231" t="s">
        <v>341</v>
      </c>
      <c r="E231" t="s">
        <v>56</v>
      </c>
      <c r="F231" t="s">
        <v>77</v>
      </c>
      <c r="G231" t="s">
        <v>105</v>
      </c>
      <c r="H231">
        <v>4</v>
      </c>
      <c r="I231">
        <v>2959.94</v>
      </c>
      <c r="J231" t="s">
        <v>28</v>
      </c>
      <c r="K231" t="s">
        <v>51</v>
      </c>
      <c r="L231">
        <f t="shared" si="3"/>
        <v>11839.76</v>
      </c>
    </row>
    <row r="232" spans="1:12" x14ac:dyDescent="0.3">
      <c r="A232" t="s">
        <v>882</v>
      </c>
      <c r="B232" t="s">
        <v>883</v>
      </c>
      <c r="C232" t="s">
        <v>884</v>
      </c>
      <c r="D232" t="s">
        <v>170</v>
      </c>
      <c r="E232" t="s">
        <v>25</v>
      </c>
      <c r="F232" t="s">
        <v>48</v>
      </c>
      <c r="G232" t="s">
        <v>179</v>
      </c>
      <c r="H232">
        <v>9</v>
      </c>
      <c r="I232">
        <v>1027.28</v>
      </c>
      <c r="J232" t="s">
        <v>50</v>
      </c>
      <c r="K232" t="s">
        <v>83</v>
      </c>
      <c r="L232">
        <f t="shared" si="3"/>
        <v>9245.52</v>
      </c>
    </row>
    <row r="233" spans="1:12" x14ac:dyDescent="0.3">
      <c r="A233" t="s">
        <v>885</v>
      </c>
      <c r="B233" t="s">
        <v>886</v>
      </c>
      <c r="C233" t="s">
        <v>887</v>
      </c>
      <c r="D233" t="s">
        <v>888</v>
      </c>
      <c r="E233" t="s">
        <v>128</v>
      </c>
      <c r="F233" t="s">
        <v>48</v>
      </c>
      <c r="G233" t="s">
        <v>110</v>
      </c>
      <c r="H233">
        <v>8</v>
      </c>
      <c r="I233">
        <v>1359.4</v>
      </c>
      <c r="J233" t="s">
        <v>50</v>
      </c>
      <c r="K233" t="s">
        <v>83</v>
      </c>
      <c r="L233">
        <f t="shared" si="3"/>
        <v>10875.2</v>
      </c>
    </row>
    <row r="234" spans="1:12" x14ac:dyDescent="0.3">
      <c r="A234" t="s">
        <v>889</v>
      </c>
      <c r="B234" t="s">
        <v>862</v>
      </c>
      <c r="C234" t="s">
        <v>890</v>
      </c>
      <c r="D234" t="s">
        <v>891</v>
      </c>
      <c r="E234" t="s">
        <v>104</v>
      </c>
      <c r="F234" t="s">
        <v>26</v>
      </c>
      <c r="G234" t="s">
        <v>27</v>
      </c>
      <c r="H234">
        <v>8</v>
      </c>
      <c r="I234">
        <v>4603.83</v>
      </c>
      <c r="J234" t="s">
        <v>42</v>
      </c>
      <c r="K234" t="s">
        <v>20</v>
      </c>
      <c r="L234">
        <f t="shared" si="3"/>
        <v>36830.639999999999</v>
      </c>
    </row>
    <row r="235" spans="1:12" x14ac:dyDescent="0.3">
      <c r="A235" t="s">
        <v>892</v>
      </c>
      <c r="B235" t="s">
        <v>893</v>
      </c>
      <c r="C235" t="s">
        <v>468</v>
      </c>
      <c r="D235" t="s">
        <v>559</v>
      </c>
      <c r="E235" t="s">
        <v>56</v>
      </c>
      <c r="F235" t="s">
        <v>77</v>
      </c>
      <c r="G235" t="s">
        <v>123</v>
      </c>
      <c r="H235">
        <v>8</v>
      </c>
      <c r="I235">
        <v>4649.7</v>
      </c>
      <c r="J235" t="s">
        <v>19</v>
      </c>
      <c r="K235" t="s">
        <v>51</v>
      </c>
      <c r="L235">
        <f t="shared" si="3"/>
        <v>37197.599999999999</v>
      </c>
    </row>
    <row r="236" spans="1:12" x14ac:dyDescent="0.3">
      <c r="A236" t="s">
        <v>894</v>
      </c>
      <c r="B236" t="s">
        <v>895</v>
      </c>
      <c r="C236" t="s">
        <v>896</v>
      </c>
      <c r="D236" t="s">
        <v>236</v>
      </c>
      <c r="E236" t="s">
        <v>95</v>
      </c>
      <c r="F236" t="s">
        <v>48</v>
      </c>
      <c r="G236" t="s">
        <v>110</v>
      </c>
      <c r="H236">
        <v>9</v>
      </c>
      <c r="I236">
        <v>704.65</v>
      </c>
      <c r="J236" t="s">
        <v>19</v>
      </c>
      <c r="K236" t="s">
        <v>51</v>
      </c>
      <c r="L236">
        <f t="shared" si="3"/>
        <v>6341.8499999999995</v>
      </c>
    </row>
    <row r="237" spans="1:12" x14ac:dyDescent="0.3">
      <c r="A237" t="s">
        <v>897</v>
      </c>
      <c r="B237" t="s">
        <v>898</v>
      </c>
      <c r="C237" t="s">
        <v>899</v>
      </c>
      <c r="D237" t="s">
        <v>900</v>
      </c>
      <c r="E237" t="s">
        <v>56</v>
      </c>
      <c r="F237" t="s">
        <v>17</v>
      </c>
      <c r="G237" t="s">
        <v>35</v>
      </c>
      <c r="H237">
        <v>10</v>
      </c>
      <c r="I237">
        <v>2533.64</v>
      </c>
      <c r="J237" t="s">
        <v>50</v>
      </c>
      <c r="K237" t="s">
        <v>51</v>
      </c>
      <c r="L237">
        <f t="shared" si="3"/>
        <v>25336.399999999998</v>
      </c>
    </row>
    <row r="238" spans="1:12" x14ac:dyDescent="0.3">
      <c r="A238" t="s">
        <v>901</v>
      </c>
      <c r="B238" t="s">
        <v>902</v>
      </c>
      <c r="C238" t="s">
        <v>576</v>
      </c>
      <c r="D238" t="s">
        <v>103</v>
      </c>
      <c r="E238" t="s">
        <v>25</v>
      </c>
      <c r="F238" t="s">
        <v>17</v>
      </c>
      <c r="G238" t="s">
        <v>188</v>
      </c>
      <c r="H238">
        <v>10</v>
      </c>
      <c r="I238">
        <v>436.1</v>
      </c>
      <c r="J238" t="s">
        <v>19</v>
      </c>
      <c r="K238" t="s">
        <v>51</v>
      </c>
      <c r="L238">
        <f t="shared" si="3"/>
        <v>4361</v>
      </c>
    </row>
    <row r="239" spans="1:12" x14ac:dyDescent="0.3">
      <c r="A239" t="s">
        <v>903</v>
      </c>
      <c r="B239" t="s">
        <v>904</v>
      </c>
      <c r="C239" t="s">
        <v>905</v>
      </c>
      <c r="D239" t="s">
        <v>906</v>
      </c>
      <c r="E239" t="s">
        <v>62</v>
      </c>
      <c r="F239" t="s">
        <v>17</v>
      </c>
      <c r="G239" t="s">
        <v>188</v>
      </c>
      <c r="H239">
        <v>5</v>
      </c>
      <c r="I239">
        <v>627.23</v>
      </c>
      <c r="J239" t="s">
        <v>50</v>
      </c>
      <c r="K239" t="s">
        <v>29</v>
      </c>
      <c r="L239">
        <f t="shared" si="3"/>
        <v>3136.15</v>
      </c>
    </row>
    <row r="240" spans="1:12" x14ac:dyDescent="0.3">
      <c r="A240" t="s">
        <v>907</v>
      </c>
      <c r="B240" t="s">
        <v>908</v>
      </c>
      <c r="C240" t="s">
        <v>909</v>
      </c>
      <c r="D240" t="s">
        <v>109</v>
      </c>
      <c r="E240" t="s">
        <v>34</v>
      </c>
      <c r="F240" t="s">
        <v>26</v>
      </c>
      <c r="G240" t="s">
        <v>208</v>
      </c>
      <c r="H240">
        <v>8</v>
      </c>
      <c r="I240">
        <v>3805.12</v>
      </c>
      <c r="J240" t="s">
        <v>50</v>
      </c>
      <c r="K240" t="s">
        <v>51</v>
      </c>
      <c r="L240">
        <f t="shared" si="3"/>
        <v>30440.959999999999</v>
      </c>
    </row>
    <row r="241" spans="1:12" x14ac:dyDescent="0.3">
      <c r="A241" t="s">
        <v>910</v>
      </c>
      <c r="B241" t="s">
        <v>911</v>
      </c>
      <c r="C241" t="s">
        <v>118</v>
      </c>
      <c r="D241" t="s">
        <v>912</v>
      </c>
      <c r="E241" t="s">
        <v>16</v>
      </c>
      <c r="F241" t="s">
        <v>26</v>
      </c>
      <c r="G241" t="s">
        <v>27</v>
      </c>
      <c r="H241">
        <v>10</v>
      </c>
      <c r="I241">
        <v>4091.6</v>
      </c>
      <c r="J241" t="s">
        <v>42</v>
      </c>
      <c r="K241" t="s">
        <v>36</v>
      </c>
      <c r="L241">
        <f t="shared" si="3"/>
        <v>40916</v>
      </c>
    </row>
    <row r="242" spans="1:12" x14ac:dyDescent="0.3">
      <c r="A242" t="s">
        <v>913</v>
      </c>
      <c r="B242" t="s">
        <v>914</v>
      </c>
      <c r="C242" t="s">
        <v>915</v>
      </c>
      <c r="D242" t="s">
        <v>916</v>
      </c>
      <c r="E242" t="s">
        <v>62</v>
      </c>
      <c r="F242" t="s">
        <v>77</v>
      </c>
      <c r="G242" t="s">
        <v>105</v>
      </c>
      <c r="H242">
        <v>5</v>
      </c>
      <c r="I242">
        <v>2163.2800000000002</v>
      </c>
      <c r="J242" t="s">
        <v>42</v>
      </c>
      <c r="K242" t="s">
        <v>20</v>
      </c>
      <c r="L242">
        <f t="shared" si="3"/>
        <v>10816.400000000001</v>
      </c>
    </row>
    <row r="243" spans="1:12" x14ac:dyDescent="0.3">
      <c r="A243" t="s">
        <v>917</v>
      </c>
      <c r="B243" t="s">
        <v>908</v>
      </c>
      <c r="C243" t="s">
        <v>918</v>
      </c>
      <c r="D243" t="s">
        <v>919</v>
      </c>
      <c r="E243" t="s">
        <v>95</v>
      </c>
      <c r="F243" t="s">
        <v>26</v>
      </c>
      <c r="G243" t="s">
        <v>296</v>
      </c>
      <c r="H243">
        <v>8</v>
      </c>
      <c r="I243">
        <v>180.61</v>
      </c>
      <c r="J243" t="s">
        <v>50</v>
      </c>
      <c r="K243" t="s">
        <v>20</v>
      </c>
      <c r="L243">
        <f t="shared" si="3"/>
        <v>1444.88</v>
      </c>
    </row>
    <row r="244" spans="1:12" x14ac:dyDescent="0.3">
      <c r="A244" t="s">
        <v>920</v>
      </c>
      <c r="B244" t="s">
        <v>895</v>
      </c>
      <c r="C244" t="s">
        <v>921</v>
      </c>
      <c r="D244" t="s">
        <v>922</v>
      </c>
      <c r="E244" t="s">
        <v>25</v>
      </c>
      <c r="F244" t="s">
        <v>77</v>
      </c>
      <c r="G244" t="s">
        <v>171</v>
      </c>
      <c r="H244">
        <v>3</v>
      </c>
      <c r="I244">
        <v>1532.16</v>
      </c>
      <c r="J244" t="s">
        <v>28</v>
      </c>
      <c r="K244" t="s">
        <v>43</v>
      </c>
      <c r="L244">
        <f t="shared" si="3"/>
        <v>4596.4800000000005</v>
      </c>
    </row>
    <row r="245" spans="1:12" x14ac:dyDescent="0.3">
      <c r="A245" t="s">
        <v>923</v>
      </c>
      <c r="B245" t="s">
        <v>924</v>
      </c>
      <c r="C245" t="s">
        <v>925</v>
      </c>
      <c r="D245" t="s">
        <v>926</v>
      </c>
      <c r="E245" t="s">
        <v>95</v>
      </c>
      <c r="F245" t="s">
        <v>17</v>
      </c>
      <c r="G245" t="s">
        <v>41</v>
      </c>
      <c r="H245">
        <v>3</v>
      </c>
      <c r="I245">
        <v>2799.89</v>
      </c>
      <c r="J245" t="s">
        <v>19</v>
      </c>
      <c r="K245" t="s">
        <v>83</v>
      </c>
      <c r="L245">
        <f t="shared" si="3"/>
        <v>8399.67</v>
      </c>
    </row>
    <row r="246" spans="1:12" x14ac:dyDescent="0.3">
      <c r="A246" t="s">
        <v>927</v>
      </c>
      <c r="B246" t="s">
        <v>483</v>
      </c>
      <c r="C246" t="s">
        <v>928</v>
      </c>
      <c r="D246" t="s">
        <v>929</v>
      </c>
      <c r="E246" t="s">
        <v>128</v>
      </c>
      <c r="F246" t="s">
        <v>48</v>
      </c>
      <c r="G246" t="s">
        <v>179</v>
      </c>
      <c r="H246">
        <v>7</v>
      </c>
      <c r="I246">
        <v>3747.88</v>
      </c>
      <c r="J246" t="s">
        <v>28</v>
      </c>
      <c r="K246" t="s">
        <v>20</v>
      </c>
      <c r="L246">
        <f t="shared" si="3"/>
        <v>26235.16</v>
      </c>
    </row>
    <row r="247" spans="1:12" x14ac:dyDescent="0.3">
      <c r="A247" t="s">
        <v>930</v>
      </c>
      <c r="B247" t="s">
        <v>931</v>
      </c>
      <c r="C247" t="s">
        <v>932</v>
      </c>
      <c r="D247" t="s">
        <v>933</v>
      </c>
      <c r="E247" t="s">
        <v>25</v>
      </c>
      <c r="F247" t="s">
        <v>48</v>
      </c>
      <c r="G247" t="s">
        <v>57</v>
      </c>
      <c r="H247">
        <v>9</v>
      </c>
      <c r="I247">
        <v>3454.16</v>
      </c>
      <c r="J247" t="s">
        <v>19</v>
      </c>
      <c r="K247" t="s">
        <v>20</v>
      </c>
      <c r="L247">
        <f t="shared" si="3"/>
        <v>31087.439999999999</v>
      </c>
    </row>
    <row r="248" spans="1:12" x14ac:dyDescent="0.3">
      <c r="A248" t="s">
        <v>934</v>
      </c>
      <c r="B248" t="s">
        <v>634</v>
      </c>
      <c r="C248" t="s">
        <v>935</v>
      </c>
      <c r="D248" t="s">
        <v>936</v>
      </c>
      <c r="E248" t="s">
        <v>62</v>
      </c>
      <c r="F248" t="s">
        <v>48</v>
      </c>
      <c r="G248" t="s">
        <v>49</v>
      </c>
      <c r="H248">
        <v>8</v>
      </c>
      <c r="I248">
        <v>1856.06</v>
      </c>
      <c r="J248" t="s">
        <v>50</v>
      </c>
      <c r="K248" t="s">
        <v>51</v>
      </c>
      <c r="L248">
        <f t="shared" si="3"/>
        <v>14848.48</v>
      </c>
    </row>
    <row r="249" spans="1:12" x14ac:dyDescent="0.3">
      <c r="A249" t="s">
        <v>937</v>
      </c>
      <c r="B249" t="s">
        <v>938</v>
      </c>
      <c r="C249" t="s">
        <v>939</v>
      </c>
      <c r="D249" t="s">
        <v>940</v>
      </c>
      <c r="E249" t="s">
        <v>34</v>
      </c>
      <c r="F249" t="s">
        <v>26</v>
      </c>
      <c r="G249" t="s">
        <v>27</v>
      </c>
      <c r="H249">
        <v>3</v>
      </c>
      <c r="I249">
        <v>3503.3</v>
      </c>
      <c r="J249" t="s">
        <v>19</v>
      </c>
      <c r="K249" t="s">
        <v>36</v>
      </c>
      <c r="L249">
        <f t="shared" si="3"/>
        <v>10509.900000000001</v>
      </c>
    </row>
    <row r="250" spans="1:12" x14ac:dyDescent="0.3">
      <c r="A250" t="s">
        <v>941</v>
      </c>
      <c r="B250" t="s">
        <v>942</v>
      </c>
      <c r="C250" t="s">
        <v>943</v>
      </c>
      <c r="D250" t="s">
        <v>256</v>
      </c>
      <c r="E250" t="s">
        <v>16</v>
      </c>
      <c r="F250" t="s">
        <v>48</v>
      </c>
      <c r="G250" t="s">
        <v>49</v>
      </c>
      <c r="H250">
        <v>6</v>
      </c>
      <c r="I250">
        <v>2496.94</v>
      </c>
      <c r="J250" t="s">
        <v>19</v>
      </c>
      <c r="K250" t="s">
        <v>43</v>
      </c>
      <c r="L250">
        <f t="shared" si="3"/>
        <v>14981.64</v>
      </c>
    </row>
    <row r="251" spans="1:12" x14ac:dyDescent="0.3">
      <c r="A251" t="s">
        <v>944</v>
      </c>
      <c r="B251" t="s">
        <v>328</v>
      </c>
      <c r="C251" t="s">
        <v>614</v>
      </c>
      <c r="D251" t="s">
        <v>203</v>
      </c>
      <c r="E251" t="s">
        <v>34</v>
      </c>
      <c r="F251" t="s">
        <v>77</v>
      </c>
      <c r="G251" t="s">
        <v>123</v>
      </c>
      <c r="H251">
        <v>5</v>
      </c>
      <c r="I251">
        <v>4282.6400000000003</v>
      </c>
      <c r="J251" t="s">
        <v>28</v>
      </c>
      <c r="K251" t="s">
        <v>43</v>
      </c>
      <c r="L251">
        <f t="shared" si="3"/>
        <v>21413.200000000001</v>
      </c>
    </row>
    <row r="252" spans="1:12" x14ac:dyDescent="0.3">
      <c r="A252" t="s">
        <v>945</v>
      </c>
      <c r="B252" t="s">
        <v>946</v>
      </c>
      <c r="C252" t="s">
        <v>637</v>
      </c>
      <c r="D252" t="s">
        <v>947</v>
      </c>
      <c r="E252" t="s">
        <v>104</v>
      </c>
      <c r="F252" t="s">
        <v>17</v>
      </c>
      <c r="G252" t="s">
        <v>188</v>
      </c>
      <c r="H252">
        <v>1</v>
      </c>
      <c r="I252">
        <v>1925.24</v>
      </c>
      <c r="J252" t="s">
        <v>42</v>
      </c>
      <c r="K252" t="s">
        <v>51</v>
      </c>
      <c r="L252">
        <f t="shared" si="3"/>
        <v>1925.24</v>
      </c>
    </row>
    <row r="253" spans="1:12" x14ac:dyDescent="0.3">
      <c r="A253" t="s">
        <v>948</v>
      </c>
      <c r="B253" t="s">
        <v>949</v>
      </c>
      <c r="C253" t="s">
        <v>950</v>
      </c>
      <c r="D253" t="s">
        <v>951</v>
      </c>
      <c r="E253" t="s">
        <v>104</v>
      </c>
      <c r="F253" t="s">
        <v>26</v>
      </c>
      <c r="G253" t="s">
        <v>27</v>
      </c>
      <c r="H253">
        <v>9</v>
      </c>
      <c r="I253">
        <v>1357.07</v>
      </c>
      <c r="J253" t="s">
        <v>28</v>
      </c>
      <c r="K253" t="s">
        <v>29</v>
      </c>
      <c r="L253">
        <f t="shared" si="3"/>
        <v>12213.63</v>
      </c>
    </row>
    <row r="254" spans="1:12" x14ac:dyDescent="0.3">
      <c r="A254" t="s">
        <v>952</v>
      </c>
      <c r="B254" t="s">
        <v>214</v>
      </c>
      <c r="C254" t="s">
        <v>953</v>
      </c>
      <c r="D254" t="s">
        <v>954</v>
      </c>
      <c r="E254" t="s">
        <v>56</v>
      </c>
      <c r="F254" t="s">
        <v>48</v>
      </c>
      <c r="G254" t="s">
        <v>63</v>
      </c>
      <c r="H254">
        <v>4</v>
      </c>
      <c r="I254">
        <v>2076.96</v>
      </c>
      <c r="J254" t="s">
        <v>50</v>
      </c>
      <c r="K254" t="s">
        <v>20</v>
      </c>
      <c r="L254">
        <f t="shared" si="3"/>
        <v>8307.84</v>
      </c>
    </row>
    <row r="255" spans="1:12" x14ac:dyDescent="0.3">
      <c r="A255" t="s">
        <v>955</v>
      </c>
      <c r="B255" t="s">
        <v>238</v>
      </c>
      <c r="C255" t="s">
        <v>956</v>
      </c>
      <c r="D255" t="s">
        <v>957</v>
      </c>
      <c r="E255" t="s">
        <v>104</v>
      </c>
      <c r="F255" t="s">
        <v>26</v>
      </c>
      <c r="G255" t="s">
        <v>296</v>
      </c>
      <c r="H255">
        <v>5</v>
      </c>
      <c r="I255">
        <v>4759.13</v>
      </c>
      <c r="J255" t="s">
        <v>50</v>
      </c>
      <c r="K255" t="s">
        <v>36</v>
      </c>
      <c r="L255">
        <f t="shared" si="3"/>
        <v>23795.65</v>
      </c>
    </row>
    <row r="256" spans="1:12" x14ac:dyDescent="0.3">
      <c r="A256" t="s">
        <v>958</v>
      </c>
      <c r="B256" t="s">
        <v>163</v>
      </c>
      <c r="C256" t="s">
        <v>959</v>
      </c>
      <c r="D256" t="s">
        <v>960</v>
      </c>
      <c r="E256" t="s">
        <v>62</v>
      </c>
      <c r="F256" t="s">
        <v>26</v>
      </c>
      <c r="G256" t="s">
        <v>115</v>
      </c>
      <c r="H256">
        <v>9</v>
      </c>
      <c r="I256">
        <v>1711.18</v>
      </c>
      <c r="J256" t="s">
        <v>28</v>
      </c>
      <c r="K256" t="s">
        <v>29</v>
      </c>
      <c r="L256">
        <f t="shared" si="3"/>
        <v>15400.62</v>
      </c>
    </row>
    <row r="257" spans="1:12" x14ac:dyDescent="0.3">
      <c r="A257" t="s">
        <v>961</v>
      </c>
      <c r="B257" t="s">
        <v>419</v>
      </c>
      <c r="C257" t="s">
        <v>962</v>
      </c>
      <c r="D257" t="s">
        <v>963</v>
      </c>
      <c r="E257" t="s">
        <v>95</v>
      </c>
      <c r="F257" t="s">
        <v>77</v>
      </c>
      <c r="G257" t="s">
        <v>78</v>
      </c>
      <c r="H257">
        <v>8</v>
      </c>
      <c r="I257">
        <v>593.64</v>
      </c>
      <c r="J257" t="s">
        <v>28</v>
      </c>
      <c r="K257" t="s">
        <v>83</v>
      </c>
      <c r="L257">
        <f t="shared" si="3"/>
        <v>4749.12</v>
      </c>
    </row>
    <row r="258" spans="1:12" x14ac:dyDescent="0.3">
      <c r="A258" t="s">
        <v>964</v>
      </c>
      <c r="B258" t="s">
        <v>965</v>
      </c>
      <c r="C258" t="s">
        <v>966</v>
      </c>
      <c r="D258" t="s">
        <v>967</v>
      </c>
      <c r="E258" t="s">
        <v>128</v>
      </c>
      <c r="F258" t="s">
        <v>26</v>
      </c>
      <c r="G258" t="s">
        <v>115</v>
      </c>
      <c r="H258">
        <v>4</v>
      </c>
      <c r="I258">
        <v>4139.0200000000004</v>
      </c>
      <c r="J258" t="s">
        <v>19</v>
      </c>
      <c r="K258" t="s">
        <v>83</v>
      </c>
      <c r="L258">
        <f t="shared" si="3"/>
        <v>16556.080000000002</v>
      </c>
    </row>
    <row r="259" spans="1:12" x14ac:dyDescent="0.3">
      <c r="A259" t="s">
        <v>968</v>
      </c>
      <c r="B259" t="s">
        <v>969</v>
      </c>
      <c r="C259" t="s">
        <v>186</v>
      </c>
      <c r="D259" t="s">
        <v>970</v>
      </c>
      <c r="E259" t="s">
        <v>104</v>
      </c>
      <c r="F259" t="s">
        <v>26</v>
      </c>
      <c r="G259" t="s">
        <v>208</v>
      </c>
      <c r="H259">
        <v>9</v>
      </c>
      <c r="I259">
        <v>3728.57</v>
      </c>
      <c r="J259" t="s">
        <v>50</v>
      </c>
      <c r="K259" t="s">
        <v>20</v>
      </c>
      <c r="L259">
        <f t="shared" ref="L259:L322" si="4">H259*I259</f>
        <v>33557.130000000005</v>
      </c>
    </row>
    <row r="260" spans="1:12" x14ac:dyDescent="0.3">
      <c r="A260" t="s">
        <v>971</v>
      </c>
      <c r="B260" t="s">
        <v>904</v>
      </c>
      <c r="C260" t="s">
        <v>972</v>
      </c>
      <c r="D260" t="s">
        <v>61</v>
      </c>
      <c r="E260" t="s">
        <v>95</v>
      </c>
      <c r="F260" t="s">
        <v>26</v>
      </c>
      <c r="G260" t="s">
        <v>296</v>
      </c>
      <c r="H260">
        <v>3</v>
      </c>
      <c r="I260">
        <v>1306.17</v>
      </c>
      <c r="J260" t="s">
        <v>42</v>
      </c>
      <c r="K260" t="s">
        <v>20</v>
      </c>
      <c r="L260">
        <f t="shared" si="4"/>
        <v>3918.51</v>
      </c>
    </row>
    <row r="261" spans="1:12" x14ac:dyDescent="0.3">
      <c r="A261" t="s">
        <v>973</v>
      </c>
      <c r="B261" t="s">
        <v>974</v>
      </c>
      <c r="C261" t="s">
        <v>975</v>
      </c>
      <c r="D261" t="s">
        <v>976</v>
      </c>
      <c r="E261" t="s">
        <v>104</v>
      </c>
      <c r="F261" t="s">
        <v>17</v>
      </c>
      <c r="G261" t="s">
        <v>18</v>
      </c>
      <c r="H261">
        <v>8</v>
      </c>
      <c r="I261">
        <v>4574.95</v>
      </c>
      <c r="J261" t="s">
        <v>42</v>
      </c>
      <c r="K261" t="s">
        <v>51</v>
      </c>
      <c r="L261">
        <f t="shared" si="4"/>
        <v>36599.599999999999</v>
      </c>
    </row>
    <row r="262" spans="1:12" x14ac:dyDescent="0.3">
      <c r="A262" t="s">
        <v>977</v>
      </c>
      <c r="B262" t="s">
        <v>978</v>
      </c>
      <c r="C262" t="s">
        <v>979</v>
      </c>
      <c r="D262" t="s">
        <v>933</v>
      </c>
      <c r="E262" t="s">
        <v>56</v>
      </c>
      <c r="F262" t="s">
        <v>17</v>
      </c>
      <c r="G262" t="s">
        <v>35</v>
      </c>
      <c r="H262">
        <v>7</v>
      </c>
      <c r="I262">
        <v>105.82</v>
      </c>
      <c r="J262" t="s">
        <v>19</v>
      </c>
      <c r="K262" t="s">
        <v>83</v>
      </c>
      <c r="L262">
        <f t="shared" si="4"/>
        <v>740.74</v>
      </c>
    </row>
    <row r="263" spans="1:12" x14ac:dyDescent="0.3">
      <c r="A263" t="s">
        <v>980</v>
      </c>
      <c r="B263" t="s">
        <v>393</v>
      </c>
      <c r="C263" t="s">
        <v>981</v>
      </c>
      <c r="D263" t="s">
        <v>982</v>
      </c>
      <c r="E263" t="s">
        <v>62</v>
      </c>
      <c r="F263" t="s">
        <v>26</v>
      </c>
      <c r="G263" t="s">
        <v>208</v>
      </c>
      <c r="H263">
        <v>4</v>
      </c>
      <c r="I263">
        <v>4615.93</v>
      </c>
      <c r="J263" t="s">
        <v>28</v>
      </c>
      <c r="K263" t="s">
        <v>20</v>
      </c>
      <c r="L263">
        <f t="shared" si="4"/>
        <v>18463.72</v>
      </c>
    </row>
    <row r="264" spans="1:12" x14ac:dyDescent="0.3">
      <c r="A264" t="s">
        <v>983</v>
      </c>
      <c r="B264" t="s">
        <v>155</v>
      </c>
      <c r="C264" t="s">
        <v>984</v>
      </c>
      <c r="D264" t="s">
        <v>407</v>
      </c>
      <c r="E264" t="s">
        <v>104</v>
      </c>
      <c r="F264" t="s">
        <v>77</v>
      </c>
      <c r="G264" t="s">
        <v>123</v>
      </c>
      <c r="H264">
        <v>9</v>
      </c>
      <c r="I264">
        <v>3469.57</v>
      </c>
      <c r="J264" t="s">
        <v>42</v>
      </c>
      <c r="K264" t="s">
        <v>29</v>
      </c>
      <c r="L264">
        <f t="shared" si="4"/>
        <v>31226.13</v>
      </c>
    </row>
    <row r="265" spans="1:12" x14ac:dyDescent="0.3">
      <c r="A265" t="s">
        <v>985</v>
      </c>
      <c r="B265" t="s">
        <v>483</v>
      </c>
      <c r="C265" t="s">
        <v>594</v>
      </c>
      <c r="D265" t="s">
        <v>986</v>
      </c>
      <c r="E265" t="s">
        <v>25</v>
      </c>
      <c r="F265" t="s">
        <v>26</v>
      </c>
      <c r="G265" t="s">
        <v>208</v>
      </c>
      <c r="H265">
        <v>5</v>
      </c>
      <c r="I265">
        <v>1098.1400000000001</v>
      </c>
      <c r="J265" t="s">
        <v>50</v>
      </c>
      <c r="K265" t="s">
        <v>43</v>
      </c>
      <c r="L265">
        <f t="shared" si="4"/>
        <v>5490.7000000000007</v>
      </c>
    </row>
    <row r="266" spans="1:12" x14ac:dyDescent="0.3">
      <c r="A266" t="s">
        <v>987</v>
      </c>
      <c r="B266" t="s">
        <v>988</v>
      </c>
      <c r="C266" t="s">
        <v>580</v>
      </c>
      <c r="D266" t="s">
        <v>989</v>
      </c>
      <c r="E266" t="s">
        <v>25</v>
      </c>
      <c r="F266" t="s">
        <v>26</v>
      </c>
      <c r="G266" t="s">
        <v>115</v>
      </c>
      <c r="H266">
        <v>3</v>
      </c>
      <c r="I266">
        <v>1610.75</v>
      </c>
      <c r="J266" t="s">
        <v>19</v>
      </c>
      <c r="K266" t="s">
        <v>83</v>
      </c>
      <c r="L266">
        <f t="shared" si="4"/>
        <v>4832.25</v>
      </c>
    </row>
    <row r="267" spans="1:12" x14ac:dyDescent="0.3">
      <c r="A267" t="s">
        <v>990</v>
      </c>
      <c r="B267" t="s">
        <v>991</v>
      </c>
      <c r="C267" t="s">
        <v>992</v>
      </c>
      <c r="D267" t="s">
        <v>993</v>
      </c>
      <c r="E267" t="s">
        <v>25</v>
      </c>
      <c r="F267" t="s">
        <v>17</v>
      </c>
      <c r="G267" t="s">
        <v>41</v>
      </c>
      <c r="H267">
        <v>1</v>
      </c>
      <c r="I267">
        <v>4954.99</v>
      </c>
      <c r="J267" t="s">
        <v>42</v>
      </c>
      <c r="K267" t="s">
        <v>83</v>
      </c>
      <c r="L267">
        <f t="shared" si="4"/>
        <v>4954.99</v>
      </c>
    </row>
    <row r="268" spans="1:12" x14ac:dyDescent="0.3">
      <c r="A268" t="s">
        <v>994</v>
      </c>
      <c r="B268" t="s">
        <v>593</v>
      </c>
      <c r="C268" t="s">
        <v>820</v>
      </c>
      <c r="D268" t="s">
        <v>670</v>
      </c>
      <c r="E268" t="s">
        <v>34</v>
      </c>
      <c r="F268" t="s">
        <v>77</v>
      </c>
      <c r="G268" t="s">
        <v>265</v>
      </c>
      <c r="H268">
        <v>1</v>
      </c>
      <c r="I268">
        <v>401.52</v>
      </c>
      <c r="J268" t="s">
        <v>42</v>
      </c>
      <c r="K268" t="s">
        <v>51</v>
      </c>
      <c r="L268">
        <f t="shared" si="4"/>
        <v>401.52</v>
      </c>
    </row>
    <row r="269" spans="1:12" x14ac:dyDescent="0.3">
      <c r="A269" t="s">
        <v>995</v>
      </c>
      <c r="B269" t="s">
        <v>996</v>
      </c>
      <c r="C269" t="s">
        <v>997</v>
      </c>
      <c r="D269" t="s">
        <v>998</v>
      </c>
      <c r="E269" t="s">
        <v>95</v>
      </c>
      <c r="F269" t="s">
        <v>48</v>
      </c>
      <c r="G269" t="s">
        <v>179</v>
      </c>
      <c r="H269">
        <v>9</v>
      </c>
      <c r="I269">
        <v>3628.83</v>
      </c>
      <c r="J269" t="s">
        <v>50</v>
      </c>
      <c r="K269" t="s">
        <v>20</v>
      </c>
      <c r="L269">
        <f t="shared" si="4"/>
        <v>32659.47</v>
      </c>
    </row>
    <row r="270" spans="1:12" x14ac:dyDescent="0.3">
      <c r="A270" t="s">
        <v>999</v>
      </c>
      <c r="B270" t="s">
        <v>464</v>
      </c>
      <c r="C270" t="s">
        <v>1000</v>
      </c>
      <c r="D270" t="s">
        <v>1001</v>
      </c>
      <c r="E270" t="s">
        <v>25</v>
      </c>
      <c r="F270" t="s">
        <v>77</v>
      </c>
      <c r="G270" t="s">
        <v>105</v>
      </c>
      <c r="H270">
        <v>6</v>
      </c>
      <c r="I270">
        <v>1684.57</v>
      </c>
      <c r="J270" t="s">
        <v>19</v>
      </c>
      <c r="K270" t="s">
        <v>51</v>
      </c>
      <c r="L270">
        <f t="shared" si="4"/>
        <v>10107.42</v>
      </c>
    </row>
    <row r="271" spans="1:12" x14ac:dyDescent="0.3">
      <c r="A271" t="s">
        <v>1002</v>
      </c>
      <c r="B271" t="s">
        <v>1003</v>
      </c>
      <c r="C271" t="s">
        <v>1004</v>
      </c>
      <c r="D271" t="s">
        <v>656</v>
      </c>
      <c r="E271" t="s">
        <v>34</v>
      </c>
      <c r="F271" t="s">
        <v>48</v>
      </c>
      <c r="G271" t="s">
        <v>110</v>
      </c>
      <c r="H271">
        <v>5</v>
      </c>
      <c r="I271">
        <v>1481.54</v>
      </c>
      <c r="J271" t="s">
        <v>28</v>
      </c>
      <c r="K271" t="s">
        <v>83</v>
      </c>
      <c r="L271">
        <f t="shared" si="4"/>
        <v>7407.7</v>
      </c>
    </row>
    <row r="272" spans="1:12" x14ac:dyDescent="0.3">
      <c r="A272" t="s">
        <v>1005</v>
      </c>
      <c r="B272" t="s">
        <v>1006</v>
      </c>
      <c r="C272" t="s">
        <v>1007</v>
      </c>
      <c r="D272" t="s">
        <v>835</v>
      </c>
      <c r="E272" t="s">
        <v>25</v>
      </c>
      <c r="F272" t="s">
        <v>17</v>
      </c>
      <c r="G272" t="s">
        <v>188</v>
      </c>
      <c r="H272">
        <v>8</v>
      </c>
      <c r="I272">
        <v>4470.0200000000004</v>
      </c>
      <c r="J272" t="s">
        <v>50</v>
      </c>
      <c r="K272" t="s">
        <v>36</v>
      </c>
      <c r="L272">
        <f t="shared" si="4"/>
        <v>35760.160000000003</v>
      </c>
    </row>
    <row r="273" spans="1:12" x14ac:dyDescent="0.3">
      <c r="A273" t="s">
        <v>1008</v>
      </c>
      <c r="B273" t="s">
        <v>494</v>
      </c>
      <c r="C273" t="s">
        <v>1009</v>
      </c>
      <c r="D273" t="s">
        <v>875</v>
      </c>
      <c r="E273" t="s">
        <v>25</v>
      </c>
      <c r="F273" t="s">
        <v>77</v>
      </c>
      <c r="G273" t="s">
        <v>171</v>
      </c>
      <c r="H273">
        <v>1</v>
      </c>
      <c r="I273">
        <v>3746.07</v>
      </c>
      <c r="J273" t="s">
        <v>42</v>
      </c>
      <c r="K273" t="s">
        <v>83</v>
      </c>
      <c r="L273">
        <f t="shared" si="4"/>
        <v>3746.07</v>
      </c>
    </row>
    <row r="274" spans="1:12" x14ac:dyDescent="0.3">
      <c r="A274" t="s">
        <v>1010</v>
      </c>
      <c r="B274" t="s">
        <v>1011</v>
      </c>
      <c r="C274" t="s">
        <v>1012</v>
      </c>
      <c r="D274" t="s">
        <v>1013</v>
      </c>
      <c r="E274" t="s">
        <v>34</v>
      </c>
      <c r="F274" t="s">
        <v>26</v>
      </c>
      <c r="G274" t="s">
        <v>115</v>
      </c>
      <c r="H274">
        <v>10</v>
      </c>
      <c r="I274">
        <v>51.08</v>
      </c>
      <c r="J274" t="s">
        <v>28</v>
      </c>
      <c r="K274" t="s">
        <v>51</v>
      </c>
      <c r="L274">
        <f t="shared" si="4"/>
        <v>510.79999999999995</v>
      </c>
    </row>
    <row r="275" spans="1:12" x14ac:dyDescent="0.3">
      <c r="A275" t="s">
        <v>1014</v>
      </c>
      <c r="B275" t="s">
        <v>1015</v>
      </c>
      <c r="C275" t="s">
        <v>1016</v>
      </c>
      <c r="D275" t="s">
        <v>1017</v>
      </c>
      <c r="E275" t="s">
        <v>95</v>
      </c>
      <c r="F275" t="s">
        <v>77</v>
      </c>
      <c r="G275" t="s">
        <v>105</v>
      </c>
      <c r="H275">
        <v>4</v>
      </c>
      <c r="I275">
        <v>4914.71</v>
      </c>
      <c r="J275" t="s">
        <v>28</v>
      </c>
      <c r="K275" t="s">
        <v>43</v>
      </c>
      <c r="L275">
        <f t="shared" si="4"/>
        <v>19658.84</v>
      </c>
    </row>
    <row r="276" spans="1:12" x14ac:dyDescent="0.3">
      <c r="A276" t="s">
        <v>1018</v>
      </c>
      <c r="B276" t="s">
        <v>1019</v>
      </c>
      <c r="C276" t="s">
        <v>344</v>
      </c>
      <c r="D276" t="s">
        <v>1020</v>
      </c>
      <c r="E276" t="s">
        <v>34</v>
      </c>
      <c r="F276" t="s">
        <v>17</v>
      </c>
      <c r="G276" t="s">
        <v>35</v>
      </c>
      <c r="H276">
        <v>6</v>
      </c>
      <c r="I276">
        <v>554.15</v>
      </c>
      <c r="J276" t="s">
        <v>50</v>
      </c>
      <c r="K276" t="s">
        <v>36</v>
      </c>
      <c r="L276">
        <f t="shared" si="4"/>
        <v>3324.8999999999996</v>
      </c>
    </row>
    <row r="277" spans="1:12" x14ac:dyDescent="0.3">
      <c r="A277" t="s">
        <v>1021</v>
      </c>
      <c r="B277" t="s">
        <v>176</v>
      </c>
      <c r="C277" t="s">
        <v>1022</v>
      </c>
      <c r="D277" t="s">
        <v>1023</v>
      </c>
      <c r="E277" t="s">
        <v>16</v>
      </c>
      <c r="F277" t="s">
        <v>17</v>
      </c>
      <c r="G277" t="s">
        <v>41</v>
      </c>
      <c r="H277">
        <v>5</v>
      </c>
      <c r="I277">
        <v>3809.6</v>
      </c>
      <c r="J277" t="s">
        <v>42</v>
      </c>
      <c r="K277" t="s">
        <v>51</v>
      </c>
      <c r="L277">
        <f t="shared" si="4"/>
        <v>19048</v>
      </c>
    </row>
    <row r="278" spans="1:12" x14ac:dyDescent="0.3">
      <c r="A278" t="s">
        <v>1024</v>
      </c>
      <c r="B278" t="s">
        <v>1025</v>
      </c>
      <c r="C278" t="s">
        <v>1026</v>
      </c>
      <c r="D278" t="s">
        <v>1027</v>
      </c>
      <c r="E278" t="s">
        <v>95</v>
      </c>
      <c r="F278" t="s">
        <v>26</v>
      </c>
      <c r="G278" t="s">
        <v>296</v>
      </c>
      <c r="H278">
        <v>10</v>
      </c>
      <c r="I278">
        <v>4976.0600000000004</v>
      </c>
      <c r="J278" t="s">
        <v>50</v>
      </c>
      <c r="K278" t="s">
        <v>83</v>
      </c>
      <c r="L278">
        <f t="shared" si="4"/>
        <v>49760.600000000006</v>
      </c>
    </row>
    <row r="279" spans="1:12" x14ac:dyDescent="0.3">
      <c r="A279" t="s">
        <v>1028</v>
      </c>
      <c r="B279" t="s">
        <v>873</v>
      </c>
      <c r="C279" t="s">
        <v>1029</v>
      </c>
      <c r="D279" t="s">
        <v>40</v>
      </c>
      <c r="E279" t="s">
        <v>128</v>
      </c>
      <c r="F279" t="s">
        <v>26</v>
      </c>
      <c r="G279" t="s">
        <v>166</v>
      </c>
      <c r="H279">
        <v>1</v>
      </c>
      <c r="I279">
        <v>1640.64</v>
      </c>
      <c r="J279" t="s">
        <v>28</v>
      </c>
      <c r="K279" t="s">
        <v>83</v>
      </c>
      <c r="L279">
        <f t="shared" si="4"/>
        <v>1640.64</v>
      </c>
    </row>
    <row r="280" spans="1:12" x14ac:dyDescent="0.3">
      <c r="A280" t="s">
        <v>1030</v>
      </c>
      <c r="B280" t="s">
        <v>914</v>
      </c>
      <c r="C280" t="s">
        <v>66</v>
      </c>
      <c r="D280" t="s">
        <v>998</v>
      </c>
      <c r="E280" t="s">
        <v>95</v>
      </c>
      <c r="F280" t="s">
        <v>26</v>
      </c>
      <c r="G280" t="s">
        <v>166</v>
      </c>
      <c r="H280">
        <v>4</v>
      </c>
      <c r="I280">
        <v>4341.32</v>
      </c>
      <c r="J280" t="s">
        <v>28</v>
      </c>
      <c r="K280" t="s">
        <v>83</v>
      </c>
      <c r="L280">
        <f t="shared" si="4"/>
        <v>17365.28</v>
      </c>
    </row>
    <row r="281" spans="1:12" x14ac:dyDescent="0.3">
      <c r="A281" t="s">
        <v>1031</v>
      </c>
      <c r="B281" t="s">
        <v>1032</v>
      </c>
      <c r="C281" t="s">
        <v>1033</v>
      </c>
      <c r="D281" t="s">
        <v>1034</v>
      </c>
      <c r="E281" t="s">
        <v>128</v>
      </c>
      <c r="F281" t="s">
        <v>17</v>
      </c>
      <c r="G281" t="s">
        <v>18</v>
      </c>
      <c r="H281">
        <v>9</v>
      </c>
      <c r="I281">
        <v>1553.01</v>
      </c>
      <c r="J281" t="s">
        <v>28</v>
      </c>
      <c r="K281" t="s">
        <v>83</v>
      </c>
      <c r="L281">
        <f t="shared" si="4"/>
        <v>13977.09</v>
      </c>
    </row>
    <row r="282" spans="1:12" x14ac:dyDescent="0.3">
      <c r="A282" t="s">
        <v>1035</v>
      </c>
      <c r="B282" t="s">
        <v>426</v>
      </c>
      <c r="C282" t="s">
        <v>1036</v>
      </c>
      <c r="D282" t="s">
        <v>1037</v>
      </c>
      <c r="E282" t="s">
        <v>16</v>
      </c>
      <c r="F282" t="s">
        <v>48</v>
      </c>
      <c r="G282" t="s">
        <v>49</v>
      </c>
      <c r="H282">
        <v>8</v>
      </c>
      <c r="I282">
        <v>2962.81</v>
      </c>
      <c r="J282" t="s">
        <v>28</v>
      </c>
      <c r="K282" t="s">
        <v>43</v>
      </c>
      <c r="L282">
        <f t="shared" si="4"/>
        <v>23702.48</v>
      </c>
    </row>
    <row r="283" spans="1:12" x14ac:dyDescent="0.3">
      <c r="A283" t="s">
        <v>1038</v>
      </c>
      <c r="B283" t="s">
        <v>1039</v>
      </c>
      <c r="C283" t="s">
        <v>1040</v>
      </c>
      <c r="D283" t="s">
        <v>1041</v>
      </c>
      <c r="E283" t="s">
        <v>95</v>
      </c>
      <c r="F283" t="s">
        <v>48</v>
      </c>
      <c r="G283" t="s">
        <v>179</v>
      </c>
      <c r="H283">
        <v>3</v>
      </c>
      <c r="I283">
        <v>2934.26</v>
      </c>
      <c r="J283" t="s">
        <v>28</v>
      </c>
      <c r="K283" t="s">
        <v>20</v>
      </c>
      <c r="L283">
        <f t="shared" si="4"/>
        <v>8802.7800000000007</v>
      </c>
    </row>
    <row r="284" spans="1:12" x14ac:dyDescent="0.3">
      <c r="A284" t="s">
        <v>1042</v>
      </c>
      <c r="B284" t="s">
        <v>230</v>
      </c>
      <c r="C284" t="s">
        <v>446</v>
      </c>
      <c r="D284" t="s">
        <v>1043</v>
      </c>
      <c r="E284" t="s">
        <v>128</v>
      </c>
      <c r="F284" t="s">
        <v>26</v>
      </c>
      <c r="G284" t="s">
        <v>166</v>
      </c>
      <c r="H284">
        <v>3</v>
      </c>
      <c r="I284">
        <v>3425.97</v>
      </c>
      <c r="J284" t="s">
        <v>19</v>
      </c>
      <c r="K284" t="s">
        <v>83</v>
      </c>
      <c r="L284">
        <f t="shared" si="4"/>
        <v>10277.91</v>
      </c>
    </row>
    <row r="285" spans="1:12" x14ac:dyDescent="0.3">
      <c r="A285" t="s">
        <v>1044</v>
      </c>
      <c r="B285" t="s">
        <v>1045</v>
      </c>
      <c r="C285" t="s">
        <v>1046</v>
      </c>
      <c r="D285" t="s">
        <v>1047</v>
      </c>
      <c r="E285" t="s">
        <v>16</v>
      </c>
      <c r="F285" t="s">
        <v>26</v>
      </c>
      <c r="G285" t="s">
        <v>115</v>
      </c>
      <c r="H285">
        <v>3</v>
      </c>
      <c r="I285">
        <v>1083.9000000000001</v>
      </c>
      <c r="J285" t="s">
        <v>50</v>
      </c>
      <c r="K285" t="s">
        <v>51</v>
      </c>
      <c r="L285">
        <f t="shared" si="4"/>
        <v>3251.7000000000003</v>
      </c>
    </row>
    <row r="286" spans="1:12" x14ac:dyDescent="0.3">
      <c r="A286" t="s">
        <v>1048</v>
      </c>
      <c r="B286" t="s">
        <v>750</v>
      </c>
      <c r="C286" t="s">
        <v>1049</v>
      </c>
      <c r="D286" t="s">
        <v>1050</v>
      </c>
      <c r="E286" t="s">
        <v>34</v>
      </c>
      <c r="F286" t="s">
        <v>26</v>
      </c>
      <c r="G286" t="s">
        <v>115</v>
      </c>
      <c r="H286">
        <v>4</v>
      </c>
      <c r="I286">
        <v>588.19000000000005</v>
      </c>
      <c r="J286" t="s">
        <v>19</v>
      </c>
      <c r="K286" t="s">
        <v>29</v>
      </c>
      <c r="L286">
        <f t="shared" si="4"/>
        <v>2352.7600000000002</v>
      </c>
    </row>
    <row r="287" spans="1:12" x14ac:dyDescent="0.3">
      <c r="A287" t="s">
        <v>1051</v>
      </c>
      <c r="B287" t="s">
        <v>1052</v>
      </c>
      <c r="C287" t="s">
        <v>1053</v>
      </c>
      <c r="D287" t="s">
        <v>289</v>
      </c>
      <c r="E287" t="s">
        <v>16</v>
      </c>
      <c r="F287" t="s">
        <v>17</v>
      </c>
      <c r="G287" t="s">
        <v>188</v>
      </c>
      <c r="H287">
        <v>7</v>
      </c>
      <c r="I287">
        <v>535.13</v>
      </c>
      <c r="J287" t="s">
        <v>42</v>
      </c>
      <c r="K287" t="s">
        <v>43</v>
      </c>
      <c r="L287">
        <f t="shared" si="4"/>
        <v>3745.91</v>
      </c>
    </row>
    <row r="288" spans="1:12" x14ac:dyDescent="0.3">
      <c r="A288" t="s">
        <v>1054</v>
      </c>
      <c r="B288" t="s">
        <v>59</v>
      </c>
      <c r="C288" t="s">
        <v>1055</v>
      </c>
      <c r="D288" t="s">
        <v>1056</v>
      </c>
      <c r="E288" t="s">
        <v>95</v>
      </c>
      <c r="F288" t="s">
        <v>26</v>
      </c>
      <c r="G288" t="s">
        <v>166</v>
      </c>
      <c r="H288">
        <v>8</v>
      </c>
      <c r="I288">
        <v>2449.63</v>
      </c>
      <c r="J288" t="s">
        <v>28</v>
      </c>
      <c r="K288" t="s">
        <v>43</v>
      </c>
      <c r="L288">
        <f t="shared" si="4"/>
        <v>19597.04</v>
      </c>
    </row>
    <row r="289" spans="1:12" x14ac:dyDescent="0.3">
      <c r="A289" t="s">
        <v>1057</v>
      </c>
      <c r="B289" t="s">
        <v>1058</v>
      </c>
      <c r="C289" t="s">
        <v>1059</v>
      </c>
      <c r="D289" t="s">
        <v>1060</v>
      </c>
      <c r="E289" t="s">
        <v>25</v>
      </c>
      <c r="F289" t="s">
        <v>26</v>
      </c>
      <c r="G289" t="s">
        <v>115</v>
      </c>
      <c r="H289">
        <v>9</v>
      </c>
      <c r="I289">
        <v>4367.42</v>
      </c>
      <c r="J289" t="s">
        <v>19</v>
      </c>
      <c r="K289" t="s">
        <v>43</v>
      </c>
      <c r="L289">
        <f t="shared" si="4"/>
        <v>39306.78</v>
      </c>
    </row>
    <row r="290" spans="1:12" x14ac:dyDescent="0.3">
      <c r="A290" t="s">
        <v>1061</v>
      </c>
      <c r="B290" t="s">
        <v>393</v>
      </c>
      <c r="C290" t="s">
        <v>1062</v>
      </c>
      <c r="D290" t="s">
        <v>1063</v>
      </c>
      <c r="E290" t="s">
        <v>95</v>
      </c>
      <c r="F290" t="s">
        <v>48</v>
      </c>
      <c r="G290" t="s">
        <v>63</v>
      </c>
      <c r="H290">
        <v>1</v>
      </c>
      <c r="I290">
        <v>3048.12</v>
      </c>
      <c r="J290" t="s">
        <v>28</v>
      </c>
      <c r="K290" t="s">
        <v>51</v>
      </c>
      <c r="L290">
        <f t="shared" si="4"/>
        <v>3048.12</v>
      </c>
    </row>
    <row r="291" spans="1:12" x14ac:dyDescent="0.3">
      <c r="A291" t="s">
        <v>1064</v>
      </c>
      <c r="B291" t="s">
        <v>676</v>
      </c>
      <c r="C291" t="s">
        <v>1065</v>
      </c>
      <c r="D291" t="s">
        <v>792</v>
      </c>
      <c r="E291" t="s">
        <v>128</v>
      </c>
      <c r="F291" t="s">
        <v>48</v>
      </c>
      <c r="G291" t="s">
        <v>57</v>
      </c>
      <c r="H291">
        <v>4</v>
      </c>
      <c r="I291">
        <v>1747.65</v>
      </c>
      <c r="J291" t="s">
        <v>19</v>
      </c>
      <c r="K291" t="s">
        <v>51</v>
      </c>
      <c r="L291">
        <f t="shared" si="4"/>
        <v>6990.6</v>
      </c>
    </row>
    <row r="292" spans="1:12" x14ac:dyDescent="0.3">
      <c r="A292" t="s">
        <v>1066</v>
      </c>
      <c r="B292" t="s">
        <v>1067</v>
      </c>
      <c r="C292" t="s">
        <v>1068</v>
      </c>
      <c r="D292" t="s">
        <v>157</v>
      </c>
      <c r="E292" t="s">
        <v>56</v>
      </c>
      <c r="F292" t="s">
        <v>48</v>
      </c>
      <c r="G292" t="s">
        <v>57</v>
      </c>
      <c r="H292">
        <v>8</v>
      </c>
      <c r="I292">
        <v>2835.49</v>
      </c>
      <c r="J292" t="s">
        <v>19</v>
      </c>
      <c r="K292" t="s">
        <v>51</v>
      </c>
      <c r="L292">
        <f t="shared" si="4"/>
        <v>22683.919999999998</v>
      </c>
    </row>
    <row r="293" spans="1:12" x14ac:dyDescent="0.3">
      <c r="A293" t="s">
        <v>1069</v>
      </c>
      <c r="B293" t="s">
        <v>1070</v>
      </c>
      <c r="C293" t="s">
        <v>688</v>
      </c>
      <c r="D293" t="s">
        <v>1071</v>
      </c>
      <c r="E293" t="s">
        <v>95</v>
      </c>
      <c r="F293" t="s">
        <v>26</v>
      </c>
      <c r="G293" t="s">
        <v>166</v>
      </c>
      <c r="H293">
        <v>4</v>
      </c>
      <c r="I293">
        <v>3412.98</v>
      </c>
      <c r="J293" t="s">
        <v>50</v>
      </c>
      <c r="K293" t="s">
        <v>20</v>
      </c>
      <c r="L293">
        <f t="shared" si="4"/>
        <v>13651.92</v>
      </c>
    </row>
    <row r="294" spans="1:12" x14ac:dyDescent="0.3">
      <c r="A294" t="s">
        <v>1072</v>
      </c>
      <c r="B294" t="s">
        <v>579</v>
      </c>
      <c r="C294" t="s">
        <v>1073</v>
      </c>
      <c r="D294" t="s">
        <v>867</v>
      </c>
      <c r="E294" t="s">
        <v>104</v>
      </c>
      <c r="F294" t="s">
        <v>77</v>
      </c>
      <c r="G294" t="s">
        <v>78</v>
      </c>
      <c r="H294">
        <v>2</v>
      </c>
      <c r="I294">
        <v>769.68</v>
      </c>
      <c r="J294" t="s">
        <v>50</v>
      </c>
      <c r="K294" t="s">
        <v>51</v>
      </c>
      <c r="L294">
        <f t="shared" si="4"/>
        <v>1539.36</v>
      </c>
    </row>
    <row r="295" spans="1:12" x14ac:dyDescent="0.3">
      <c r="A295" t="s">
        <v>1074</v>
      </c>
      <c r="B295" t="s">
        <v>1075</v>
      </c>
      <c r="C295" t="s">
        <v>1076</v>
      </c>
      <c r="D295" t="s">
        <v>1077</v>
      </c>
      <c r="E295" t="s">
        <v>128</v>
      </c>
      <c r="F295" t="s">
        <v>17</v>
      </c>
      <c r="G295" t="s">
        <v>41</v>
      </c>
      <c r="H295">
        <v>1</v>
      </c>
      <c r="I295">
        <v>4939.38</v>
      </c>
      <c r="J295" t="s">
        <v>50</v>
      </c>
      <c r="K295" t="s">
        <v>20</v>
      </c>
      <c r="L295">
        <f t="shared" si="4"/>
        <v>4939.38</v>
      </c>
    </row>
    <row r="296" spans="1:12" x14ac:dyDescent="0.3">
      <c r="A296" t="s">
        <v>1078</v>
      </c>
      <c r="B296" t="s">
        <v>1079</v>
      </c>
      <c r="C296" t="s">
        <v>1080</v>
      </c>
      <c r="D296" t="s">
        <v>1081</v>
      </c>
      <c r="E296" t="s">
        <v>34</v>
      </c>
      <c r="F296" t="s">
        <v>48</v>
      </c>
      <c r="G296" t="s">
        <v>49</v>
      </c>
      <c r="H296">
        <v>5</v>
      </c>
      <c r="I296">
        <v>2340.17</v>
      </c>
      <c r="J296" t="s">
        <v>42</v>
      </c>
      <c r="K296" t="s">
        <v>29</v>
      </c>
      <c r="L296">
        <f t="shared" si="4"/>
        <v>11700.85</v>
      </c>
    </row>
    <row r="297" spans="1:12" x14ac:dyDescent="0.3">
      <c r="A297" t="s">
        <v>1082</v>
      </c>
      <c r="B297" t="s">
        <v>639</v>
      </c>
      <c r="C297" t="s">
        <v>624</v>
      </c>
      <c r="D297" t="s">
        <v>511</v>
      </c>
      <c r="E297" t="s">
        <v>25</v>
      </c>
      <c r="F297" t="s">
        <v>17</v>
      </c>
      <c r="G297" t="s">
        <v>188</v>
      </c>
      <c r="H297">
        <v>3</v>
      </c>
      <c r="I297">
        <v>1218.0999999999999</v>
      </c>
      <c r="J297" t="s">
        <v>42</v>
      </c>
      <c r="K297" t="s">
        <v>36</v>
      </c>
      <c r="L297">
        <f t="shared" si="4"/>
        <v>3654.2999999999997</v>
      </c>
    </row>
    <row r="298" spans="1:12" x14ac:dyDescent="0.3">
      <c r="A298" t="s">
        <v>1083</v>
      </c>
      <c r="B298" t="s">
        <v>557</v>
      </c>
      <c r="C298" t="s">
        <v>1084</v>
      </c>
      <c r="D298" t="s">
        <v>1085</v>
      </c>
      <c r="E298" t="s">
        <v>95</v>
      </c>
      <c r="F298" t="s">
        <v>77</v>
      </c>
      <c r="G298" t="s">
        <v>78</v>
      </c>
      <c r="H298">
        <v>7</v>
      </c>
      <c r="I298">
        <v>490.64</v>
      </c>
      <c r="J298" t="s">
        <v>50</v>
      </c>
      <c r="K298" t="s">
        <v>36</v>
      </c>
      <c r="L298">
        <f t="shared" si="4"/>
        <v>3434.48</v>
      </c>
    </row>
    <row r="299" spans="1:12" x14ac:dyDescent="0.3">
      <c r="A299" t="s">
        <v>1086</v>
      </c>
      <c r="B299" t="s">
        <v>780</v>
      </c>
      <c r="C299" t="s">
        <v>1087</v>
      </c>
      <c r="D299" t="s">
        <v>1088</v>
      </c>
      <c r="E299" t="s">
        <v>62</v>
      </c>
      <c r="F299" t="s">
        <v>17</v>
      </c>
      <c r="G299" t="s">
        <v>188</v>
      </c>
      <c r="H299">
        <v>4</v>
      </c>
      <c r="I299">
        <v>4520.18</v>
      </c>
      <c r="J299" t="s">
        <v>50</v>
      </c>
      <c r="K299" t="s">
        <v>51</v>
      </c>
      <c r="L299">
        <f t="shared" si="4"/>
        <v>18080.72</v>
      </c>
    </row>
    <row r="300" spans="1:12" x14ac:dyDescent="0.3">
      <c r="A300" t="s">
        <v>1089</v>
      </c>
      <c r="B300" t="s">
        <v>895</v>
      </c>
      <c r="C300" t="s">
        <v>1090</v>
      </c>
      <c r="D300" t="s">
        <v>1091</v>
      </c>
      <c r="E300" t="s">
        <v>56</v>
      </c>
      <c r="F300" t="s">
        <v>17</v>
      </c>
      <c r="G300" t="s">
        <v>41</v>
      </c>
      <c r="H300">
        <v>2</v>
      </c>
      <c r="I300">
        <v>2394.79</v>
      </c>
      <c r="J300" t="s">
        <v>50</v>
      </c>
      <c r="K300" t="s">
        <v>83</v>
      </c>
      <c r="L300">
        <f t="shared" si="4"/>
        <v>4789.58</v>
      </c>
    </row>
    <row r="301" spans="1:12" x14ac:dyDescent="0.3">
      <c r="A301" t="s">
        <v>1092</v>
      </c>
      <c r="B301" t="s">
        <v>1093</v>
      </c>
      <c r="C301" t="s">
        <v>1094</v>
      </c>
      <c r="D301" t="s">
        <v>1095</v>
      </c>
      <c r="E301" t="s">
        <v>128</v>
      </c>
      <c r="F301" t="s">
        <v>17</v>
      </c>
      <c r="G301" t="s">
        <v>18</v>
      </c>
      <c r="H301">
        <v>3</v>
      </c>
      <c r="I301">
        <v>4847.74</v>
      </c>
      <c r="J301" t="s">
        <v>50</v>
      </c>
      <c r="K301" t="s">
        <v>51</v>
      </c>
      <c r="L301">
        <f t="shared" si="4"/>
        <v>14543.22</v>
      </c>
    </row>
    <row r="302" spans="1:12" x14ac:dyDescent="0.3">
      <c r="A302" t="s">
        <v>1096</v>
      </c>
      <c r="B302" t="s">
        <v>1097</v>
      </c>
      <c r="C302" t="s">
        <v>1098</v>
      </c>
      <c r="D302" t="s">
        <v>1099</v>
      </c>
      <c r="E302" t="s">
        <v>25</v>
      </c>
      <c r="F302" t="s">
        <v>48</v>
      </c>
      <c r="G302" t="s">
        <v>179</v>
      </c>
      <c r="H302">
        <v>2</v>
      </c>
      <c r="I302">
        <v>3276.61</v>
      </c>
      <c r="J302" t="s">
        <v>42</v>
      </c>
      <c r="K302" t="s">
        <v>83</v>
      </c>
      <c r="L302">
        <f t="shared" si="4"/>
        <v>6553.22</v>
      </c>
    </row>
    <row r="303" spans="1:12" x14ac:dyDescent="0.3">
      <c r="A303" t="s">
        <v>1100</v>
      </c>
      <c r="B303" t="s">
        <v>151</v>
      </c>
      <c r="C303" t="s">
        <v>1101</v>
      </c>
      <c r="D303" t="s">
        <v>1102</v>
      </c>
      <c r="E303" t="s">
        <v>16</v>
      </c>
      <c r="F303" t="s">
        <v>26</v>
      </c>
      <c r="G303" t="s">
        <v>296</v>
      </c>
      <c r="H303">
        <v>6</v>
      </c>
      <c r="I303">
        <v>3446.15</v>
      </c>
      <c r="J303" t="s">
        <v>19</v>
      </c>
      <c r="K303" t="s">
        <v>20</v>
      </c>
      <c r="L303">
        <f t="shared" si="4"/>
        <v>20676.900000000001</v>
      </c>
    </row>
    <row r="304" spans="1:12" x14ac:dyDescent="0.3">
      <c r="A304" t="s">
        <v>1103</v>
      </c>
      <c r="B304" t="s">
        <v>630</v>
      </c>
      <c r="C304" t="s">
        <v>263</v>
      </c>
      <c r="D304" t="s">
        <v>863</v>
      </c>
      <c r="E304" t="s">
        <v>62</v>
      </c>
      <c r="F304" t="s">
        <v>48</v>
      </c>
      <c r="G304" t="s">
        <v>57</v>
      </c>
      <c r="H304">
        <v>10</v>
      </c>
      <c r="I304">
        <v>3936.75</v>
      </c>
      <c r="J304" t="s">
        <v>42</v>
      </c>
      <c r="K304" t="s">
        <v>36</v>
      </c>
      <c r="L304">
        <f t="shared" si="4"/>
        <v>39367.5</v>
      </c>
    </row>
    <row r="305" spans="1:12" x14ac:dyDescent="0.3">
      <c r="A305" t="s">
        <v>1104</v>
      </c>
      <c r="B305" t="s">
        <v>1105</v>
      </c>
      <c r="C305" t="s">
        <v>1106</v>
      </c>
      <c r="D305" t="s">
        <v>678</v>
      </c>
      <c r="E305" t="s">
        <v>128</v>
      </c>
      <c r="F305" t="s">
        <v>77</v>
      </c>
      <c r="G305" t="s">
        <v>78</v>
      </c>
      <c r="H305">
        <v>3</v>
      </c>
      <c r="I305">
        <v>1734.71</v>
      </c>
      <c r="J305" t="s">
        <v>28</v>
      </c>
      <c r="K305" t="s">
        <v>20</v>
      </c>
      <c r="L305">
        <f t="shared" si="4"/>
        <v>5204.13</v>
      </c>
    </row>
    <row r="306" spans="1:12" x14ac:dyDescent="0.3">
      <c r="A306" t="s">
        <v>1107</v>
      </c>
      <c r="B306" t="s">
        <v>519</v>
      </c>
      <c r="C306" t="s">
        <v>402</v>
      </c>
      <c r="D306" t="s">
        <v>1108</v>
      </c>
      <c r="E306" t="s">
        <v>104</v>
      </c>
      <c r="F306" t="s">
        <v>26</v>
      </c>
      <c r="G306" t="s">
        <v>208</v>
      </c>
      <c r="H306">
        <v>9</v>
      </c>
      <c r="I306">
        <v>1119.52</v>
      </c>
      <c r="J306" t="s">
        <v>42</v>
      </c>
      <c r="K306" t="s">
        <v>51</v>
      </c>
      <c r="L306">
        <f t="shared" si="4"/>
        <v>10075.68</v>
      </c>
    </row>
    <row r="307" spans="1:12" x14ac:dyDescent="0.3">
      <c r="A307" t="s">
        <v>1109</v>
      </c>
      <c r="B307" t="s">
        <v>1110</v>
      </c>
      <c r="C307" t="s">
        <v>1111</v>
      </c>
      <c r="D307" t="s">
        <v>1060</v>
      </c>
      <c r="E307" t="s">
        <v>104</v>
      </c>
      <c r="F307" t="s">
        <v>26</v>
      </c>
      <c r="G307" t="s">
        <v>208</v>
      </c>
      <c r="H307">
        <v>5</v>
      </c>
      <c r="I307">
        <v>94.01</v>
      </c>
      <c r="J307" t="s">
        <v>19</v>
      </c>
      <c r="K307" t="s">
        <v>43</v>
      </c>
      <c r="L307">
        <f t="shared" si="4"/>
        <v>470.05</v>
      </c>
    </row>
    <row r="308" spans="1:12" x14ac:dyDescent="0.3">
      <c r="A308" t="s">
        <v>1112</v>
      </c>
      <c r="B308" t="s">
        <v>1113</v>
      </c>
      <c r="C308" t="s">
        <v>617</v>
      </c>
      <c r="D308" t="s">
        <v>1114</v>
      </c>
      <c r="E308" t="s">
        <v>25</v>
      </c>
      <c r="F308" t="s">
        <v>77</v>
      </c>
      <c r="G308" t="s">
        <v>78</v>
      </c>
      <c r="H308">
        <v>3</v>
      </c>
      <c r="I308">
        <v>4412.05</v>
      </c>
      <c r="J308" t="s">
        <v>19</v>
      </c>
      <c r="K308" t="s">
        <v>83</v>
      </c>
      <c r="L308">
        <f t="shared" si="4"/>
        <v>13236.150000000001</v>
      </c>
    </row>
    <row r="309" spans="1:12" x14ac:dyDescent="0.3">
      <c r="A309" t="s">
        <v>1115</v>
      </c>
      <c r="B309" t="s">
        <v>1019</v>
      </c>
      <c r="C309" t="s">
        <v>1116</v>
      </c>
      <c r="D309" t="s">
        <v>1117</v>
      </c>
      <c r="E309" t="s">
        <v>104</v>
      </c>
      <c r="F309" t="s">
        <v>48</v>
      </c>
      <c r="G309" t="s">
        <v>49</v>
      </c>
      <c r="H309">
        <v>3</v>
      </c>
      <c r="I309">
        <v>1558.63</v>
      </c>
      <c r="J309" t="s">
        <v>19</v>
      </c>
      <c r="K309" t="s">
        <v>29</v>
      </c>
      <c r="L309">
        <f t="shared" si="4"/>
        <v>4675.8900000000003</v>
      </c>
    </row>
    <row r="310" spans="1:12" x14ac:dyDescent="0.3">
      <c r="A310" t="s">
        <v>1118</v>
      </c>
      <c r="B310" t="s">
        <v>1119</v>
      </c>
      <c r="C310" t="s">
        <v>1120</v>
      </c>
      <c r="D310" t="s">
        <v>1121</v>
      </c>
      <c r="E310" t="s">
        <v>16</v>
      </c>
      <c r="F310" t="s">
        <v>26</v>
      </c>
      <c r="G310" t="s">
        <v>115</v>
      </c>
      <c r="H310">
        <v>6</v>
      </c>
      <c r="I310">
        <v>2916.86</v>
      </c>
      <c r="J310" t="s">
        <v>28</v>
      </c>
      <c r="K310" t="s">
        <v>51</v>
      </c>
      <c r="L310">
        <f t="shared" si="4"/>
        <v>17501.16</v>
      </c>
    </row>
    <row r="311" spans="1:12" x14ac:dyDescent="0.3">
      <c r="A311" t="s">
        <v>1122</v>
      </c>
      <c r="B311" t="s">
        <v>924</v>
      </c>
      <c r="C311" t="s">
        <v>1123</v>
      </c>
      <c r="D311" t="s">
        <v>1124</v>
      </c>
      <c r="E311" t="s">
        <v>56</v>
      </c>
      <c r="F311" t="s">
        <v>77</v>
      </c>
      <c r="G311" t="s">
        <v>105</v>
      </c>
      <c r="H311">
        <v>2</v>
      </c>
      <c r="I311">
        <v>3830.28</v>
      </c>
      <c r="J311" t="s">
        <v>42</v>
      </c>
      <c r="K311" t="s">
        <v>20</v>
      </c>
      <c r="L311">
        <f t="shared" si="4"/>
        <v>7660.56</v>
      </c>
    </row>
    <row r="312" spans="1:12" x14ac:dyDescent="0.3">
      <c r="A312" t="s">
        <v>1125</v>
      </c>
      <c r="B312" t="s">
        <v>130</v>
      </c>
      <c r="C312" t="s">
        <v>1126</v>
      </c>
      <c r="D312" t="s">
        <v>132</v>
      </c>
      <c r="E312" t="s">
        <v>128</v>
      </c>
      <c r="F312" t="s">
        <v>17</v>
      </c>
      <c r="G312" t="s">
        <v>18</v>
      </c>
      <c r="H312">
        <v>3</v>
      </c>
      <c r="I312">
        <v>859.49</v>
      </c>
      <c r="J312" t="s">
        <v>28</v>
      </c>
      <c r="K312" t="s">
        <v>51</v>
      </c>
      <c r="L312">
        <f t="shared" si="4"/>
        <v>2578.4700000000003</v>
      </c>
    </row>
    <row r="313" spans="1:12" x14ac:dyDescent="0.3">
      <c r="A313" t="s">
        <v>1127</v>
      </c>
      <c r="B313" t="s">
        <v>238</v>
      </c>
      <c r="C313" t="s">
        <v>1128</v>
      </c>
      <c r="D313" t="s">
        <v>1129</v>
      </c>
      <c r="E313" t="s">
        <v>95</v>
      </c>
      <c r="F313" t="s">
        <v>48</v>
      </c>
      <c r="G313" t="s">
        <v>49</v>
      </c>
      <c r="H313">
        <v>3</v>
      </c>
      <c r="I313">
        <v>4485.72</v>
      </c>
      <c r="J313" t="s">
        <v>19</v>
      </c>
      <c r="K313" t="s">
        <v>43</v>
      </c>
      <c r="L313">
        <f t="shared" si="4"/>
        <v>13457.16</v>
      </c>
    </row>
    <row r="314" spans="1:12" x14ac:dyDescent="0.3">
      <c r="A314" t="s">
        <v>1130</v>
      </c>
      <c r="B314" t="s">
        <v>1131</v>
      </c>
      <c r="C314" t="s">
        <v>1132</v>
      </c>
      <c r="D314" t="s">
        <v>220</v>
      </c>
      <c r="E314" t="s">
        <v>34</v>
      </c>
      <c r="F314" t="s">
        <v>17</v>
      </c>
      <c r="G314" t="s">
        <v>188</v>
      </c>
      <c r="H314">
        <v>10</v>
      </c>
      <c r="I314">
        <v>4521.1000000000004</v>
      </c>
      <c r="J314" t="s">
        <v>42</v>
      </c>
      <c r="K314" t="s">
        <v>29</v>
      </c>
      <c r="L314">
        <f t="shared" si="4"/>
        <v>45211</v>
      </c>
    </row>
    <row r="315" spans="1:12" x14ac:dyDescent="0.3">
      <c r="A315" t="s">
        <v>1133</v>
      </c>
      <c r="B315" t="s">
        <v>1003</v>
      </c>
      <c r="C315" t="s">
        <v>572</v>
      </c>
      <c r="D315" t="s">
        <v>1134</v>
      </c>
      <c r="E315" t="s">
        <v>25</v>
      </c>
      <c r="F315" t="s">
        <v>77</v>
      </c>
      <c r="G315" t="s">
        <v>105</v>
      </c>
      <c r="H315">
        <v>3</v>
      </c>
      <c r="I315">
        <v>3097.09</v>
      </c>
      <c r="J315" t="s">
        <v>28</v>
      </c>
      <c r="K315" t="s">
        <v>51</v>
      </c>
      <c r="L315">
        <f t="shared" si="4"/>
        <v>9291.27</v>
      </c>
    </row>
    <row r="316" spans="1:12" x14ac:dyDescent="0.3">
      <c r="A316" t="s">
        <v>1135</v>
      </c>
      <c r="B316" t="s">
        <v>163</v>
      </c>
      <c r="C316" t="s">
        <v>1136</v>
      </c>
      <c r="D316" t="s">
        <v>1137</v>
      </c>
      <c r="E316" t="s">
        <v>104</v>
      </c>
      <c r="F316" t="s">
        <v>17</v>
      </c>
      <c r="G316" t="s">
        <v>41</v>
      </c>
      <c r="H316">
        <v>7</v>
      </c>
      <c r="I316">
        <v>3588.03</v>
      </c>
      <c r="J316" t="s">
        <v>50</v>
      </c>
      <c r="K316" t="s">
        <v>29</v>
      </c>
      <c r="L316">
        <f t="shared" si="4"/>
        <v>25116.210000000003</v>
      </c>
    </row>
    <row r="317" spans="1:12" x14ac:dyDescent="0.3">
      <c r="A317" t="s">
        <v>1138</v>
      </c>
      <c r="B317" t="s">
        <v>534</v>
      </c>
      <c r="C317" t="s">
        <v>1139</v>
      </c>
      <c r="D317" t="s">
        <v>1140</v>
      </c>
      <c r="E317" t="s">
        <v>95</v>
      </c>
      <c r="F317" t="s">
        <v>48</v>
      </c>
      <c r="G317" t="s">
        <v>49</v>
      </c>
      <c r="H317">
        <v>5</v>
      </c>
      <c r="I317">
        <v>4072.9</v>
      </c>
      <c r="J317" t="s">
        <v>50</v>
      </c>
      <c r="K317" t="s">
        <v>36</v>
      </c>
      <c r="L317">
        <f t="shared" si="4"/>
        <v>20364.5</v>
      </c>
    </row>
    <row r="318" spans="1:12" x14ac:dyDescent="0.3">
      <c r="A318" t="s">
        <v>1141</v>
      </c>
      <c r="B318" t="s">
        <v>1131</v>
      </c>
      <c r="C318" t="s">
        <v>1142</v>
      </c>
      <c r="D318" t="s">
        <v>256</v>
      </c>
      <c r="E318" t="s">
        <v>16</v>
      </c>
      <c r="F318" t="s">
        <v>48</v>
      </c>
      <c r="G318" t="s">
        <v>179</v>
      </c>
      <c r="H318">
        <v>4</v>
      </c>
      <c r="I318">
        <v>720.78</v>
      </c>
      <c r="J318" t="s">
        <v>42</v>
      </c>
      <c r="K318" t="s">
        <v>51</v>
      </c>
      <c r="L318">
        <f t="shared" si="4"/>
        <v>2883.12</v>
      </c>
    </row>
    <row r="319" spans="1:12" x14ac:dyDescent="0.3">
      <c r="A319" t="s">
        <v>1143</v>
      </c>
      <c r="B319" t="s">
        <v>38</v>
      </c>
      <c r="C319" t="s">
        <v>1144</v>
      </c>
      <c r="D319" t="s">
        <v>1145</v>
      </c>
      <c r="E319" t="s">
        <v>104</v>
      </c>
      <c r="F319" t="s">
        <v>17</v>
      </c>
      <c r="G319" t="s">
        <v>68</v>
      </c>
      <c r="H319">
        <v>3</v>
      </c>
      <c r="I319">
        <v>2978.02</v>
      </c>
      <c r="J319" t="s">
        <v>42</v>
      </c>
      <c r="K319" t="s">
        <v>36</v>
      </c>
      <c r="L319">
        <f t="shared" si="4"/>
        <v>8934.06</v>
      </c>
    </row>
    <row r="320" spans="1:12" x14ac:dyDescent="0.3">
      <c r="A320" t="s">
        <v>1146</v>
      </c>
      <c r="B320" t="s">
        <v>1147</v>
      </c>
      <c r="C320" t="s">
        <v>1148</v>
      </c>
      <c r="D320" t="s">
        <v>1149</v>
      </c>
      <c r="E320" t="s">
        <v>104</v>
      </c>
      <c r="F320" t="s">
        <v>77</v>
      </c>
      <c r="G320" t="s">
        <v>171</v>
      </c>
      <c r="H320">
        <v>2</v>
      </c>
      <c r="I320">
        <v>948.16</v>
      </c>
      <c r="J320" t="s">
        <v>42</v>
      </c>
      <c r="K320" t="s">
        <v>83</v>
      </c>
      <c r="L320">
        <f t="shared" si="4"/>
        <v>1896.32</v>
      </c>
    </row>
    <row r="321" spans="1:12" x14ac:dyDescent="0.3">
      <c r="A321" t="s">
        <v>1150</v>
      </c>
      <c r="B321" t="s">
        <v>1151</v>
      </c>
      <c r="C321" t="s">
        <v>420</v>
      </c>
      <c r="D321" t="s">
        <v>307</v>
      </c>
      <c r="E321" t="s">
        <v>104</v>
      </c>
      <c r="F321" t="s">
        <v>17</v>
      </c>
      <c r="G321" t="s">
        <v>188</v>
      </c>
      <c r="H321">
        <v>6</v>
      </c>
      <c r="I321">
        <v>917.82</v>
      </c>
      <c r="J321" t="s">
        <v>28</v>
      </c>
      <c r="K321" t="s">
        <v>29</v>
      </c>
      <c r="L321">
        <f t="shared" si="4"/>
        <v>5506.92</v>
      </c>
    </row>
    <row r="322" spans="1:12" x14ac:dyDescent="0.3">
      <c r="A322" t="s">
        <v>1152</v>
      </c>
      <c r="B322" t="s">
        <v>1153</v>
      </c>
      <c r="C322" t="s">
        <v>1154</v>
      </c>
      <c r="D322" t="s">
        <v>1155</v>
      </c>
      <c r="E322" t="s">
        <v>104</v>
      </c>
      <c r="F322" t="s">
        <v>17</v>
      </c>
      <c r="G322" t="s">
        <v>18</v>
      </c>
      <c r="H322">
        <v>3</v>
      </c>
      <c r="I322">
        <v>4951.47</v>
      </c>
      <c r="J322" t="s">
        <v>19</v>
      </c>
      <c r="K322" t="s">
        <v>20</v>
      </c>
      <c r="L322">
        <f t="shared" si="4"/>
        <v>14854.41</v>
      </c>
    </row>
    <row r="323" spans="1:12" x14ac:dyDescent="0.3">
      <c r="A323" t="s">
        <v>1156</v>
      </c>
      <c r="B323" t="s">
        <v>1157</v>
      </c>
      <c r="C323" t="s">
        <v>1158</v>
      </c>
      <c r="D323" t="s">
        <v>1159</v>
      </c>
      <c r="E323" t="s">
        <v>34</v>
      </c>
      <c r="F323" t="s">
        <v>17</v>
      </c>
      <c r="G323" t="s">
        <v>41</v>
      </c>
      <c r="H323">
        <v>10</v>
      </c>
      <c r="I323">
        <v>397.41</v>
      </c>
      <c r="J323" t="s">
        <v>42</v>
      </c>
      <c r="K323" t="s">
        <v>51</v>
      </c>
      <c r="L323">
        <f t="shared" ref="L323:L386" si="5">H323*I323</f>
        <v>3974.1000000000004</v>
      </c>
    </row>
    <row r="324" spans="1:12" x14ac:dyDescent="0.3">
      <c r="A324" t="s">
        <v>1160</v>
      </c>
      <c r="B324" t="s">
        <v>1161</v>
      </c>
      <c r="C324" t="s">
        <v>1162</v>
      </c>
      <c r="D324" t="s">
        <v>1163</v>
      </c>
      <c r="E324" t="s">
        <v>25</v>
      </c>
      <c r="F324" t="s">
        <v>17</v>
      </c>
      <c r="G324" t="s">
        <v>18</v>
      </c>
      <c r="H324">
        <v>6</v>
      </c>
      <c r="I324">
        <v>4942.93</v>
      </c>
      <c r="J324" t="s">
        <v>42</v>
      </c>
      <c r="K324" t="s">
        <v>36</v>
      </c>
      <c r="L324">
        <f t="shared" si="5"/>
        <v>29657.58</v>
      </c>
    </row>
    <row r="325" spans="1:12" x14ac:dyDescent="0.3">
      <c r="A325" t="s">
        <v>1164</v>
      </c>
      <c r="B325" t="s">
        <v>1165</v>
      </c>
      <c r="C325" t="s">
        <v>1166</v>
      </c>
      <c r="D325" t="s">
        <v>1167</v>
      </c>
      <c r="E325" t="s">
        <v>104</v>
      </c>
      <c r="F325" t="s">
        <v>26</v>
      </c>
      <c r="G325" t="s">
        <v>27</v>
      </c>
      <c r="H325">
        <v>8</v>
      </c>
      <c r="I325">
        <v>1675.07</v>
      </c>
      <c r="J325" t="s">
        <v>19</v>
      </c>
      <c r="K325" t="s">
        <v>43</v>
      </c>
      <c r="L325">
        <f t="shared" si="5"/>
        <v>13400.56</v>
      </c>
    </row>
    <row r="326" spans="1:12" x14ac:dyDescent="0.3">
      <c r="A326" t="s">
        <v>1168</v>
      </c>
      <c r="B326" t="s">
        <v>1169</v>
      </c>
      <c r="C326" t="s">
        <v>1170</v>
      </c>
      <c r="D326" t="s">
        <v>1171</v>
      </c>
      <c r="E326" t="s">
        <v>16</v>
      </c>
      <c r="F326" t="s">
        <v>77</v>
      </c>
      <c r="G326" t="s">
        <v>105</v>
      </c>
      <c r="H326">
        <v>5</v>
      </c>
      <c r="I326">
        <v>4245.41</v>
      </c>
      <c r="J326" t="s">
        <v>50</v>
      </c>
      <c r="K326" t="s">
        <v>43</v>
      </c>
      <c r="L326">
        <f t="shared" si="5"/>
        <v>21227.05</v>
      </c>
    </row>
    <row r="327" spans="1:12" x14ac:dyDescent="0.3">
      <c r="A327" t="s">
        <v>1172</v>
      </c>
      <c r="B327" t="s">
        <v>1173</v>
      </c>
      <c r="C327" t="s">
        <v>760</v>
      </c>
      <c r="D327" t="s">
        <v>1174</v>
      </c>
      <c r="E327" t="s">
        <v>56</v>
      </c>
      <c r="F327" t="s">
        <v>26</v>
      </c>
      <c r="G327" t="s">
        <v>166</v>
      </c>
      <c r="H327">
        <v>8</v>
      </c>
      <c r="I327">
        <v>1266.4000000000001</v>
      </c>
      <c r="J327" t="s">
        <v>50</v>
      </c>
      <c r="K327" t="s">
        <v>20</v>
      </c>
      <c r="L327">
        <f t="shared" si="5"/>
        <v>10131.200000000001</v>
      </c>
    </row>
    <row r="328" spans="1:12" x14ac:dyDescent="0.3">
      <c r="A328" t="s">
        <v>1175</v>
      </c>
      <c r="B328" t="s">
        <v>1157</v>
      </c>
      <c r="C328" t="s">
        <v>1176</v>
      </c>
      <c r="D328" t="s">
        <v>1177</v>
      </c>
      <c r="E328" t="s">
        <v>104</v>
      </c>
      <c r="F328" t="s">
        <v>48</v>
      </c>
      <c r="G328" t="s">
        <v>63</v>
      </c>
      <c r="H328">
        <v>2</v>
      </c>
      <c r="I328">
        <v>2415.35</v>
      </c>
      <c r="J328" t="s">
        <v>28</v>
      </c>
      <c r="K328" t="s">
        <v>83</v>
      </c>
      <c r="L328">
        <f t="shared" si="5"/>
        <v>4830.7</v>
      </c>
    </row>
    <row r="329" spans="1:12" x14ac:dyDescent="0.3">
      <c r="A329" t="s">
        <v>1178</v>
      </c>
      <c r="B329" t="s">
        <v>1179</v>
      </c>
      <c r="C329" t="s">
        <v>1029</v>
      </c>
      <c r="D329" t="s">
        <v>697</v>
      </c>
      <c r="E329" t="s">
        <v>104</v>
      </c>
      <c r="F329" t="s">
        <v>26</v>
      </c>
      <c r="G329" t="s">
        <v>166</v>
      </c>
      <c r="H329">
        <v>1</v>
      </c>
      <c r="I329">
        <v>4868.6000000000004</v>
      </c>
      <c r="J329" t="s">
        <v>28</v>
      </c>
      <c r="K329" t="s">
        <v>83</v>
      </c>
      <c r="L329">
        <f t="shared" si="5"/>
        <v>4868.6000000000004</v>
      </c>
    </row>
    <row r="330" spans="1:12" x14ac:dyDescent="0.3">
      <c r="A330" t="s">
        <v>1180</v>
      </c>
      <c r="B330" t="s">
        <v>1181</v>
      </c>
      <c r="C330" t="s">
        <v>1182</v>
      </c>
      <c r="D330" t="s">
        <v>559</v>
      </c>
      <c r="E330" t="s">
        <v>128</v>
      </c>
      <c r="F330" t="s">
        <v>77</v>
      </c>
      <c r="G330" t="s">
        <v>105</v>
      </c>
      <c r="H330">
        <v>6</v>
      </c>
      <c r="I330">
        <v>192.49</v>
      </c>
      <c r="J330" t="s">
        <v>19</v>
      </c>
      <c r="K330" t="s">
        <v>51</v>
      </c>
      <c r="L330">
        <f t="shared" si="5"/>
        <v>1154.94</v>
      </c>
    </row>
    <row r="331" spans="1:12" x14ac:dyDescent="0.3">
      <c r="A331" t="s">
        <v>1183</v>
      </c>
      <c r="B331" t="s">
        <v>134</v>
      </c>
      <c r="C331" t="s">
        <v>1184</v>
      </c>
      <c r="D331" t="s">
        <v>462</v>
      </c>
      <c r="E331" t="s">
        <v>25</v>
      </c>
      <c r="F331" t="s">
        <v>26</v>
      </c>
      <c r="G331" t="s">
        <v>27</v>
      </c>
      <c r="H331">
        <v>5</v>
      </c>
      <c r="I331">
        <v>3085.5</v>
      </c>
      <c r="J331" t="s">
        <v>42</v>
      </c>
      <c r="K331" t="s">
        <v>51</v>
      </c>
      <c r="L331">
        <f t="shared" si="5"/>
        <v>15427.5</v>
      </c>
    </row>
    <row r="332" spans="1:12" x14ac:dyDescent="0.3">
      <c r="A332" t="s">
        <v>1185</v>
      </c>
      <c r="B332" t="s">
        <v>1186</v>
      </c>
      <c r="C332" t="s">
        <v>1187</v>
      </c>
      <c r="D332" t="s">
        <v>1188</v>
      </c>
      <c r="E332" t="s">
        <v>62</v>
      </c>
      <c r="F332" t="s">
        <v>26</v>
      </c>
      <c r="G332" t="s">
        <v>27</v>
      </c>
      <c r="H332">
        <v>1</v>
      </c>
      <c r="I332">
        <v>3445.19</v>
      </c>
      <c r="J332" t="s">
        <v>19</v>
      </c>
      <c r="K332" t="s">
        <v>29</v>
      </c>
      <c r="L332">
        <f t="shared" si="5"/>
        <v>3445.19</v>
      </c>
    </row>
    <row r="333" spans="1:12" x14ac:dyDescent="0.3">
      <c r="A333" t="s">
        <v>1189</v>
      </c>
      <c r="B333" t="s">
        <v>1190</v>
      </c>
      <c r="C333" t="s">
        <v>1191</v>
      </c>
      <c r="D333" t="s">
        <v>1192</v>
      </c>
      <c r="E333" t="s">
        <v>95</v>
      </c>
      <c r="F333" t="s">
        <v>17</v>
      </c>
      <c r="G333" t="s">
        <v>188</v>
      </c>
      <c r="H333">
        <v>7</v>
      </c>
      <c r="I333">
        <v>4729.24</v>
      </c>
      <c r="J333" t="s">
        <v>50</v>
      </c>
      <c r="K333" t="s">
        <v>29</v>
      </c>
      <c r="L333">
        <f t="shared" si="5"/>
        <v>33104.68</v>
      </c>
    </row>
    <row r="334" spans="1:12" x14ac:dyDescent="0.3">
      <c r="A334" t="s">
        <v>1193</v>
      </c>
      <c r="B334" t="s">
        <v>1194</v>
      </c>
      <c r="C334" t="s">
        <v>1195</v>
      </c>
      <c r="D334" t="s">
        <v>1196</v>
      </c>
      <c r="E334" t="s">
        <v>95</v>
      </c>
      <c r="F334" t="s">
        <v>26</v>
      </c>
      <c r="G334" t="s">
        <v>208</v>
      </c>
      <c r="H334">
        <v>5</v>
      </c>
      <c r="I334">
        <v>3491.38</v>
      </c>
      <c r="J334" t="s">
        <v>50</v>
      </c>
      <c r="K334" t="s">
        <v>83</v>
      </c>
      <c r="L334">
        <f t="shared" si="5"/>
        <v>17456.900000000001</v>
      </c>
    </row>
    <row r="335" spans="1:12" x14ac:dyDescent="0.3">
      <c r="A335" t="s">
        <v>1197</v>
      </c>
      <c r="B335" t="s">
        <v>706</v>
      </c>
      <c r="C335" t="s">
        <v>1198</v>
      </c>
      <c r="D335" t="s">
        <v>1199</v>
      </c>
      <c r="E335" t="s">
        <v>128</v>
      </c>
      <c r="F335" t="s">
        <v>77</v>
      </c>
      <c r="G335" t="s">
        <v>265</v>
      </c>
      <c r="H335">
        <v>10</v>
      </c>
      <c r="I335">
        <v>3056.54</v>
      </c>
      <c r="J335" t="s">
        <v>50</v>
      </c>
      <c r="K335" t="s">
        <v>36</v>
      </c>
      <c r="L335">
        <f t="shared" si="5"/>
        <v>30565.4</v>
      </c>
    </row>
    <row r="336" spans="1:12" x14ac:dyDescent="0.3">
      <c r="A336" t="s">
        <v>1200</v>
      </c>
      <c r="B336" t="s">
        <v>716</v>
      </c>
      <c r="C336" t="s">
        <v>1201</v>
      </c>
      <c r="D336" t="s">
        <v>1202</v>
      </c>
      <c r="E336" t="s">
        <v>104</v>
      </c>
      <c r="F336" t="s">
        <v>17</v>
      </c>
      <c r="G336" t="s">
        <v>35</v>
      </c>
      <c r="H336">
        <v>1</v>
      </c>
      <c r="I336">
        <v>1415.99</v>
      </c>
      <c r="J336" t="s">
        <v>19</v>
      </c>
      <c r="K336" t="s">
        <v>51</v>
      </c>
      <c r="L336">
        <f t="shared" si="5"/>
        <v>1415.99</v>
      </c>
    </row>
    <row r="337" spans="1:12" x14ac:dyDescent="0.3">
      <c r="A337" t="s">
        <v>1203</v>
      </c>
      <c r="B337" t="s">
        <v>1204</v>
      </c>
      <c r="C337" t="s">
        <v>1205</v>
      </c>
      <c r="D337" t="s">
        <v>1206</v>
      </c>
      <c r="E337" t="s">
        <v>16</v>
      </c>
      <c r="F337" t="s">
        <v>26</v>
      </c>
      <c r="G337" t="s">
        <v>166</v>
      </c>
      <c r="H337">
        <v>4</v>
      </c>
      <c r="I337">
        <v>4243.46</v>
      </c>
      <c r="J337" t="s">
        <v>42</v>
      </c>
      <c r="K337" t="s">
        <v>29</v>
      </c>
      <c r="L337">
        <f t="shared" si="5"/>
        <v>16973.84</v>
      </c>
    </row>
    <row r="338" spans="1:12" x14ac:dyDescent="0.3">
      <c r="A338" t="s">
        <v>1207</v>
      </c>
      <c r="B338" t="s">
        <v>168</v>
      </c>
      <c r="C338" t="s">
        <v>1016</v>
      </c>
      <c r="D338" t="s">
        <v>963</v>
      </c>
      <c r="E338" t="s">
        <v>128</v>
      </c>
      <c r="F338" t="s">
        <v>17</v>
      </c>
      <c r="G338" t="s">
        <v>18</v>
      </c>
      <c r="H338">
        <v>2</v>
      </c>
      <c r="I338">
        <v>3841.22</v>
      </c>
      <c r="J338" t="s">
        <v>42</v>
      </c>
      <c r="K338" t="s">
        <v>43</v>
      </c>
      <c r="L338">
        <f t="shared" si="5"/>
        <v>7682.44</v>
      </c>
    </row>
    <row r="339" spans="1:12" x14ac:dyDescent="0.3">
      <c r="A339" t="s">
        <v>1208</v>
      </c>
      <c r="B339" t="s">
        <v>1209</v>
      </c>
      <c r="C339" t="s">
        <v>972</v>
      </c>
      <c r="D339" t="s">
        <v>1210</v>
      </c>
      <c r="E339" t="s">
        <v>16</v>
      </c>
      <c r="F339" t="s">
        <v>48</v>
      </c>
      <c r="G339" t="s">
        <v>110</v>
      </c>
      <c r="H339">
        <v>9</v>
      </c>
      <c r="I339">
        <v>2018.05</v>
      </c>
      <c r="J339" t="s">
        <v>50</v>
      </c>
      <c r="K339" t="s">
        <v>43</v>
      </c>
      <c r="L339">
        <f t="shared" si="5"/>
        <v>18162.45</v>
      </c>
    </row>
    <row r="340" spans="1:12" x14ac:dyDescent="0.3">
      <c r="A340" t="s">
        <v>1211</v>
      </c>
      <c r="B340" t="s">
        <v>1212</v>
      </c>
      <c r="C340" t="s">
        <v>959</v>
      </c>
      <c r="D340" t="s">
        <v>1213</v>
      </c>
      <c r="E340" t="s">
        <v>128</v>
      </c>
      <c r="F340" t="s">
        <v>48</v>
      </c>
      <c r="G340" t="s">
        <v>49</v>
      </c>
      <c r="H340">
        <v>9</v>
      </c>
      <c r="I340">
        <v>4321.1000000000004</v>
      </c>
      <c r="J340" t="s">
        <v>50</v>
      </c>
      <c r="K340" t="s">
        <v>43</v>
      </c>
      <c r="L340">
        <f t="shared" si="5"/>
        <v>38889.9</v>
      </c>
    </row>
    <row r="341" spans="1:12" x14ac:dyDescent="0.3">
      <c r="A341" t="s">
        <v>1214</v>
      </c>
      <c r="B341" t="s">
        <v>1215</v>
      </c>
      <c r="C341" t="s">
        <v>1216</v>
      </c>
      <c r="D341" t="s">
        <v>1217</v>
      </c>
      <c r="E341" t="s">
        <v>56</v>
      </c>
      <c r="F341" t="s">
        <v>77</v>
      </c>
      <c r="G341" t="s">
        <v>171</v>
      </c>
      <c r="H341">
        <v>10</v>
      </c>
      <c r="I341">
        <v>4758.4799999999996</v>
      </c>
      <c r="J341" t="s">
        <v>28</v>
      </c>
      <c r="K341" t="s">
        <v>83</v>
      </c>
      <c r="L341">
        <f t="shared" si="5"/>
        <v>47584.799999999996</v>
      </c>
    </row>
    <row r="342" spans="1:12" x14ac:dyDescent="0.3">
      <c r="A342" t="s">
        <v>1218</v>
      </c>
      <c r="B342" t="s">
        <v>1219</v>
      </c>
      <c r="C342" t="s">
        <v>943</v>
      </c>
      <c r="D342" t="s">
        <v>1220</v>
      </c>
      <c r="E342" t="s">
        <v>104</v>
      </c>
      <c r="F342" t="s">
        <v>26</v>
      </c>
      <c r="G342" t="s">
        <v>115</v>
      </c>
      <c r="H342">
        <v>1</v>
      </c>
      <c r="I342">
        <v>2295.27</v>
      </c>
      <c r="J342" t="s">
        <v>19</v>
      </c>
      <c r="K342" t="s">
        <v>29</v>
      </c>
      <c r="L342">
        <f t="shared" si="5"/>
        <v>2295.27</v>
      </c>
    </row>
    <row r="343" spans="1:12" x14ac:dyDescent="0.3">
      <c r="A343" t="s">
        <v>1221</v>
      </c>
      <c r="B343" t="s">
        <v>1222</v>
      </c>
      <c r="C343" t="s">
        <v>1223</v>
      </c>
      <c r="D343" t="s">
        <v>1224</v>
      </c>
      <c r="E343" t="s">
        <v>62</v>
      </c>
      <c r="F343" t="s">
        <v>26</v>
      </c>
      <c r="G343" t="s">
        <v>27</v>
      </c>
      <c r="H343">
        <v>4</v>
      </c>
      <c r="I343">
        <v>991.92</v>
      </c>
      <c r="J343" t="s">
        <v>50</v>
      </c>
      <c r="K343" t="s">
        <v>43</v>
      </c>
      <c r="L343">
        <f t="shared" si="5"/>
        <v>3967.68</v>
      </c>
    </row>
    <row r="344" spans="1:12" x14ac:dyDescent="0.3">
      <c r="A344" t="s">
        <v>1225</v>
      </c>
      <c r="B344" t="s">
        <v>1226</v>
      </c>
      <c r="C344" t="s">
        <v>442</v>
      </c>
      <c r="D344" t="s">
        <v>520</v>
      </c>
      <c r="E344" t="s">
        <v>128</v>
      </c>
      <c r="F344" t="s">
        <v>17</v>
      </c>
      <c r="G344" t="s">
        <v>188</v>
      </c>
      <c r="H344">
        <v>5</v>
      </c>
      <c r="I344">
        <v>4637.08</v>
      </c>
      <c r="J344" t="s">
        <v>28</v>
      </c>
      <c r="K344" t="s">
        <v>36</v>
      </c>
      <c r="L344">
        <f t="shared" si="5"/>
        <v>23185.4</v>
      </c>
    </row>
    <row r="345" spans="1:12" x14ac:dyDescent="0.3">
      <c r="A345" t="s">
        <v>1227</v>
      </c>
      <c r="B345" t="s">
        <v>1209</v>
      </c>
      <c r="C345" t="s">
        <v>1228</v>
      </c>
      <c r="D345" t="s">
        <v>1229</v>
      </c>
      <c r="E345" t="s">
        <v>16</v>
      </c>
      <c r="F345" t="s">
        <v>17</v>
      </c>
      <c r="G345" t="s">
        <v>41</v>
      </c>
      <c r="H345">
        <v>7</v>
      </c>
      <c r="I345">
        <v>4424.0200000000004</v>
      </c>
      <c r="J345" t="s">
        <v>19</v>
      </c>
      <c r="K345" t="s">
        <v>51</v>
      </c>
      <c r="L345">
        <f t="shared" si="5"/>
        <v>30968.140000000003</v>
      </c>
    </row>
    <row r="346" spans="1:12" x14ac:dyDescent="0.3">
      <c r="A346" t="s">
        <v>1230</v>
      </c>
      <c r="B346" t="s">
        <v>1231</v>
      </c>
      <c r="C346" t="s">
        <v>1232</v>
      </c>
      <c r="D346" t="s">
        <v>740</v>
      </c>
      <c r="E346" t="s">
        <v>104</v>
      </c>
      <c r="F346" t="s">
        <v>48</v>
      </c>
      <c r="G346" t="s">
        <v>49</v>
      </c>
      <c r="H346">
        <v>10</v>
      </c>
      <c r="I346">
        <v>3635.01</v>
      </c>
      <c r="J346" t="s">
        <v>50</v>
      </c>
      <c r="K346" t="s">
        <v>43</v>
      </c>
      <c r="L346">
        <f t="shared" si="5"/>
        <v>36350.100000000006</v>
      </c>
    </row>
    <row r="347" spans="1:12" x14ac:dyDescent="0.3">
      <c r="A347" t="s">
        <v>1233</v>
      </c>
      <c r="B347" t="s">
        <v>1234</v>
      </c>
      <c r="C347" t="s">
        <v>1235</v>
      </c>
      <c r="D347" t="s">
        <v>520</v>
      </c>
      <c r="E347" t="s">
        <v>56</v>
      </c>
      <c r="F347" t="s">
        <v>48</v>
      </c>
      <c r="G347" t="s">
        <v>57</v>
      </c>
      <c r="H347">
        <v>10</v>
      </c>
      <c r="I347">
        <v>4992.3900000000003</v>
      </c>
      <c r="J347" t="s">
        <v>28</v>
      </c>
      <c r="K347" t="s">
        <v>43</v>
      </c>
      <c r="L347">
        <f t="shared" si="5"/>
        <v>49923.9</v>
      </c>
    </row>
    <row r="348" spans="1:12" x14ac:dyDescent="0.3">
      <c r="A348" t="s">
        <v>1236</v>
      </c>
      <c r="B348" t="s">
        <v>1237</v>
      </c>
      <c r="C348" t="s">
        <v>356</v>
      </c>
      <c r="D348" t="s">
        <v>1238</v>
      </c>
      <c r="E348" t="s">
        <v>128</v>
      </c>
      <c r="F348" t="s">
        <v>17</v>
      </c>
      <c r="G348" t="s">
        <v>35</v>
      </c>
      <c r="H348">
        <v>8</v>
      </c>
      <c r="I348">
        <v>695.29</v>
      </c>
      <c r="J348" t="s">
        <v>28</v>
      </c>
      <c r="K348" t="s">
        <v>43</v>
      </c>
      <c r="L348">
        <f t="shared" si="5"/>
        <v>5562.32</v>
      </c>
    </row>
    <row r="349" spans="1:12" x14ac:dyDescent="0.3">
      <c r="A349" t="s">
        <v>1239</v>
      </c>
      <c r="B349" t="s">
        <v>1240</v>
      </c>
      <c r="C349" t="s">
        <v>1241</v>
      </c>
      <c r="D349" t="s">
        <v>1159</v>
      </c>
      <c r="E349" t="s">
        <v>95</v>
      </c>
      <c r="F349" t="s">
        <v>77</v>
      </c>
      <c r="G349" t="s">
        <v>171</v>
      </c>
      <c r="H349">
        <v>1</v>
      </c>
      <c r="I349">
        <v>3229.42</v>
      </c>
      <c r="J349" t="s">
        <v>50</v>
      </c>
      <c r="K349" t="s">
        <v>20</v>
      </c>
      <c r="L349">
        <f t="shared" si="5"/>
        <v>3229.42</v>
      </c>
    </row>
    <row r="350" spans="1:12" x14ac:dyDescent="0.3">
      <c r="A350" t="s">
        <v>1242</v>
      </c>
      <c r="B350" t="s">
        <v>1243</v>
      </c>
      <c r="C350" t="s">
        <v>1244</v>
      </c>
      <c r="D350" t="s">
        <v>1245</v>
      </c>
      <c r="E350" t="s">
        <v>56</v>
      </c>
      <c r="F350" t="s">
        <v>26</v>
      </c>
      <c r="G350" t="s">
        <v>296</v>
      </c>
      <c r="H350">
        <v>1</v>
      </c>
      <c r="I350">
        <v>2756.08</v>
      </c>
      <c r="J350" t="s">
        <v>28</v>
      </c>
      <c r="K350" t="s">
        <v>51</v>
      </c>
      <c r="L350">
        <f t="shared" si="5"/>
        <v>2756.08</v>
      </c>
    </row>
    <row r="351" spans="1:12" x14ac:dyDescent="0.3">
      <c r="A351" t="s">
        <v>1246</v>
      </c>
      <c r="B351" t="s">
        <v>654</v>
      </c>
      <c r="C351" t="s">
        <v>1247</v>
      </c>
      <c r="D351" t="s">
        <v>1248</v>
      </c>
      <c r="E351" t="s">
        <v>62</v>
      </c>
      <c r="F351" t="s">
        <v>17</v>
      </c>
      <c r="G351" t="s">
        <v>35</v>
      </c>
      <c r="H351">
        <v>3</v>
      </c>
      <c r="I351">
        <v>3295.98</v>
      </c>
      <c r="J351" t="s">
        <v>42</v>
      </c>
      <c r="K351" t="s">
        <v>51</v>
      </c>
      <c r="L351">
        <f t="shared" si="5"/>
        <v>9887.94</v>
      </c>
    </row>
    <row r="352" spans="1:12" x14ac:dyDescent="0.3">
      <c r="A352" t="s">
        <v>1249</v>
      </c>
      <c r="B352" t="s">
        <v>946</v>
      </c>
      <c r="C352" t="s">
        <v>769</v>
      </c>
      <c r="D352" t="s">
        <v>1250</v>
      </c>
      <c r="E352" t="s">
        <v>62</v>
      </c>
      <c r="F352" t="s">
        <v>17</v>
      </c>
      <c r="G352" t="s">
        <v>41</v>
      </c>
      <c r="H352">
        <v>2</v>
      </c>
      <c r="I352">
        <v>4366.03</v>
      </c>
      <c r="J352" t="s">
        <v>28</v>
      </c>
      <c r="K352" t="s">
        <v>29</v>
      </c>
      <c r="L352">
        <f t="shared" si="5"/>
        <v>8732.06</v>
      </c>
    </row>
    <row r="353" spans="1:12" x14ac:dyDescent="0.3">
      <c r="A353" t="s">
        <v>1251</v>
      </c>
      <c r="B353" t="s">
        <v>1252</v>
      </c>
      <c r="C353" t="s">
        <v>1253</v>
      </c>
      <c r="D353" t="s">
        <v>1254</v>
      </c>
      <c r="E353" t="s">
        <v>25</v>
      </c>
      <c r="F353" t="s">
        <v>17</v>
      </c>
      <c r="G353" t="s">
        <v>188</v>
      </c>
      <c r="H353">
        <v>7</v>
      </c>
      <c r="I353">
        <v>4596.51</v>
      </c>
      <c r="J353" t="s">
        <v>50</v>
      </c>
      <c r="K353" t="s">
        <v>51</v>
      </c>
      <c r="L353">
        <f t="shared" si="5"/>
        <v>32175.57</v>
      </c>
    </row>
    <row r="354" spans="1:12" x14ac:dyDescent="0.3">
      <c r="A354" t="s">
        <v>1255</v>
      </c>
      <c r="B354" t="s">
        <v>931</v>
      </c>
      <c r="C354" t="s">
        <v>1256</v>
      </c>
      <c r="D354" t="s">
        <v>678</v>
      </c>
      <c r="E354" t="s">
        <v>62</v>
      </c>
      <c r="F354" t="s">
        <v>77</v>
      </c>
      <c r="G354" t="s">
        <v>105</v>
      </c>
      <c r="H354">
        <v>9</v>
      </c>
      <c r="I354">
        <v>3184.46</v>
      </c>
      <c r="J354" t="s">
        <v>42</v>
      </c>
      <c r="K354" t="s">
        <v>83</v>
      </c>
      <c r="L354">
        <f t="shared" si="5"/>
        <v>28660.14</v>
      </c>
    </row>
    <row r="355" spans="1:12" x14ac:dyDescent="0.3">
      <c r="A355" t="s">
        <v>1257</v>
      </c>
      <c r="B355" t="s">
        <v>1153</v>
      </c>
      <c r="C355" t="s">
        <v>1258</v>
      </c>
      <c r="D355" t="s">
        <v>1259</v>
      </c>
      <c r="E355" t="s">
        <v>25</v>
      </c>
      <c r="F355" t="s">
        <v>77</v>
      </c>
      <c r="G355" t="s">
        <v>105</v>
      </c>
      <c r="H355">
        <v>10</v>
      </c>
      <c r="I355">
        <v>377.6</v>
      </c>
      <c r="J355" t="s">
        <v>42</v>
      </c>
      <c r="K355" t="s">
        <v>29</v>
      </c>
      <c r="L355">
        <f t="shared" si="5"/>
        <v>3776</v>
      </c>
    </row>
    <row r="356" spans="1:12" x14ac:dyDescent="0.3">
      <c r="A356" t="s">
        <v>1260</v>
      </c>
      <c r="B356" t="s">
        <v>1261</v>
      </c>
      <c r="C356" t="s">
        <v>1262</v>
      </c>
      <c r="D356" t="s">
        <v>1263</v>
      </c>
      <c r="E356" t="s">
        <v>128</v>
      </c>
      <c r="F356" t="s">
        <v>17</v>
      </c>
      <c r="G356" t="s">
        <v>188</v>
      </c>
      <c r="H356">
        <v>8</v>
      </c>
      <c r="I356">
        <v>663.92</v>
      </c>
      <c r="J356" t="s">
        <v>28</v>
      </c>
      <c r="K356" t="s">
        <v>36</v>
      </c>
      <c r="L356">
        <f t="shared" si="5"/>
        <v>5311.36</v>
      </c>
    </row>
    <row r="357" spans="1:12" x14ac:dyDescent="0.3">
      <c r="A357" t="s">
        <v>1264</v>
      </c>
      <c r="B357" t="s">
        <v>895</v>
      </c>
      <c r="C357" t="s">
        <v>1265</v>
      </c>
      <c r="D357" t="s">
        <v>1266</v>
      </c>
      <c r="E357" t="s">
        <v>16</v>
      </c>
      <c r="F357" t="s">
        <v>48</v>
      </c>
      <c r="G357" t="s">
        <v>179</v>
      </c>
      <c r="H357">
        <v>6</v>
      </c>
      <c r="I357">
        <v>522.48</v>
      </c>
      <c r="J357" t="s">
        <v>50</v>
      </c>
      <c r="K357" t="s">
        <v>43</v>
      </c>
      <c r="L357">
        <f t="shared" si="5"/>
        <v>3134.88</v>
      </c>
    </row>
    <row r="358" spans="1:12" x14ac:dyDescent="0.3">
      <c r="A358" t="s">
        <v>1267</v>
      </c>
      <c r="B358" t="s">
        <v>1268</v>
      </c>
      <c r="C358" t="s">
        <v>160</v>
      </c>
      <c r="D358" t="s">
        <v>1269</v>
      </c>
      <c r="E358" t="s">
        <v>95</v>
      </c>
      <c r="F358" t="s">
        <v>48</v>
      </c>
      <c r="G358" t="s">
        <v>110</v>
      </c>
      <c r="H358">
        <v>10</v>
      </c>
      <c r="I358">
        <v>4783.49</v>
      </c>
      <c r="J358" t="s">
        <v>42</v>
      </c>
      <c r="K358" t="s">
        <v>20</v>
      </c>
      <c r="L358">
        <f t="shared" si="5"/>
        <v>47834.899999999994</v>
      </c>
    </row>
    <row r="359" spans="1:12" x14ac:dyDescent="0.3">
      <c r="A359" t="s">
        <v>1270</v>
      </c>
      <c r="B359" t="s">
        <v>494</v>
      </c>
      <c r="C359" t="s">
        <v>1271</v>
      </c>
      <c r="D359" t="s">
        <v>1272</v>
      </c>
      <c r="E359" t="s">
        <v>56</v>
      </c>
      <c r="F359" t="s">
        <v>17</v>
      </c>
      <c r="G359" t="s">
        <v>188</v>
      </c>
      <c r="H359">
        <v>1</v>
      </c>
      <c r="I359">
        <v>3502.78</v>
      </c>
      <c r="J359" t="s">
        <v>50</v>
      </c>
      <c r="K359" t="s">
        <v>51</v>
      </c>
      <c r="L359">
        <f t="shared" si="5"/>
        <v>3502.78</v>
      </c>
    </row>
    <row r="360" spans="1:12" x14ac:dyDescent="0.3">
      <c r="A360" t="s">
        <v>1273</v>
      </c>
      <c r="B360" t="s">
        <v>1274</v>
      </c>
      <c r="C360" t="s">
        <v>1275</v>
      </c>
      <c r="D360" t="s">
        <v>1276</v>
      </c>
      <c r="E360" t="s">
        <v>34</v>
      </c>
      <c r="F360" t="s">
        <v>17</v>
      </c>
      <c r="G360" t="s">
        <v>188</v>
      </c>
      <c r="H360">
        <v>3</v>
      </c>
      <c r="I360">
        <v>1902.97</v>
      </c>
      <c r="J360" t="s">
        <v>42</v>
      </c>
      <c r="K360" t="s">
        <v>36</v>
      </c>
      <c r="L360">
        <f t="shared" si="5"/>
        <v>5708.91</v>
      </c>
    </row>
    <row r="361" spans="1:12" x14ac:dyDescent="0.3">
      <c r="A361" t="s">
        <v>1277</v>
      </c>
      <c r="B361" t="s">
        <v>1278</v>
      </c>
      <c r="C361" t="s">
        <v>726</v>
      </c>
      <c r="D361" t="s">
        <v>372</v>
      </c>
      <c r="E361" t="s">
        <v>95</v>
      </c>
      <c r="F361" t="s">
        <v>17</v>
      </c>
      <c r="G361" t="s">
        <v>18</v>
      </c>
      <c r="H361">
        <v>2</v>
      </c>
      <c r="I361">
        <v>4990.53</v>
      </c>
      <c r="J361" t="s">
        <v>50</v>
      </c>
      <c r="K361" t="s">
        <v>36</v>
      </c>
      <c r="L361">
        <f t="shared" si="5"/>
        <v>9981.06</v>
      </c>
    </row>
    <row r="362" spans="1:12" x14ac:dyDescent="0.3">
      <c r="A362" t="s">
        <v>1279</v>
      </c>
      <c r="B362" t="s">
        <v>1280</v>
      </c>
      <c r="C362" t="s">
        <v>1281</v>
      </c>
      <c r="D362" t="s">
        <v>1282</v>
      </c>
      <c r="E362" t="s">
        <v>16</v>
      </c>
      <c r="F362" t="s">
        <v>17</v>
      </c>
      <c r="G362" t="s">
        <v>41</v>
      </c>
      <c r="H362">
        <v>4</v>
      </c>
      <c r="I362">
        <v>2385.5100000000002</v>
      </c>
      <c r="J362" t="s">
        <v>19</v>
      </c>
      <c r="K362" t="s">
        <v>20</v>
      </c>
      <c r="L362">
        <f t="shared" si="5"/>
        <v>9542.0400000000009</v>
      </c>
    </row>
    <row r="363" spans="1:12" x14ac:dyDescent="0.3">
      <c r="A363" t="s">
        <v>1283</v>
      </c>
      <c r="B363" t="s">
        <v>634</v>
      </c>
      <c r="C363" t="s">
        <v>673</v>
      </c>
      <c r="D363" t="s">
        <v>1284</v>
      </c>
      <c r="E363" t="s">
        <v>104</v>
      </c>
      <c r="F363" t="s">
        <v>17</v>
      </c>
      <c r="G363" t="s">
        <v>188</v>
      </c>
      <c r="H363">
        <v>6</v>
      </c>
      <c r="I363">
        <v>4318.12</v>
      </c>
      <c r="J363" t="s">
        <v>19</v>
      </c>
      <c r="K363" t="s">
        <v>36</v>
      </c>
      <c r="L363">
        <f t="shared" si="5"/>
        <v>25908.720000000001</v>
      </c>
    </row>
    <row r="364" spans="1:12" x14ac:dyDescent="0.3">
      <c r="A364" t="s">
        <v>1285</v>
      </c>
      <c r="B364" t="s">
        <v>1286</v>
      </c>
      <c r="C364" t="s">
        <v>1287</v>
      </c>
      <c r="D364" t="s">
        <v>1288</v>
      </c>
      <c r="E364" t="s">
        <v>56</v>
      </c>
      <c r="F364" t="s">
        <v>17</v>
      </c>
      <c r="G364" t="s">
        <v>35</v>
      </c>
      <c r="H364">
        <v>5</v>
      </c>
      <c r="I364">
        <v>4217.55</v>
      </c>
      <c r="J364" t="s">
        <v>19</v>
      </c>
      <c r="K364" t="s">
        <v>83</v>
      </c>
      <c r="L364">
        <f t="shared" si="5"/>
        <v>21087.75</v>
      </c>
    </row>
    <row r="365" spans="1:12" x14ac:dyDescent="0.3">
      <c r="A365" t="s">
        <v>1289</v>
      </c>
      <c r="B365" t="s">
        <v>1290</v>
      </c>
      <c r="C365" t="s">
        <v>1291</v>
      </c>
      <c r="D365" t="s">
        <v>1292</v>
      </c>
      <c r="E365" t="s">
        <v>34</v>
      </c>
      <c r="F365" t="s">
        <v>26</v>
      </c>
      <c r="G365" t="s">
        <v>296</v>
      </c>
      <c r="H365">
        <v>10</v>
      </c>
      <c r="I365">
        <v>2435.7199999999998</v>
      </c>
      <c r="J365" t="s">
        <v>50</v>
      </c>
      <c r="K365" t="s">
        <v>43</v>
      </c>
      <c r="L365">
        <f t="shared" si="5"/>
        <v>24357.199999999997</v>
      </c>
    </row>
    <row r="366" spans="1:12" x14ac:dyDescent="0.3">
      <c r="A366" t="s">
        <v>1293</v>
      </c>
      <c r="B366" t="s">
        <v>385</v>
      </c>
      <c r="C366" t="s">
        <v>1294</v>
      </c>
      <c r="D366" t="s">
        <v>475</v>
      </c>
      <c r="E366" t="s">
        <v>25</v>
      </c>
      <c r="F366" t="s">
        <v>26</v>
      </c>
      <c r="G366" t="s">
        <v>115</v>
      </c>
      <c r="H366">
        <v>2</v>
      </c>
      <c r="I366">
        <v>1010.66</v>
      </c>
      <c r="J366" t="s">
        <v>19</v>
      </c>
      <c r="K366" t="s">
        <v>20</v>
      </c>
      <c r="L366">
        <f t="shared" si="5"/>
        <v>2021.32</v>
      </c>
    </row>
    <row r="367" spans="1:12" x14ac:dyDescent="0.3">
      <c r="A367" t="s">
        <v>1295</v>
      </c>
      <c r="B367" t="s">
        <v>911</v>
      </c>
      <c r="C367" t="s">
        <v>1296</v>
      </c>
      <c r="D367" t="s">
        <v>1297</v>
      </c>
      <c r="E367" t="s">
        <v>62</v>
      </c>
      <c r="F367" t="s">
        <v>26</v>
      </c>
      <c r="G367" t="s">
        <v>115</v>
      </c>
      <c r="H367">
        <v>9</v>
      </c>
      <c r="I367">
        <v>1303.8800000000001</v>
      </c>
      <c r="J367" t="s">
        <v>19</v>
      </c>
      <c r="K367" t="s">
        <v>83</v>
      </c>
      <c r="L367">
        <f t="shared" si="5"/>
        <v>11734.920000000002</v>
      </c>
    </row>
    <row r="368" spans="1:12" x14ac:dyDescent="0.3">
      <c r="A368" t="s">
        <v>1298</v>
      </c>
      <c r="B368" t="s">
        <v>474</v>
      </c>
      <c r="C368" t="s">
        <v>458</v>
      </c>
      <c r="D368" t="s">
        <v>1299</v>
      </c>
      <c r="E368" t="s">
        <v>95</v>
      </c>
      <c r="F368" t="s">
        <v>77</v>
      </c>
      <c r="G368" t="s">
        <v>105</v>
      </c>
      <c r="H368">
        <v>6</v>
      </c>
      <c r="I368">
        <v>4809.37</v>
      </c>
      <c r="J368" t="s">
        <v>50</v>
      </c>
      <c r="K368" t="s">
        <v>51</v>
      </c>
      <c r="L368">
        <f t="shared" si="5"/>
        <v>28856.22</v>
      </c>
    </row>
    <row r="369" spans="1:12" x14ac:dyDescent="0.3">
      <c r="A369" t="s">
        <v>1300</v>
      </c>
      <c r="B369" t="s">
        <v>1301</v>
      </c>
      <c r="C369" t="s">
        <v>1302</v>
      </c>
      <c r="D369" t="s">
        <v>1303</v>
      </c>
      <c r="E369" t="s">
        <v>128</v>
      </c>
      <c r="F369" t="s">
        <v>17</v>
      </c>
      <c r="G369" t="s">
        <v>41</v>
      </c>
      <c r="H369">
        <v>4</v>
      </c>
      <c r="I369">
        <v>308.82</v>
      </c>
      <c r="J369" t="s">
        <v>19</v>
      </c>
      <c r="K369" t="s">
        <v>20</v>
      </c>
      <c r="L369">
        <f t="shared" si="5"/>
        <v>1235.28</v>
      </c>
    </row>
    <row r="370" spans="1:12" x14ac:dyDescent="0.3">
      <c r="A370" t="s">
        <v>1304</v>
      </c>
      <c r="B370" t="s">
        <v>546</v>
      </c>
      <c r="C370" t="s">
        <v>1271</v>
      </c>
      <c r="D370" t="s">
        <v>1305</v>
      </c>
      <c r="E370" t="s">
        <v>128</v>
      </c>
      <c r="F370" t="s">
        <v>26</v>
      </c>
      <c r="G370" t="s">
        <v>115</v>
      </c>
      <c r="H370">
        <v>5</v>
      </c>
      <c r="I370">
        <v>4333.4399999999996</v>
      </c>
      <c r="J370" t="s">
        <v>42</v>
      </c>
      <c r="K370" t="s">
        <v>43</v>
      </c>
      <c r="L370">
        <f t="shared" si="5"/>
        <v>21667.199999999997</v>
      </c>
    </row>
    <row r="371" spans="1:12" x14ac:dyDescent="0.3">
      <c r="A371" t="s">
        <v>1306</v>
      </c>
      <c r="B371" t="s">
        <v>538</v>
      </c>
      <c r="C371" t="s">
        <v>1307</v>
      </c>
      <c r="D371" t="s">
        <v>1308</v>
      </c>
      <c r="E371" t="s">
        <v>128</v>
      </c>
      <c r="F371" t="s">
        <v>26</v>
      </c>
      <c r="G371" t="s">
        <v>166</v>
      </c>
      <c r="H371">
        <v>9</v>
      </c>
      <c r="I371">
        <v>4676.76</v>
      </c>
      <c r="J371" t="s">
        <v>28</v>
      </c>
      <c r="K371" t="s">
        <v>20</v>
      </c>
      <c r="L371">
        <f t="shared" si="5"/>
        <v>42090.840000000004</v>
      </c>
    </row>
    <row r="372" spans="1:12" x14ac:dyDescent="0.3">
      <c r="A372" t="s">
        <v>1309</v>
      </c>
      <c r="B372" t="s">
        <v>1310</v>
      </c>
      <c r="C372" t="s">
        <v>1311</v>
      </c>
      <c r="D372" t="s">
        <v>1312</v>
      </c>
      <c r="E372" t="s">
        <v>95</v>
      </c>
      <c r="F372" t="s">
        <v>48</v>
      </c>
      <c r="G372" t="s">
        <v>49</v>
      </c>
      <c r="H372">
        <v>8</v>
      </c>
      <c r="I372">
        <v>3193.98</v>
      </c>
      <c r="J372" t="s">
        <v>50</v>
      </c>
      <c r="K372" t="s">
        <v>20</v>
      </c>
      <c r="L372">
        <f t="shared" si="5"/>
        <v>25551.84</v>
      </c>
    </row>
    <row r="373" spans="1:12" x14ac:dyDescent="0.3">
      <c r="A373" t="s">
        <v>1313</v>
      </c>
      <c r="B373" t="s">
        <v>271</v>
      </c>
      <c r="C373" t="s">
        <v>1314</v>
      </c>
      <c r="D373" t="s">
        <v>1315</v>
      </c>
      <c r="E373" t="s">
        <v>25</v>
      </c>
      <c r="F373" t="s">
        <v>77</v>
      </c>
      <c r="G373" t="s">
        <v>265</v>
      </c>
      <c r="H373">
        <v>2</v>
      </c>
      <c r="I373">
        <v>2840.09</v>
      </c>
      <c r="J373" t="s">
        <v>28</v>
      </c>
      <c r="K373" t="s">
        <v>43</v>
      </c>
      <c r="L373">
        <f t="shared" si="5"/>
        <v>5680.18</v>
      </c>
    </row>
    <row r="374" spans="1:12" x14ac:dyDescent="0.3">
      <c r="A374" t="s">
        <v>1316</v>
      </c>
      <c r="B374" t="s">
        <v>1317</v>
      </c>
      <c r="C374" t="s">
        <v>1318</v>
      </c>
      <c r="D374" t="s">
        <v>1056</v>
      </c>
      <c r="E374" t="s">
        <v>128</v>
      </c>
      <c r="F374" t="s">
        <v>26</v>
      </c>
      <c r="G374" t="s">
        <v>208</v>
      </c>
      <c r="H374">
        <v>2</v>
      </c>
      <c r="I374">
        <v>3264.99</v>
      </c>
      <c r="J374" t="s">
        <v>50</v>
      </c>
      <c r="K374" t="s">
        <v>51</v>
      </c>
      <c r="L374">
        <f t="shared" si="5"/>
        <v>6529.98</v>
      </c>
    </row>
    <row r="375" spans="1:12" x14ac:dyDescent="0.3">
      <c r="A375" t="s">
        <v>1319</v>
      </c>
      <c r="B375" t="s">
        <v>1320</v>
      </c>
      <c r="C375" t="s">
        <v>1321</v>
      </c>
      <c r="D375" t="s">
        <v>1322</v>
      </c>
      <c r="E375" t="s">
        <v>62</v>
      </c>
      <c r="F375" t="s">
        <v>48</v>
      </c>
      <c r="G375" t="s">
        <v>57</v>
      </c>
      <c r="H375">
        <v>3</v>
      </c>
      <c r="I375">
        <v>3380.22</v>
      </c>
      <c r="J375" t="s">
        <v>50</v>
      </c>
      <c r="K375" t="s">
        <v>83</v>
      </c>
      <c r="L375">
        <f t="shared" si="5"/>
        <v>10140.66</v>
      </c>
    </row>
    <row r="376" spans="1:12" x14ac:dyDescent="0.3">
      <c r="A376" t="s">
        <v>1323</v>
      </c>
      <c r="B376" t="s">
        <v>31</v>
      </c>
      <c r="C376" t="s">
        <v>1324</v>
      </c>
      <c r="D376" t="s">
        <v>1325</v>
      </c>
      <c r="E376" t="s">
        <v>56</v>
      </c>
      <c r="F376" t="s">
        <v>77</v>
      </c>
      <c r="G376" t="s">
        <v>123</v>
      </c>
      <c r="H376">
        <v>7</v>
      </c>
      <c r="I376">
        <v>2131.0300000000002</v>
      </c>
      <c r="J376" t="s">
        <v>28</v>
      </c>
      <c r="K376" t="s">
        <v>43</v>
      </c>
      <c r="L376">
        <f t="shared" si="5"/>
        <v>14917.210000000001</v>
      </c>
    </row>
    <row r="377" spans="1:12" x14ac:dyDescent="0.3">
      <c r="A377" t="s">
        <v>1326</v>
      </c>
      <c r="B377" t="s">
        <v>343</v>
      </c>
      <c r="C377" t="s">
        <v>1327</v>
      </c>
      <c r="D377" t="s">
        <v>1328</v>
      </c>
      <c r="E377" t="s">
        <v>16</v>
      </c>
      <c r="F377" t="s">
        <v>17</v>
      </c>
      <c r="G377" t="s">
        <v>18</v>
      </c>
      <c r="H377">
        <v>7</v>
      </c>
      <c r="I377">
        <v>2294.7600000000002</v>
      </c>
      <c r="J377" t="s">
        <v>42</v>
      </c>
      <c r="K377" t="s">
        <v>36</v>
      </c>
      <c r="L377">
        <f t="shared" si="5"/>
        <v>16063.320000000002</v>
      </c>
    </row>
    <row r="378" spans="1:12" x14ac:dyDescent="0.3">
      <c r="A378" t="s">
        <v>1329</v>
      </c>
      <c r="B378" t="s">
        <v>1330</v>
      </c>
      <c r="C378" t="s">
        <v>1331</v>
      </c>
      <c r="D378" t="s">
        <v>1332</v>
      </c>
      <c r="E378" t="s">
        <v>128</v>
      </c>
      <c r="F378" t="s">
        <v>17</v>
      </c>
      <c r="G378" t="s">
        <v>188</v>
      </c>
      <c r="H378">
        <v>8</v>
      </c>
      <c r="I378">
        <v>4526.37</v>
      </c>
      <c r="J378" t="s">
        <v>50</v>
      </c>
      <c r="K378" t="s">
        <v>51</v>
      </c>
      <c r="L378">
        <f t="shared" si="5"/>
        <v>36210.959999999999</v>
      </c>
    </row>
    <row r="379" spans="1:12" x14ac:dyDescent="0.3">
      <c r="A379" t="s">
        <v>1333</v>
      </c>
      <c r="B379" t="s">
        <v>1334</v>
      </c>
      <c r="C379" t="s">
        <v>1335</v>
      </c>
      <c r="D379" t="s">
        <v>1336</v>
      </c>
      <c r="E379" t="s">
        <v>25</v>
      </c>
      <c r="F379" t="s">
        <v>77</v>
      </c>
      <c r="G379" t="s">
        <v>105</v>
      </c>
      <c r="H379">
        <v>3</v>
      </c>
      <c r="I379">
        <v>3594.16</v>
      </c>
      <c r="J379" t="s">
        <v>42</v>
      </c>
      <c r="K379" t="s">
        <v>20</v>
      </c>
      <c r="L379">
        <f t="shared" si="5"/>
        <v>10782.48</v>
      </c>
    </row>
    <row r="380" spans="1:12" x14ac:dyDescent="0.3">
      <c r="A380" t="s">
        <v>1337</v>
      </c>
      <c r="B380" t="s">
        <v>1153</v>
      </c>
      <c r="C380" t="s">
        <v>1338</v>
      </c>
      <c r="D380" t="s">
        <v>1339</v>
      </c>
      <c r="E380" t="s">
        <v>34</v>
      </c>
      <c r="F380" t="s">
        <v>26</v>
      </c>
      <c r="G380" t="s">
        <v>115</v>
      </c>
      <c r="H380">
        <v>5</v>
      </c>
      <c r="I380">
        <v>1698.19</v>
      </c>
      <c r="J380" t="s">
        <v>19</v>
      </c>
      <c r="K380" t="s">
        <v>20</v>
      </c>
      <c r="L380">
        <f t="shared" si="5"/>
        <v>8490.9500000000007</v>
      </c>
    </row>
    <row r="381" spans="1:12" x14ac:dyDescent="0.3">
      <c r="A381" t="s">
        <v>1340</v>
      </c>
      <c r="B381" t="s">
        <v>924</v>
      </c>
      <c r="C381" t="s">
        <v>1341</v>
      </c>
      <c r="D381" t="s">
        <v>1342</v>
      </c>
      <c r="E381" t="s">
        <v>34</v>
      </c>
      <c r="F381" t="s">
        <v>17</v>
      </c>
      <c r="G381" t="s">
        <v>18</v>
      </c>
      <c r="H381">
        <v>9</v>
      </c>
      <c r="I381">
        <v>1188.8900000000001</v>
      </c>
      <c r="J381" t="s">
        <v>28</v>
      </c>
      <c r="K381" t="s">
        <v>29</v>
      </c>
      <c r="L381">
        <f t="shared" si="5"/>
        <v>10700.01</v>
      </c>
    </row>
    <row r="382" spans="1:12" x14ac:dyDescent="0.3">
      <c r="A382" t="s">
        <v>1343</v>
      </c>
      <c r="B382" t="s">
        <v>262</v>
      </c>
      <c r="C382" t="s">
        <v>1344</v>
      </c>
      <c r="D382" t="s">
        <v>1345</v>
      </c>
      <c r="E382" t="s">
        <v>56</v>
      </c>
      <c r="F382" t="s">
        <v>17</v>
      </c>
      <c r="G382" t="s">
        <v>41</v>
      </c>
      <c r="H382">
        <v>8</v>
      </c>
      <c r="I382">
        <v>1263.6400000000001</v>
      </c>
      <c r="J382" t="s">
        <v>19</v>
      </c>
      <c r="K382" t="s">
        <v>83</v>
      </c>
      <c r="L382">
        <f t="shared" si="5"/>
        <v>10109.120000000001</v>
      </c>
    </row>
    <row r="383" spans="1:12" x14ac:dyDescent="0.3">
      <c r="A383" t="s">
        <v>1346</v>
      </c>
      <c r="B383" t="s">
        <v>886</v>
      </c>
      <c r="C383" t="s">
        <v>1347</v>
      </c>
      <c r="D383" t="s">
        <v>1348</v>
      </c>
      <c r="E383" t="s">
        <v>95</v>
      </c>
      <c r="F383" t="s">
        <v>17</v>
      </c>
      <c r="G383" t="s">
        <v>68</v>
      </c>
      <c r="H383">
        <v>9</v>
      </c>
      <c r="I383">
        <v>2499.44</v>
      </c>
      <c r="J383" t="s">
        <v>50</v>
      </c>
      <c r="K383" t="s">
        <v>51</v>
      </c>
      <c r="L383">
        <f t="shared" si="5"/>
        <v>22494.959999999999</v>
      </c>
    </row>
    <row r="384" spans="1:12" x14ac:dyDescent="0.3">
      <c r="A384" t="s">
        <v>1349</v>
      </c>
      <c r="B384" t="s">
        <v>1350</v>
      </c>
      <c r="C384" t="s">
        <v>1351</v>
      </c>
      <c r="D384" t="s">
        <v>1352</v>
      </c>
      <c r="E384" t="s">
        <v>62</v>
      </c>
      <c r="F384" t="s">
        <v>17</v>
      </c>
      <c r="G384" t="s">
        <v>68</v>
      </c>
      <c r="H384">
        <v>2</v>
      </c>
      <c r="I384">
        <v>687.98</v>
      </c>
      <c r="J384" t="s">
        <v>28</v>
      </c>
      <c r="K384" t="s">
        <v>83</v>
      </c>
      <c r="L384">
        <f t="shared" si="5"/>
        <v>1375.96</v>
      </c>
    </row>
    <row r="385" spans="1:12" x14ac:dyDescent="0.3">
      <c r="A385" t="s">
        <v>1353</v>
      </c>
      <c r="B385" t="s">
        <v>672</v>
      </c>
      <c r="C385" t="s">
        <v>1354</v>
      </c>
      <c r="D385" t="s">
        <v>1355</v>
      </c>
      <c r="E385" t="s">
        <v>25</v>
      </c>
      <c r="F385" t="s">
        <v>48</v>
      </c>
      <c r="G385" t="s">
        <v>110</v>
      </c>
      <c r="H385">
        <v>2</v>
      </c>
      <c r="I385">
        <v>3624.4</v>
      </c>
      <c r="J385" t="s">
        <v>28</v>
      </c>
      <c r="K385" t="s">
        <v>36</v>
      </c>
      <c r="L385">
        <f t="shared" si="5"/>
        <v>7248.8</v>
      </c>
    </row>
    <row r="386" spans="1:12" x14ac:dyDescent="0.3">
      <c r="A386" t="s">
        <v>1356</v>
      </c>
      <c r="B386" t="s">
        <v>898</v>
      </c>
      <c r="C386" t="s">
        <v>527</v>
      </c>
      <c r="D386" t="s">
        <v>1357</v>
      </c>
      <c r="E386" t="s">
        <v>16</v>
      </c>
      <c r="F386" t="s">
        <v>26</v>
      </c>
      <c r="G386" t="s">
        <v>115</v>
      </c>
      <c r="H386">
        <v>1</v>
      </c>
      <c r="I386">
        <v>4056.97</v>
      </c>
      <c r="J386" t="s">
        <v>19</v>
      </c>
      <c r="K386" t="s">
        <v>43</v>
      </c>
      <c r="L386">
        <f t="shared" si="5"/>
        <v>4056.97</v>
      </c>
    </row>
    <row r="387" spans="1:12" x14ac:dyDescent="0.3">
      <c r="A387" t="s">
        <v>1358</v>
      </c>
      <c r="B387" t="s">
        <v>886</v>
      </c>
      <c r="C387" t="s">
        <v>1359</v>
      </c>
      <c r="D387" t="s">
        <v>1360</v>
      </c>
      <c r="E387" t="s">
        <v>104</v>
      </c>
      <c r="F387" t="s">
        <v>17</v>
      </c>
      <c r="G387" t="s">
        <v>68</v>
      </c>
      <c r="H387">
        <v>2</v>
      </c>
      <c r="I387">
        <v>3303.62</v>
      </c>
      <c r="J387" t="s">
        <v>28</v>
      </c>
      <c r="K387" t="s">
        <v>51</v>
      </c>
      <c r="L387">
        <f t="shared" ref="L387:L450" si="6">H387*I387</f>
        <v>6607.24</v>
      </c>
    </row>
    <row r="388" spans="1:12" x14ac:dyDescent="0.3">
      <c r="A388" t="s">
        <v>1361</v>
      </c>
      <c r="B388" t="s">
        <v>1362</v>
      </c>
      <c r="C388" t="s">
        <v>1363</v>
      </c>
      <c r="D388" t="s">
        <v>1364</v>
      </c>
      <c r="E388" t="s">
        <v>128</v>
      </c>
      <c r="F388" t="s">
        <v>48</v>
      </c>
      <c r="G388" t="s">
        <v>57</v>
      </c>
      <c r="H388">
        <v>4</v>
      </c>
      <c r="I388">
        <v>4131.21</v>
      </c>
      <c r="J388" t="s">
        <v>42</v>
      </c>
      <c r="K388" t="s">
        <v>20</v>
      </c>
      <c r="L388">
        <f t="shared" si="6"/>
        <v>16524.84</v>
      </c>
    </row>
    <row r="389" spans="1:12" x14ac:dyDescent="0.3">
      <c r="A389" t="s">
        <v>1365</v>
      </c>
      <c r="B389" t="s">
        <v>1226</v>
      </c>
      <c r="C389" t="s">
        <v>206</v>
      </c>
      <c r="D389" t="s">
        <v>1366</v>
      </c>
      <c r="E389" t="s">
        <v>62</v>
      </c>
      <c r="F389" t="s">
        <v>77</v>
      </c>
      <c r="G389" t="s">
        <v>123</v>
      </c>
      <c r="H389">
        <v>5</v>
      </c>
      <c r="I389">
        <v>3127.04</v>
      </c>
      <c r="J389" t="s">
        <v>42</v>
      </c>
      <c r="K389" t="s">
        <v>36</v>
      </c>
      <c r="L389">
        <f t="shared" si="6"/>
        <v>15635.2</v>
      </c>
    </row>
    <row r="390" spans="1:12" x14ac:dyDescent="0.3">
      <c r="A390" t="s">
        <v>1367</v>
      </c>
      <c r="B390" t="s">
        <v>1234</v>
      </c>
      <c r="C390" t="s">
        <v>1068</v>
      </c>
      <c r="D390" t="s">
        <v>1355</v>
      </c>
      <c r="E390" t="s">
        <v>56</v>
      </c>
      <c r="F390" t="s">
        <v>26</v>
      </c>
      <c r="G390" t="s">
        <v>115</v>
      </c>
      <c r="H390">
        <v>7</v>
      </c>
      <c r="I390">
        <v>3076.2</v>
      </c>
      <c r="J390" t="s">
        <v>42</v>
      </c>
      <c r="K390" t="s">
        <v>20</v>
      </c>
      <c r="L390">
        <f t="shared" si="6"/>
        <v>21533.399999999998</v>
      </c>
    </row>
    <row r="391" spans="1:12" x14ac:dyDescent="0.3">
      <c r="A391" t="s">
        <v>1368</v>
      </c>
      <c r="B391" t="s">
        <v>449</v>
      </c>
      <c r="C391" t="s">
        <v>1369</v>
      </c>
      <c r="D391" t="s">
        <v>395</v>
      </c>
      <c r="E391" t="s">
        <v>34</v>
      </c>
      <c r="F391" t="s">
        <v>48</v>
      </c>
      <c r="G391" t="s">
        <v>57</v>
      </c>
      <c r="H391">
        <v>4</v>
      </c>
      <c r="I391">
        <v>734.93</v>
      </c>
      <c r="J391" t="s">
        <v>42</v>
      </c>
      <c r="K391" t="s">
        <v>43</v>
      </c>
      <c r="L391">
        <f t="shared" si="6"/>
        <v>2939.72</v>
      </c>
    </row>
    <row r="392" spans="1:12" x14ac:dyDescent="0.3">
      <c r="A392" t="s">
        <v>1370</v>
      </c>
      <c r="B392" t="s">
        <v>226</v>
      </c>
      <c r="C392" t="s">
        <v>1128</v>
      </c>
      <c r="D392" t="s">
        <v>1371</v>
      </c>
      <c r="E392" t="s">
        <v>62</v>
      </c>
      <c r="F392" t="s">
        <v>17</v>
      </c>
      <c r="G392" t="s">
        <v>41</v>
      </c>
      <c r="H392">
        <v>5</v>
      </c>
      <c r="I392">
        <v>1718.38</v>
      </c>
      <c r="J392" t="s">
        <v>50</v>
      </c>
      <c r="K392" t="s">
        <v>43</v>
      </c>
      <c r="L392">
        <f t="shared" si="6"/>
        <v>8591.9000000000015</v>
      </c>
    </row>
    <row r="393" spans="1:12" x14ac:dyDescent="0.3">
      <c r="A393" t="s">
        <v>1372</v>
      </c>
      <c r="B393" t="s">
        <v>1373</v>
      </c>
      <c r="C393" t="s">
        <v>781</v>
      </c>
      <c r="D393" t="s">
        <v>1041</v>
      </c>
      <c r="E393" t="s">
        <v>95</v>
      </c>
      <c r="F393" t="s">
        <v>17</v>
      </c>
      <c r="G393" t="s">
        <v>68</v>
      </c>
      <c r="H393">
        <v>5</v>
      </c>
      <c r="I393">
        <v>2233.6799999999998</v>
      </c>
      <c r="J393" t="s">
        <v>42</v>
      </c>
      <c r="K393" t="s">
        <v>36</v>
      </c>
      <c r="L393">
        <f t="shared" si="6"/>
        <v>11168.4</v>
      </c>
    </row>
    <row r="394" spans="1:12" x14ac:dyDescent="0.3">
      <c r="A394" t="s">
        <v>1374</v>
      </c>
      <c r="B394" t="s">
        <v>1375</v>
      </c>
      <c r="C394" t="s">
        <v>1376</v>
      </c>
      <c r="D394" t="s">
        <v>838</v>
      </c>
      <c r="E394" t="s">
        <v>25</v>
      </c>
      <c r="F394" t="s">
        <v>17</v>
      </c>
      <c r="G394" t="s">
        <v>41</v>
      </c>
      <c r="H394">
        <v>8</v>
      </c>
      <c r="I394">
        <v>2395.7199999999998</v>
      </c>
      <c r="J394" t="s">
        <v>42</v>
      </c>
      <c r="K394" t="s">
        <v>20</v>
      </c>
      <c r="L394">
        <f t="shared" si="6"/>
        <v>19165.759999999998</v>
      </c>
    </row>
    <row r="395" spans="1:12" x14ac:dyDescent="0.3">
      <c r="A395" t="s">
        <v>1377</v>
      </c>
      <c r="B395" t="s">
        <v>1378</v>
      </c>
      <c r="C395" t="s">
        <v>647</v>
      </c>
      <c r="D395" t="s">
        <v>1081</v>
      </c>
      <c r="E395" t="s">
        <v>34</v>
      </c>
      <c r="F395" t="s">
        <v>48</v>
      </c>
      <c r="G395" t="s">
        <v>49</v>
      </c>
      <c r="H395">
        <v>7</v>
      </c>
      <c r="I395">
        <v>1795.51</v>
      </c>
      <c r="J395" t="s">
        <v>28</v>
      </c>
      <c r="K395" t="s">
        <v>83</v>
      </c>
      <c r="L395">
        <f t="shared" si="6"/>
        <v>12568.57</v>
      </c>
    </row>
    <row r="396" spans="1:12" x14ac:dyDescent="0.3">
      <c r="A396" t="s">
        <v>1379</v>
      </c>
      <c r="B396" t="s">
        <v>1380</v>
      </c>
      <c r="C396" t="s">
        <v>1381</v>
      </c>
      <c r="D396" t="s">
        <v>1382</v>
      </c>
      <c r="E396" t="s">
        <v>128</v>
      </c>
      <c r="F396" t="s">
        <v>77</v>
      </c>
      <c r="G396" t="s">
        <v>123</v>
      </c>
      <c r="H396">
        <v>5</v>
      </c>
      <c r="I396">
        <v>4117.1000000000004</v>
      </c>
      <c r="J396" t="s">
        <v>28</v>
      </c>
      <c r="K396" t="s">
        <v>83</v>
      </c>
      <c r="L396">
        <f t="shared" si="6"/>
        <v>20585.5</v>
      </c>
    </row>
    <row r="397" spans="1:12" x14ac:dyDescent="0.3">
      <c r="A397" t="s">
        <v>1383</v>
      </c>
      <c r="B397" t="s">
        <v>1384</v>
      </c>
      <c r="C397" t="s">
        <v>1385</v>
      </c>
      <c r="D397" t="s">
        <v>1386</v>
      </c>
      <c r="E397" t="s">
        <v>62</v>
      </c>
      <c r="F397" t="s">
        <v>26</v>
      </c>
      <c r="G397" t="s">
        <v>115</v>
      </c>
      <c r="H397">
        <v>5</v>
      </c>
      <c r="I397">
        <v>3076.54</v>
      </c>
      <c r="J397" t="s">
        <v>50</v>
      </c>
      <c r="K397" t="s">
        <v>29</v>
      </c>
      <c r="L397">
        <f t="shared" si="6"/>
        <v>15382.7</v>
      </c>
    </row>
    <row r="398" spans="1:12" x14ac:dyDescent="0.3">
      <c r="A398" t="s">
        <v>1387</v>
      </c>
      <c r="B398" t="s">
        <v>1388</v>
      </c>
      <c r="C398" t="s">
        <v>1389</v>
      </c>
      <c r="D398" t="s">
        <v>1390</v>
      </c>
      <c r="E398" t="s">
        <v>128</v>
      </c>
      <c r="F398" t="s">
        <v>26</v>
      </c>
      <c r="G398" t="s">
        <v>27</v>
      </c>
      <c r="H398">
        <v>5</v>
      </c>
      <c r="I398">
        <v>550.29999999999995</v>
      </c>
      <c r="J398" t="s">
        <v>19</v>
      </c>
      <c r="K398" t="s">
        <v>36</v>
      </c>
      <c r="L398">
        <f t="shared" si="6"/>
        <v>2751.5</v>
      </c>
    </row>
    <row r="399" spans="1:12" x14ac:dyDescent="0.3">
      <c r="A399" t="s">
        <v>1391</v>
      </c>
      <c r="B399" t="s">
        <v>1392</v>
      </c>
      <c r="C399" t="s">
        <v>769</v>
      </c>
      <c r="D399" t="s">
        <v>1390</v>
      </c>
      <c r="E399" t="s">
        <v>56</v>
      </c>
      <c r="F399" t="s">
        <v>17</v>
      </c>
      <c r="G399" t="s">
        <v>41</v>
      </c>
      <c r="H399">
        <v>10</v>
      </c>
      <c r="I399">
        <v>2959.8</v>
      </c>
      <c r="J399" t="s">
        <v>28</v>
      </c>
      <c r="K399" t="s">
        <v>43</v>
      </c>
      <c r="L399">
        <f t="shared" si="6"/>
        <v>29598</v>
      </c>
    </row>
    <row r="400" spans="1:12" x14ac:dyDescent="0.3">
      <c r="A400" t="s">
        <v>1393</v>
      </c>
      <c r="B400" t="s">
        <v>467</v>
      </c>
      <c r="C400" t="s">
        <v>1321</v>
      </c>
      <c r="D400" t="s">
        <v>775</v>
      </c>
      <c r="E400" t="s">
        <v>95</v>
      </c>
      <c r="F400" t="s">
        <v>26</v>
      </c>
      <c r="G400" t="s">
        <v>115</v>
      </c>
      <c r="H400">
        <v>9</v>
      </c>
      <c r="I400">
        <v>1668.35</v>
      </c>
      <c r="J400" t="s">
        <v>28</v>
      </c>
      <c r="K400" t="s">
        <v>83</v>
      </c>
      <c r="L400">
        <f t="shared" si="6"/>
        <v>15015.15</v>
      </c>
    </row>
    <row r="401" spans="1:12" x14ac:dyDescent="0.3">
      <c r="A401" t="s">
        <v>1394</v>
      </c>
      <c r="B401" t="s">
        <v>107</v>
      </c>
      <c r="C401" t="s">
        <v>1395</v>
      </c>
      <c r="D401" t="s">
        <v>1396</v>
      </c>
      <c r="E401" t="s">
        <v>25</v>
      </c>
      <c r="F401" t="s">
        <v>17</v>
      </c>
      <c r="G401" t="s">
        <v>18</v>
      </c>
      <c r="H401">
        <v>5</v>
      </c>
      <c r="I401">
        <v>4101.8599999999997</v>
      </c>
      <c r="J401" t="s">
        <v>42</v>
      </c>
      <c r="K401" t="s">
        <v>51</v>
      </c>
      <c r="L401">
        <f t="shared" si="6"/>
        <v>20509.3</v>
      </c>
    </row>
    <row r="402" spans="1:12" x14ac:dyDescent="0.3">
      <c r="A402" t="s">
        <v>1397</v>
      </c>
      <c r="B402" t="s">
        <v>1398</v>
      </c>
      <c r="C402" t="s">
        <v>1399</v>
      </c>
      <c r="D402" t="s">
        <v>1400</v>
      </c>
      <c r="E402" t="s">
        <v>34</v>
      </c>
      <c r="F402" t="s">
        <v>48</v>
      </c>
      <c r="G402" t="s">
        <v>179</v>
      </c>
      <c r="H402">
        <v>5</v>
      </c>
      <c r="I402">
        <v>1821.37</v>
      </c>
      <c r="J402" t="s">
        <v>28</v>
      </c>
      <c r="K402" t="s">
        <v>29</v>
      </c>
      <c r="L402">
        <f t="shared" si="6"/>
        <v>9106.8499999999985</v>
      </c>
    </row>
    <row r="403" spans="1:12" x14ac:dyDescent="0.3">
      <c r="A403" t="s">
        <v>1401</v>
      </c>
      <c r="B403" t="s">
        <v>804</v>
      </c>
      <c r="C403" t="s">
        <v>1402</v>
      </c>
      <c r="D403" t="s">
        <v>1315</v>
      </c>
      <c r="E403" t="s">
        <v>104</v>
      </c>
      <c r="F403" t="s">
        <v>26</v>
      </c>
      <c r="G403" t="s">
        <v>208</v>
      </c>
      <c r="H403">
        <v>8</v>
      </c>
      <c r="I403">
        <v>3397.82</v>
      </c>
      <c r="J403" t="s">
        <v>19</v>
      </c>
      <c r="K403" t="s">
        <v>43</v>
      </c>
      <c r="L403">
        <f t="shared" si="6"/>
        <v>27182.560000000001</v>
      </c>
    </row>
    <row r="404" spans="1:12" x14ac:dyDescent="0.3">
      <c r="A404" t="s">
        <v>1403</v>
      </c>
      <c r="B404" t="s">
        <v>1286</v>
      </c>
      <c r="C404" t="s">
        <v>1404</v>
      </c>
      <c r="D404" t="s">
        <v>1405</v>
      </c>
      <c r="E404" t="s">
        <v>128</v>
      </c>
      <c r="F404" t="s">
        <v>48</v>
      </c>
      <c r="G404" t="s">
        <v>49</v>
      </c>
      <c r="H404">
        <v>5</v>
      </c>
      <c r="I404">
        <v>3558.96</v>
      </c>
      <c r="J404" t="s">
        <v>50</v>
      </c>
      <c r="K404" t="s">
        <v>51</v>
      </c>
      <c r="L404">
        <f t="shared" si="6"/>
        <v>17794.8</v>
      </c>
    </row>
    <row r="405" spans="1:12" x14ac:dyDescent="0.3">
      <c r="A405" t="s">
        <v>1406</v>
      </c>
      <c r="B405" t="s">
        <v>1388</v>
      </c>
      <c r="C405" t="s">
        <v>1407</v>
      </c>
      <c r="D405" t="s">
        <v>1408</v>
      </c>
      <c r="E405" t="s">
        <v>25</v>
      </c>
      <c r="F405" t="s">
        <v>26</v>
      </c>
      <c r="G405" t="s">
        <v>166</v>
      </c>
      <c r="H405">
        <v>1</v>
      </c>
      <c r="I405">
        <v>3666.82</v>
      </c>
      <c r="J405" t="s">
        <v>50</v>
      </c>
      <c r="K405" t="s">
        <v>36</v>
      </c>
      <c r="L405">
        <f t="shared" si="6"/>
        <v>3666.82</v>
      </c>
    </row>
    <row r="406" spans="1:12" x14ac:dyDescent="0.3">
      <c r="A406" t="s">
        <v>1409</v>
      </c>
      <c r="B406" t="s">
        <v>181</v>
      </c>
      <c r="C406" t="s">
        <v>1410</v>
      </c>
      <c r="D406" t="s">
        <v>1411</v>
      </c>
      <c r="E406" t="s">
        <v>104</v>
      </c>
      <c r="F406" t="s">
        <v>77</v>
      </c>
      <c r="G406" t="s">
        <v>171</v>
      </c>
      <c r="H406">
        <v>8</v>
      </c>
      <c r="I406">
        <v>4575.6099999999997</v>
      </c>
      <c r="J406" t="s">
        <v>28</v>
      </c>
      <c r="K406" t="s">
        <v>29</v>
      </c>
      <c r="L406">
        <f t="shared" si="6"/>
        <v>36604.879999999997</v>
      </c>
    </row>
    <row r="407" spans="1:12" x14ac:dyDescent="0.3">
      <c r="A407" t="s">
        <v>1412</v>
      </c>
      <c r="B407" t="s">
        <v>1413</v>
      </c>
      <c r="C407" t="s">
        <v>953</v>
      </c>
      <c r="D407" t="s">
        <v>1414</v>
      </c>
      <c r="E407" t="s">
        <v>62</v>
      </c>
      <c r="F407" t="s">
        <v>26</v>
      </c>
      <c r="G407" t="s">
        <v>208</v>
      </c>
      <c r="H407">
        <v>8</v>
      </c>
      <c r="I407">
        <v>2143.35</v>
      </c>
      <c r="J407" t="s">
        <v>19</v>
      </c>
      <c r="K407" t="s">
        <v>36</v>
      </c>
      <c r="L407">
        <f t="shared" si="6"/>
        <v>17146.8</v>
      </c>
    </row>
    <row r="408" spans="1:12" x14ac:dyDescent="0.3">
      <c r="A408" t="s">
        <v>1415</v>
      </c>
      <c r="B408" t="s">
        <v>1416</v>
      </c>
      <c r="C408" t="s">
        <v>1417</v>
      </c>
      <c r="D408" t="s">
        <v>1418</v>
      </c>
      <c r="E408" t="s">
        <v>34</v>
      </c>
      <c r="F408" t="s">
        <v>17</v>
      </c>
      <c r="G408" t="s">
        <v>188</v>
      </c>
      <c r="H408">
        <v>1</v>
      </c>
      <c r="I408">
        <v>4876.92</v>
      </c>
      <c r="J408" t="s">
        <v>19</v>
      </c>
      <c r="K408" t="s">
        <v>29</v>
      </c>
      <c r="L408">
        <f t="shared" si="6"/>
        <v>4876.92</v>
      </c>
    </row>
    <row r="409" spans="1:12" x14ac:dyDescent="0.3">
      <c r="A409" t="s">
        <v>1419</v>
      </c>
      <c r="B409" t="s">
        <v>1151</v>
      </c>
      <c r="C409" t="s">
        <v>1420</v>
      </c>
      <c r="D409" t="s">
        <v>1421</v>
      </c>
      <c r="E409" t="s">
        <v>25</v>
      </c>
      <c r="F409" t="s">
        <v>26</v>
      </c>
      <c r="G409" t="s">
        <v>208</v>
      </c>
      <c r="H409">
        <v>5</v>
      </c>
      <c r="I409">
        <v>283.95999999999998</v>
      </c>
      <c r="J409" t="s">
        <v>50</v>
      </c>
      <c r="K409" t="s">
        <v>83</v>
      </c>
      <c r="L409">
        <f t="shared" si="6"/>
        <v>1419.8</v>
      </c>
    </row>
    <row r="410" spans="1:12" x14ac:dyDescent="0.3">
      <c r="A410" t="s">
        <v>1422</v>
      </c>
      <c r="B410" t="s">
        <v>893</v>
      </c>
      <c r="C410" t="s">
        <v>1423</v>
      </c>
      <c r="D410" t="s">
        <v>1424</v>
      </c>
      <c r="E410" t="s">
        <v>16</v>
      </c>
      <c r="F410" t="s">
        <v>77</v>
      </c>
      <c r="G410" t="s">
        <v>123</v>
      </c>
      <c r="H410">
        <v>2</v>
      </c>
      <c r="I410">
        <v>1462.68</v>
      </c>
      <c r="J410" t="s">
        <v>28</v>
      </c>
      <c r="K410" t="s">
        <v>83</v>
      </c>
      <c r="L410">
        <f t="shared" si="6"/>
        <v>2925.36</v>
      </c>
    </row>
    <row r="411" spans="1:12" x14ac:dyDescent="0.3">
      <c r="A411" t="s">
        <v>1425</v>
      </c>
      <c r="B411" t="s">
        <v>1426</v>
      </c>
      <c r="C411" t="s">
        <v>1427</v>
      </c>
      <c r="D411" t="s">
        <v>1428</v>
      </c>
      <c r="E411" t="s">
        <v>95</v>
      </c>
      <c r="F411" t="s">
        <v>48</v>
      </c>
      <c r="G411" t="s">
        <v>57</v>
      </c>
      <c r="H411">
        <v>3</v>
      </c>
      <c r="I411">
        <v>2405.66</v>
      </c>
      <c r="J411" t="s">
        <v>19</v>
      </c>
      <c r="K411" t="s">
        <v>51</v>
      </c>
      <c r="L411">
        <f t="shared" si="6"/>
        <v>7216.98</v>
      </c>
    </row>
    <row r="412" spans="1:12" x14ac:dyDescent="0.3">
      <c r="A412" t="s">
        <v>1429</v>
      </c>
      <c r="B412" t="s">
        <v>1430</v>
      </c>
      <c r="C412" t="s">
        <v>1431</v>
      </c>
      <c r="D412" t="s">
        <v>1432</v>
      </c>
      <c r="E412" t="s">
        <v>128</v>
      </c>
      <c r="F412" t="s">
        <v>48</v>
      </c>
      <c r="G412" t="s">
        <v>63</v>
      </c>
      <c r="H412">
        <v>1</v>
      </c>
      <c r="I412">
        <v>4547.2</v>
      </c>
      <c r="J412" t="s">
        <v>50</v>
      </c>
      <c r="K412" t="s">
        <v>29</v>
      </c>
      <c r="L412">
        <f t="shared" si="6"/>
        <v>4547.2</v>
      </c>
    </row>
    <row r="413" spans="1:12" x14ac:dyDescent="0.3">
      <c r="A413" t="s">
        <v>1433</v>
      </c>
      <c r="B413" t="s">
        <v>501</v>
      </c>
      <c r="C413" t="s">
        <v>1434</v>
      </c>
      <c r="D413" t="s">
        <v>1435</v>
      </c>
      <c r="E413" t="s">
        <v>62</v>
      </c>
      <c r="F413" t="s">
        <v>26</v>
      </c>
      <c r="G413" t="s">
        <v>208</v>
      </c>
      <c r="H413">
        <v>2</v>
      </c>
      <c r="I413">
        <v>988.09</v>
      </c>
      <c r="J413" t="s">
        <v>42</v>
      </c>
      <c r="K413" t="s">
        <v>83</v>
      </c>
      <c r="L413">
        <f t="shared" si="6"/>
        <v>1976.18</v>
      </c>
    </row>
    <row r="414" spans="1:12" x14ac:dyDescent="0.3">
      <c r="A414" t="s">
        <v>1436</v>
      </c>
      <c r="B414" t="s">
        <v>1437</v>
      </c>
      <c r="C414" t="s">
        <v>1359</v>
      </c>
      <c r="D414" t="s">
        <v>1438</v>
      </c>
      <c r="E414" t="s">
        <v>95</v>
      </c>
      <c r="F414" t="s">
        <v>48</v>
      </c>
      <c r="G414" t="s">
        <v>57</v>
      </c>
      <c r="H414">
        <v>7</v>
      </c>
      <c r="I414">
        <v>2669.17</v>
      </c>
      <c r="J414" t="s">
        <v>19</v>
      </c>
      <c r="K414" t="s">
        <v>51</v>
      </c>
      <c r="L414">
        <f t="shared" si="6"/>
        <v>18684.190000000002</v>
      </c>
    </row>
    <row r="415" spans="1:12" x14ac:dyDescent="0.3">
      <c r="A415" t="s">
        <v>1439</v>
      </c>
      <c r="B415" t="s">
        <v>1440</v>
      </c>
      <c r="C415" t="s">
        <v>54</v>
      </c>
      <c r="D415" t="s">
        <v>1441</v>
      </c>
      <c r="E415" t="s">
        <v>128</v>
      </c>
      <c r="F415" t="s">
        <v>17</v>
      </c>
      <c r="G415" t="s">
        <v>188</v>
      </c>
      <c r="H415">
        <v>3</v>
      </c>
      <c r="I415">
        <v>2574.2600000000002</v>
      </c>
      <c r="J415" t="s">
        <v>19</v>
      </c>
      <c r="K415" t="s">
        <v>29</v>
      </c>
      <c r="L415">
        <f t="shared" si="6"/>
        <v>7722.7800000000007</v>
      </c>
    </row>
    <row r="416" spans="1:12" x14ac:dyDescent="0.3">
      <c r="A416" t="s">
        <v>1442</v>
      </c>
      <c r="B416" t="s">
        <v>756</v>
      </c>
      <c r="C416" t="s">
        <v>1443</v>
      </c>
      <c r="D416" t="s">
        <v>718</v>
      </c>
      <c r="E416" t="s">
        <v>104</v>
      </c>
      <c r="F416" t="s">
        <v>26</v>
      </c>
      <c r="G416" t="s">
        <v>208</v>
      </c>
      <c r="H416">
        <v>9</v>
      </c>
      <c r="I416">
        <v>4495.6400000000003</v>
      </c>
      <c r="J416" t="s">
        <v>28</v>
      </c>
      <c r="K416" t="s">
        <v>36</v>
      </c>
      <c r="L416">
        <f t="shared" si="6"/>
        <v>40460.76</v>
      </c>
    </row>
    <row r="417" spans="1:12" x14ac:dyDescent="0.3">
      <c r="A417" t="s">
        <v>1444</v>
      </c>
      <c r="B417" t="s">
        <v>1445</v>
      </c>
      <c r="C417" t="s">
        <v>1446</v>
      </c>
      <c r="D417" t="s">
        <v>1447</v>
      </c>
      <c r="E417" t="s">
        <v>104</v>
      </c>
      <c r="F417" t="s">
        <v>17</v>
      </c>
      <c r="G417" t="s">
        <v>18</v>
      </c>
      <c r="H417">
        <v>3</v>
      </c>
      <c r="I417">
        <v>4319.09</v>
      </c>
      <c r="J417" t="s">
        <v>42</v>
      </c>
      <c r="K417" t="s">
        <v>83</v>
      </c>
      <c r="L417">
        <f t="shared" si="6"/>
        <v>12957.27</v>
      </c>
    </row>
    <row r="418" spans="1:12" x14ac:dyDescent="0.3">
      <c r="A418" t="s">
        <v>1448</v>
      </c>
      <c r="B418" t="s">
        <v>449</v>
      </c>
      <c r="C418" t="s">
        <v>1385</v>
      </c>
      <c r="D418" t="s">
        <v>1449</v>
      </c>
      <c r="E418" t="s">
        <v>62</v>
      </c>
      <c r="F418" t="s">
        <v>48</v>
      </c>
      <c r="G418" t="s">
        <v>57</v>
      </c>
      <c r="H418">
        <v>2</v>
      </c>
      <c r="I418">
        <v>2671.86</v>
      </c>
      <c r="J418" t="s">
        <v>50</v>
      </c>
      <c r="K418" t="s">
        <v>20</v>
      </c>
      <c r="L418">
        <f t="shared" si="6"/>
        <v>5343.72</v>
      </c>
    </row>
    <row r="419" spans="1:12" x14ac:dyDescent="0.3">
      <c r="A419" t="s">
        <v>1450</v>
      </c>
      <c r="B419" t="s">
        <v>1451</v>
      </c>
      <c r="C419" t="s">
        <v>1452</v>
      </c>
      <c r="D419" t="s">
        <v>1453</v>
      </c>
      <c r="E419" t="s">
        <v>128</v>
      </c>
      <c r="F419" t="s">
        <v>77</v>
      </c>
      <c r="G419" t="s">
        <v>265</v>
      </c>
      <c r="H419">
        <v>5</v>
      </c>
      <c r="I419">
        <v>2209.3200000000002</v>
      </c>
      <c r="J419" t="s">
        <v>28</v>
      </c>
      <c r="K419" t="s">
        <v>51</v>
      </c>
      <c r="L419">
        <f t="shared" si="6"/>
        <v>11046.6</v>
      </c>
    </row>
    <row r="420" spans="1:12" x14ac:dyDescent="0.3">
      <c r="A420" t="s">
        <v>1454</v>
      </c>
      <c r="B420" t="s">
        <v>295</v>
      </c>
      <c r="C420" t="s">
        <v>1455</v>
      </c>
      <c r="D420" t="s">
        <v>778</v>
      </c>
      <c r="E420" t="s">
        <v>34</v>
      </c>
      <c r="F420" t="s">
        <v>17</v>
      </c>
      <c r="G420" t="s">
        <v>35</v>
      </c>
      <c r="H420">
        <v>3</v>
      </c>
      <c r="I420">
        <v>1119.47</v>
      </c>
      <c r="J420" t="s">
        <v>28</v>
      </c>
      <c r="K420" t="s">
        <v>51</v>
      </c>
      <c r="L420">
        <f t="shared" si="6"/>
        <v>3358.41</v>
      </c>
    </row>
    <row r="421" spans="1:12" x14ac:dyDescent="0.3">
      <c r="A421" t="s">
        <v>1456</v>
      </c>
      <c r="B421" t="s">
        <v>630</v>
      </c>
      <c r="C421" t="s">
        <v>1457</v>
      </c>
      <c r="D421" t="s">
        <v>1458</v>
      </c>
      <c r="E421" t="s">
        <v>34</v>
      </c>
      <c r="F421" t="s">
        <v>48</v>
      </c>
      <c r="G421" t="s">
        <v>57</v>
      </c>
      <c r="H421">
        <v>8</v>
      </c>
      <c r="I421">
        <v>286.33</v>
      </c>
      <c r="J421" t="s">
        <v>42</v>
      </c>
      <c r="K421" t="s">
        <v>29</v>
      </c>
      <c r="L421">
        <f t="shared" si="6"/>
        <v>2290.64</v>
      </c>
    </row>
    <row r="422" spans="1:12" x14ac:dyDescent="0.3">
      <c r="A422" t="s">
        <v>1459</v>
      </c>
      <c r="B422" t="s">
        <v>267</v>
      </c>
      <c r="C422" t="s">
        <v>1460</v>
      </c>
      <c r="D422" t="s">
        <v>165</v>
      </c>
      <c r="E422" t="s">
        <v>34</v>
      </c>
      <c r="F422" t="s">
        <v>48</v>
      </c>
      <c r="G422" t="s">
        <v>110</v>
      </c>
      <c r="H422">
        <v>7</v>
      </c>
      <c r="I422">
        <v>2533.67</v>
      </c>
      <c r="J422" t="s">
        <v>42</v>
      </c>
      <c r="K422" t="s">
        <v>20</v>
      </c>
      <c r="L422">
        <f t="shared" si="6"/>
        <v>17735.690000000002</v>
      </c>
    </row>
    <row r="423" spans="1:12" x14ac:dyDescent="0.3">
      <c r="A423" t="s">
        <v>1461</v>
      </c>
      <c r="B423" t="s">
        <v>1462</v>
      </c>
      <c r="C423" t="s">
        <v>1463</v>
      </c>
      <c r="D423" t="s">
        <v>315</v>
      </c>
      <c r="E423" t="s">
        <v>128</v>
      </c>
      <c r="F423" t="s">
        <v>77</v>
      </c>
      <c r="G423" t="s">
        <v>265</v>
      </c>
      <c r="H423">
        <v>3</v>
      </c>
      <c r="I423">
        <v>73.38</v>
      </c>
      <c r="J423" t="s">
        <v>28</v>
      </c>
      <c r="K423" t="s">
        <v>20</v>
      </c>
      <c r="L423">
        <f t="shared" si="6"/>
        <v>220.14</v>
      </c>
    </row>
    <row r="424" spans="1:12" x14ac:dyDescent="0.3">
      <c r="A424" t="s">
        <v>1464</v>
      </c>
      <c r="B424" t="s">
        <v>1286</v>
      </c>
      <c r="C424" t="s">
        <v>1465</v>
      </c>
      <c r="D424" t="s">
        <v>1466</v>
      </c>
      <c r="E424" t="s">
        <v>16</v>
      </c>
      <c r="F424" t="s">
        <v>77</v>
      </c>
      <c r="G424" t="s">
        <v>78</v>
      </c>
      <c r="H424">
        <v>7</v>
      </c>
      <c r="I424">
        <v>4785.2299999999996</v>
      </c>
      <c r="J424" t="s">
        <v>28</v>
      </c>
      <c r="K424" t="s">
        <v>36</v>
      </c>
      <c r="L424">
        <f t="shared" si="6"/>
        <v>33496.61</v>
      </c>
    </row>
    <row r="425" spans="1:12" x14ac:dyDescent="0.3">
      <c r="A425" t="s">
        <v>1467</v>
      </c>
      <c r="B425" t="s">
        <v>650</v>
      </c>
      <c r="C425" t="s">
        <v>1468</v>
      </c>
      <c r="D425" t="s">
        <v>1469</v>
      </c>
      <c r="E425" t="s">
        <v>62</v>
      </c>
      <c r="F425" t="s">
        <v>26</v>
      </c>
      <c r="G425" t="s">
        <v>166</v>
      </c>
      <c r="H425">
        <v>7</v>
      </c>
      <c r="I425">
        <v>3336.33</v>
      </c>
      <c r="J425" t="s">
        <v>19</v>
      </c>
      <c r="K425" t="s">
        <v>36</v>
      </c>
      <c r="L425">
        <f t="shared" si="6"/>
        <v>23354.309999999998</v>
      </c>
    </row>
    <row r="426" spans="1:12" x14ac:dyDescent="0.3">
      <c r="A426" t="s">
        <v>1470</v>
      </c>
      <c r="B426" t="s">
        <v>1471</v>
      </c>
      <c r="C426" t="s">
        <v>962</v>
      </c>
      <c r="D426" t="s">
        <v>252</v>
      </c>
      <c r="E426" t="s">
        <v>95</v>
      </c>
      <c r="F426" t="s">
        <v>48</v>
      </c>
      <c r="G426" t="s">
        <v>63</v>
      </c>
      <c r="H426">
        <v>8</v>
      </c>
      <c r="I426">
        <v>1274.6199999999999</v>
      </c>
      <c r="J426" t="s">
        <v>42</v>
      </c>
      <c r="K426" t="s">
        <v>51</v>
      </c>
      <c r="L426">
        <f t="shared" si="6"/>
        <v>10196.959999999999</v>
      </c>
    </row>
    <row r="427" spans="1:12" x14ac:dyDescent="0.3">
      <c r="A427" t="s">
        <v>1472</v>
      </c>
      <c r="B427" t="s">
        <v>1473</v>
      </c>
      <c r="C427" t="s">
        <v>1474</v>
      </c>
      <c r="D427" t="s">
        <v>1475</v>
      </c>
      <c r="E427" t="s">
        <v>104</v>
      </c>
      <c r="F427" t="s">
        <v>48</v>
      </c>
      <c r="G427" t="s">
        <v>179</v>
      </c>
      <c r="H427">
        <v>10</v>
      </c>
      <c r="I427">
        <v>1773.98</v>
      </c>
      <c r="J427" t="s">
        <v>28</v>
      </c>
      <c r="K427" t="s">
        <v>36</v>
      </c>
      <c r="L427">
        <f t="shared" si="6"/>
        <v>17739.8</v>
      </c>
    </row>
    <row r="428" spans="1:12" x14ac:dyDescent="0.3">
      <c r="A428" t="s">
        <v>1476</v>
      </c>
      <c r="B428" t="s">
        <v>773</v>
      </c>
      <c r="C428" t="s">
        <v>1477</v>
      </c>
      <c r="D428" t="s">
        <v>1478</v>
      </c>
      <c r="E428" t="s">
        <v>34</v>
      </c>
      <c r="F428" t="s">
        <v>48</v>
      </c>
      <c r="G428" t="s">
        <v>179</v>
      </c>
      <c r="H428">
        <v>2</v>
      </c>
      <c r="I428">
        <v>2754.84</v>
      </c>
      <c r="J428" t="s">
        <v>19</v>
      </c>
      <c r="K428" t="s">
        <v>43</v>
      </c>
      <c r="L428">
        <f t="shared" si="6"/>
        <v>5509.68</v>
      </c>
    </row>
    <row r="429" spans="1:12" x14ac:dyDescent="0.3">
      <c r="A429" t="s">
        <v>1479</v>
      </c>
      <c r="B429" t="s">
        <v>1480</v>
      </c>
      <c r="C429" t="s">
        <v>1481</v>
      </c>
      <c r="D429" t="s">
        <v>1482</v>
      </c>
      <c r="E429" t="s">
        <v>56</v>
      </c>
      <c r="F429" t="s">
        <v>26</v>
      </c>
      <c r="G429" t="s">
        <v>27</v>
      </c>
      <c r="H429">
        <v>3</v>
      </c>
      <c r="I429">
        <v>241.34</v>
      </c>
      <c r="J429" t="s">
        <v>28</v>
      </c>
      <c r="K429" t="s">
        <v>51</v>
      </c>
      <c r="L429">
        <f t="shared" si="6"/>
        <v>724.02</v>
      </c>
    </row>
    <row r="430" spans="1:12" x14ac:dyDescent="0.3">
      <c r="A430" t="s">
        <v>1483</v>
      </c>
      <c r="B430" t="s">
        <v>1484</v>
      </c>
      <c r="C430" t="s">
        <v>1344</v>
      </c>
      <c r="D430" t="s">
        <v>754</v>
      </c>
      <c r="E430" t="s">
        <v>128</v>
      </c>
      <c r="F430" t="s">
        <v>17</v>
      </c>
      <c r="G430" t="s">
        <v>68</v>
      </c>
      <c r="H430">
        <v>10</v>
      </c>
      <c r="I430">
        <v>3299.52</v>
      </c>
      <c r="J430" t="s">
        <v>19</v>
      </c>
      <c r="K430" t="s">
        <v>20</v>
      </c>
      <c r="L430">
        <f t="shared" si="6"/>
        <v>32995.199999999997</v>
      </c>
    </row>
    <row r="431" spans="1:12" x14ac:dyDescent="0.3">
      <c r="A431" t="s">
        <v>1485</v>
      </c>
      <c r="B431" t="s">
        <v>359</v>
      </c>
      <c r="C431" t="s">
        <v>420</v>
      </c>
      <c r="D431" t="s">
        <v>1486</v>
      </c>
      <c r="E431" t="s">
        <v>104</v>
      </c>
      <c r="F431" t="s">
        <v>26</v>
      </c>
      <c r="G431" t="s">
        <v>166</v>
      </c>
      <c r="H431">
        <v>4</v>
      </c>
      <c r="I431">
        <v>2700.49</v>
      </c>
      <c r="J431" t="s">
        <v>50</v>
      </c>
      <c r="K431" t="s">
        <v>29</v>
      </c>
      <c r="L431">
        <f t="shared" si="6"/>
        <v>10801.96</v>
      </c>
    </row>
    <row r="432" spans="1:12" x14ac:dyDescent="0.3">
      <c r="A432" t="s">
        <v>1487</v>
      </c>
      <c r="B432" t="s">
        <v>1488</v>
      </c>
      <c r="C432" t="s">
        <v>1489</v>
      </c>
      <c r="D432" t="s">
        <v>1441</v>
      </c>
      <c r="E432" t="s">
        <v>128</v>
      </c>
      <c r="F432" t="s">
        <v>17</v>
      </c>
      <c r="G432" t="s">
        <v>35</v>
      </c>
      <c r="H432">
        <v>8</v>
      </c>
      <c r="I432">
        <v>3363.51</v>
      </c>
      <c r="J432" t="s">
        <v>42</v>
      </c>
      <c r="K432" t="s">
        <v>29</v>
      </c>
      <c r="L432">
        <f t="shared" si="6"/>
        <v>26908.080000000002</v>
      </c>
    </row>
    <row r="433" spans="1:12" x14ac:dyDescent="0.3">
      <c r="A433" t="s">
        <v>1490</v>
      </c>
      <c r="B433" t="s">
        <v>1491</v>
      </c>
      <c r="C433" t="s">
        <v>1492</v>
      </c>
      <c r="D433" t="s">
        <v>1493</v>
      </c>
      <c r="E433" t="s">
        <v>25</v>
      </c>
      <c r="F433" t="s">
        <v>26</v>
      </c>
      <c r="G433" t="s">
        <v>166</v>
      </c>
      <c r="H433">
        <v>7</v>
      </c>
      <c r="I433">
        <v>534.19000000000005</v>
      </c>
      <c r="J433" t="s">
        <v>50</v>
      </c>
      <c r="K433" t="s">
        <v>36</v>
      </c>
      <c r="L433">
        <f t="shared" si="6"/>
        <v>3739.3300000000004</v>
      </c>
    </row>
    <row r="434" spans="1:12" x14ac:dyDescent="0.3">
      <c r="A434" t="s">
        <v>1494</v>
      </c>
      <c r="B434" t="s">
        <v>601</v>
      </c>
      <c r="C434" t="s">
        <v>1495</v>
      </c>
      <c r="D434" t="s">
        <v>1496</v>
      </c>
      <c r="E434" t="s">
        <v>34</v>
      </c>
      <c r="F434" t="s">
        <v>77</v>
      </c>
      <c r="G434" t="s">
        <v>171</v>
      </c>
      <c r="H434">
        <v>6</v>
      </c>
      <c r="I434">
        <v>383.34</v>
      </c>
      <c r="J434" t="s">
        <v>19</v>
      </c>
      <c r="K434" t="s">
        <v>36</v>
      </c>
      <c r="L434">
        <f t="shared" si="6"/>
        <v>2300.04</v>
      </c>
    </row>
    <row r="435" spans="1:12" x14ac:dyDescent="0.3">
      <c r="A435" t="s">
        <v>1497</v>
      </c>
      <c r="B435" t="s">
        <v>1204</v>
      </c>
      <c r="C435" t="s">
        <v>1498</v>
      </c>
      <c r="D435" t="s">
        <v>1499</v>
      </c>
      <c r="E435" t="s">
        <v>62</v>
      </c>
      <c r="F435" t="s">
        <v>26</v>
      </c>
      <c r="G435" t="s">
        <v>166</v>
      </c>
      <c r="H435">
        <v>5</v>
      </c>
      <c r="I435">
        <v>2801.91</v>
      </c>
      <c r="J435" t="s">
        <v>50</v>
      </c>
      <c r="K435" t="s">
        <v>43</v>
      </c>
      <c r="L435">
        <f t="shared" si="6"/>
        <v>14009.55</v>
      </c>
    </row>
    <row r="436" spans="1:12" x14ac:dyDescent="0.3">
      <c r="A436" t="s">
        <v>1500</v>
      </c>
      <c r="B436" t="s">
        <v>1501</v>
      </c>
      <c r="C436" t="s">
        <v>1502</v>
      </c>
      <c r="D436" t="s">
        <v>244</v>
      </c>
      <c r="E436" t="s">
        <v>56</v>
      </c>
      <c r="F436" t="s">
        <v>48</v>
      </c>
      <c r="G436" t="s">
        <v>63</v>
      </c>
      <c r="H436">
        <v>9</v>
      </c>
      <c r="I436">
        <v>4414.62</v>
      </c>
      <c r="J436" t="s">
        <v>42</v>
      </c>
      <c r="K436" t="s">
        <v>83</v>
      </c>
      <c r="L436">
        <f t="shared" si="6"/>
        <v>39731.58</v>
      </c>
    </row>
    <row r="437" spans="1:12" x14ac:dyDescent="0.3">
      <c r="A437" t="s">
        <v>1503</v>
      </c>
      <c r="B437" t="s">
        <v>1504</v>
      </c>
      <c r="C437" t="s">
        <v>1505</v>
      </c>
      <c r="D437" t="s">
        <v>1155</v>
      </c>
      <c r="E437" t="s">
        <v>25</v>
      </c>
      <c r="F437" t="s">
        <v>48</v>
      </c>
      <c r="G437" t="s">
        <v>110</v>
      </c>
      <c r="H437">
        <v>5</v>
      </c>
      <c r="I437">
        <v>2399.8000000000002</v>
      </c>
      <c r="J437" t="s">
        <v>50</v>
      </c>
      <c r="K437" t="s">
        <v>51</v>
      </c>
      <c r="L437">
        <f t="shared" si="6"/>
        <v>11999</v>
      </c>
    </row>
    <row r="438" spans="1:12" x14ac:dyDescent="0.3">
      <c r="A438" t="s">
        <v>1506</v>
      </c>
      <c r="B438" t="s">
        <v>355</v>
      </c>
      <c r="C438" t="s">
        <v>360</v>
      </c>
      <c r="D438" t="s">
        <v>1507</v>
      </c>
      <c r="E438" t="s">
        <v>62</v>
      </c>
      <c r="F438" t="s">
        <v>48</v>
      </c>
      <c r="G438" t="s">
        <v>63</v>
      </c>
      <c r="H438">
        <v>4</v>
      </c>
      <c r="I438">
        <v>3427.73</v>
      </c>
      <c r="J438" t="s">
        <v>42</v>
      </c>
      <c r="K438" t="s">
        <v>36</v>
      </c>
      <c r="L438">
        <f t="shared" si="6"/>
        <v>13710.92</v>
      </c>
    </row>
    <row r="439" spans="1:12" x14ac:dyDescent="0.3">
      <c r="A439" t="s">
        <v>1508</v>
      </c>
      <c r="B439" t="s">
        <v>437</v>
      </c>
      <c r="C439" t="s">
        <v>669</v>
      </c>
      <c r="D439" t="s">
        <v>1509</v>
      </c>
      <c r="E439" t="s">
        <v>56</v>
      </c>
      <c r="F439" t="s">
        <v>77</v>
      </c>
      <c r="G439" t="s">
        <v>78</v>
      </c>
      <c r="H439">
        <v>9</v>
      </c>
      <c r="I439">
        <v>3499.97</v>
      </c>
      <c r="J439" t="s">
        <v>28</v>
      </c>
      <c r="K439" t="s">
        <v>43</v>
      </c>
      <c r="L439">
        <f t="shared" si="6"/>
        <v>31499.73</v>
      </c>
    </row>
    <row r="440" spans="1:12" x14ac:dyDescent="0.3">
      <c r="A440" t="s">
        <v>1510</v>
      </c>
      <c r="B440" t="s">
        <v>1511</v>
      </c>
      <c r="C440" t="s">
        <v>801</v>
      </c>
      <c r="D440" t="s">
        <v>1512</v>
      </c>
      <c r="E440" t="s">
        <v>25</v>
      </c>
      <c r="F440" t="s">
        <v>26</v>
      </c>
      <c r="G440" t="s">
        <v>166</v>
      </c>
      <c r="H440">
        <v>10</v>
      </c>
      <c r="I440">
        <v>477.03</v>
      </c>
      <c r="J440" t="s">
        <v>50</v>
      </c>
      <c r="K440" t="s">
        <v>51</v>
      </c>
      <c r="L440">
        <f t="shared" si="6"/>
        <v>4770.2999999999993</v>
      </c>
    </row>
    <row r="441" spans="1:12" x14ac:dyDescent="0.3">
      <c r="A441" t="s">
        <v>1513</v>
      </c>
      <c r="B441" t="s">
        <v>1430</v>
      </c>
      <c r="C441" t="s">
        <v>1514</v>
      </c>
      <c r="D441" t="s">
        <v>1091</v>
      </c>
      <c r="E441" t="s">
        <v>128</v>
      </c>
      <c r="F441" t="s">
        <v>77</v>
      </c>
      <c r="G441" t="s">
        <v>171</v>
      </c>
      <c r="H441">
        <v>1</v>
      </c>
      <c r="I441">
        <v>4227.1000000000004</v>
      </c>
      <c r="J441" t="s">
        <v>50</v>
      </c>
      <c r="K441" t="s">
        <v>29</v>
      </c>
      <c r="L441">
        <f t="shared" si="6"/>
        <v>4227.1000000000004</v>
      </c>
    </row>
    <row r="442" spans="1:12" x14ac:dyDescent="0.3">
      <c r="A442" t="s">
        <v>1515</v>
      </c>
      <c r="B442" t="s">
        <v>1015</v>
      </c>
      <c r="C442" t="s">
        <v>1347</v>
      </c>
      <c r="D442" t="s">
        <v>87</v>
      </c>
      <c r="E442" t="s">
        <v>56</v>
      </c>
      <c r="F442" t="s">
        <v>26</v>
      </c>
      <c r="G442" t="s">
        <v>115</v>
      </c>
      <c r="H442">
        <v>3</v>
      </c>
      <c r="I442">
        <v>243.28</v>
      </c>
      <c r="J442" t="s">
        <v>50</v>
      </c>
      <c r="K442" t="s">
        <v>83</v>
      </c>
      <c r="L442">
        <f t="shared" si="6"/>
        <v>729.84</v>
      </c>
    </row>
    <row r="443" spans="1:12" x14ac:dyDescent="0.3">
      <c r="A443" t="s">
        <v>1516</v>
      </c>
      <c r="B443" t="s">
        <v>1517</v>
      </c>
      <c r="C443" t="s">
        <v>1016</v>
      </c>
      <c r="D443" t="s">
        <v>1518</v>
      </c>
      <c r="E443" t="s">
        <v>128</v>
      </c>
      <c r="F443" t="s">
        <v>17</v>
      </c>
      <c r="G443" t="s">
        <v>188</v>
      </c>
      <c r="H443">
        <v>2</v>
      </c>
      <c r="I443">
        <v>4864.8</v>
      </c>
      <c r="J443" t="s">
        <v>28</v>
      </c>
      <c r="K443" t="s">
        <v>51</v>
      </c>
      <c r="L443">
        <f t="shared" si="6"/>
        <v>9729.6</v>
      </c>
    </row>
    <row r="444" spans="1:12" x14ac:dyDescent="0.3">
      <c r="A444" t="s">
        <v>1519</v>
      </c>
      <c r="B444" t="s">
        <v>898</v>
      </c>
      <c r="C444" t="s">
        <v>1520</v>
      </c>
      <c r="D444" t="s">
        <v>1085</v>
      </c>
      <c r="E444" t="s">
        <v>16</v>
      </c>
      <c r="F444" t="s">
        <v>17</v>
      </c>
      <c r="G444" t="s">
        <v>41</v>
      </c>
      <c r="H444">
        <v>3</v>
      </c>
      <c r="I444">
        <v>2111.5700000000002</v>
      </c>
      <c r="J444" t="s">
        <v>28</v>
      </c>
      <c r="K444" t="s">
        <v>36</v>
      </c>
      <c r="L444">
        <f t="shared" si="6"/>
        <v>6334.7100000000009</v>
      </c>
    </row>
    <row r="445" spans="1:12" x14ac:dyDescent="0.3">
      <c r="A445" t="s">
        <v>1521</v>
      </c>
      <c r="B445" t="s">
        <v>1522</v>
      </c>
      <c r="C445" t="s">
        <v>1523</v>
      </c>
      <c r="D445" t="s">
        <v>1524</v>
      </c>
      <c r="E445" t="s">
        <v>128</v>
      </c>
      <c r="F445" t="s">
        <v>77</v>
      </c>
      <c r="G445" t="s">
        <v>171</v>
      </c>
      <c r="H445">
        <v>3</v>
      </c>
      <c r="I445">
        <v>1766.55</v>
      </c>
      <c r="J445" t="s">
        <v>50</v>
      </c>
      <c r="K445" t="s">
        <v>20</v>
      </c>
      <c r="L445">
        <f t="shared" si="6"/>
        <v>5299.65</v>
      </c>
    </row>
    <row r="446" spans="1:12" x14ac:dyDescent="0.3">
      <c r="A446" t="s">
        <v>1525</v>
      </c>
      <c r="B446" t="s">
        <v>464</v>
      </c>
      <c r="C446" t="s">
        <v>1526</v>
      </c>
      <c r="D446" t="s">
        <v>224</v>
      </c>
      <c r="E446" t="s">
        <v>56</v>
      </c>
      <c r="F446" t="s">
        <v>26</v>
      </c>
      <c r="G446" t="s">
        <v>27</v>
      </c>
      <c r="H446">
        <v>10</v>
      </c>
      <c r="I446">
        <v>2698.08</v>
      </c>
      <c r="J446" t="s">
        <v>19</v>
      </c>
      <c r="K446" t="s">
        <v>43</v>
      </c>
      <c r="L446">
        <f t="shared" si="6"/>
        <v>26980.799999999999</v>
      </c>
    </row>
    <row r="447" spans="1:12" x14ac:dyDescent="0.3">
      <c r="A447" t="s">
        <v>1527</v>
      </c>
      <c r="B447" t="s">
        <v>1480</v>
      </c>
      <c r="C447" t="s">
        <v>1528</v>
      </c>
      <c r="D447" t="s">
        <v>1292</v>
      </c>
      <c r="E447" t="s">
        <v>128</v>
      </c>
      <c r="F447" t="s">
        <v>17</v>
      </c>
      <c r="G447" t="s">
        <v>18</v>
      </c>
      <c r="H447">
        <v>4</v>
      </c>
      <c r="I447">
        <v>132.38999999999999</v>
      </c>
      <c r="J447" t="s">
        <v>28</v>
      </c>
      <c r="K447" t="s">
        <v>83</v>
      </c>
      <c r="L447">
        <f t="shared" si="6"/>
        <v>529.55999999999995</v>
      </c>
    </row>
    <row r="448" spans="1:12" x14ac:dyDescent="0.3">
      <c r="A448" t="s">
        <v>1529</v>
      </c>
      <c r="B448" t="s">
        <v>1530</v>
      </c>
      <c r="C448" t="s">
        <v>1531</v>
      </c>
      <c r="D448" t="s">
        <v>1390</v>
      </c>
      <c r="E448" t="s">
        <v>25</v>
      </c>
      <c r="F448" t="s">
        <v>77</v>
      </c>
      <c r="G448" t="s">
        <v>123</v>
      </c>
      <c r="H448">
        <v>4</v>
      </c>
      <c r="I448">
        <v>2243.44</v>
      </c>
      <c r="J448" t="s">
        <v>28</v>
      </c>
      <c r="K448" t="s">
        <v>51</v>
      </c>
      <c r="L448">
        <f t="shared" si="6"/>
        <v>8973.76</v>
      </c>
    </row>
    <row r="449" spans="1:12" x14ac:dyDescent="0.3">
      <c r="A449" t="s">
        <v>1532</v>
      </c>
      <c r="B449" t="s">
        <v>89</v>
      </c>
      <c r="C449" t="s">
        <v>1101</v>
      </c>
      <c r="D449" t="s">
        <v>1533</v>
      </c>
      <c r="E449" t="s">
        <v>95</v>
      </c>
      <c r="F449" t="s">
        <v>26</v>
      </c>
      <c r="G449" t="s">
        <v>208</v>
      </c>
      <c r="H449">
        <v>2</v>
      </c>
      <c r="I449">
        <v>2145.73</v>
      </c>
      <c r="J449" t="s">
        <v>28</v>
      </c>
      <c r="K449" t="s">
        <v>20</v>
      </c>
      <c r="L449">
        <f t="shared" si="6"/>
        <v>4291.46</v>
      </c>
    </row>
    <row r="450" spans="1:12" x14ac:dyDescent="0.3">
      <c r="A450" t="s">
        <v>1534</v>
      </c>
      <c r="B450" t="s">
        <v>1535</v>
      </c>
      <c r="C450" t="s">
        <v>640</v>
      </c>
      <c r="D450" t="s">
        <v>383</v>
      </c>
      <c r="E450" t="s">
        <v>25</v>
      </c>
      <c r="F450" t="s">
        <v>77</v>
      </c>
      <c r="G450" t="s">
        <v>123</v>
      </c>
      <c r="H450">
        <v>6</v>
      </c>
      <c r="I450">
        <v>1916.87</v>
      </c>
      <c r="J450" t="s">
        <v>42</v>
      </c>
      <c r="K450" t="s">
        <v>36</v>
      </c>
      <c r="L450">
        <f t="shared" si="6"/>
        <v>11501.22</v>
      </c>
    </row>
    <row r="451" spans="1:12" x14ac:dyDescent="0.3">
      <c r="A451" t="s">
        <v>1536</v>
      </c>
      <c r="B451" t="s">
        <v>1537</v>
      </c>
      <c r="C451" t="s">
        <v>1538</v>
      </c>
      <c r="D451" t="s">
        <v>1539</v>
      </c>
      <c r="E451" t="s">
        <v>56</v>
      </c>
      <c r="F451" t="s">
        <v>17</v>
      </c>
      <c r="G451" t="s">
        <v>18</v>
      </c>
      <c r="H451">
        <v>1</v>
      </c>
      <c r="I451">
        <v>3596.52</v>
      </c>
      <c r="J451" t="s">
        <v>42</v>
      </c>
      <c r="K451" t="s">
        <v>83</v>
      </c>
      <c r="L451">
        <f t="shared" ref="L451:L514" si="7">H451*I451</f>
        <v>3596.52</v>
      </c>
    </row>
    <row r="452" spans="1:12" x14ac:dyDescent="0.3">
      <c r="A452" t="s">
        <v>1540</v>
      </c>
      <c r="B452" t="s">
        <v>1541</v>
      </c>
      <c r="C452" t="s">
        <v>1542</v>
      </c>
      <c r="D452" t="s">
        <v>1543</v>
      </c>
      <c r="E452" t="s">
        <v>25</v>
      </c>
      <c r="F452" t="s">
        <v>26</v>
      </c>
      <c r="G452" t="s">
        <v>296</v>
      </c>
      <c r="H452">
        <v>5</v>
      </c>
      <c r="I452">
        <v>634.72</v>
      </c>
      <c r="J452" t="s">
        <v>50</v>
      </c>
      <c r="K452" t="s">
        <v>51</v>
      </c>
      <c r="L452">
        <f t="shared" si="7"/>
        <v>3173.6000000000004</v>
      </c>
    </row>
    <row r="453" spans="1:12" x14ac:dyDescent="0.3">
      <c r="A453" t="s">
        <v>1544</v>
      </c>
      <c r="B453" t="s">
        <v>1231</v>
      </c>
      <c r="C453" t="s">
        <v>259</v>
      </c>
      <c r="D453" t="s">
        <v>15</v>
      </c>
      <c r="E453" t="s">
        <v>62</v>
      </c>
      <c r="F453" t="s">
        <v>26</v>
      </c>
      <c r="G453" t="s">
        <v>115</v>
      </c>
      <c r="H453">
        <v>6</v>
      </c>
      <c r="I453">
        <v>4622</v>
      </c>
      <c r="J453" t="s">
        <v>42</v>
      </c>
      <c r="K453" t="s">
        <v>43</v>
      </c>
      <c r="L453">
        <f t="shared" si="7"/>
        <v>27732</v>
      </c>
    </row>
    <row r="454" spans="1:12" x14ac:dyDescent="0.3">
      <c r="A454" t="s">
        <v>1545</v>
      </c>
      <c r="B454" t="s">
        <v>1398</v>
      </c>
      <c r="C454" t="s">
        <v>558</v>
      </c>
      <c r="D454" t="s">
        <v>802</v>
      </c>
      <c r="E454" t="s">
        <v>25</v>
      </c>
      <c r="F454" t="s">
        <v>17</v>
      </c>
      <c r="G454" t="s">
        <v>18</v>
      </c>
      <c r="H454">
        <v>7</v>
      </c>
      <c r="I454">
        <v>3568.02</v>
      </c>
      <c r="J454" t="s">
        <v>19</v>
      </c>
      <c r="K454" t="s">
        <v>29</v>
      </c>
      <c r="L454">
        <f t="shared" si="7"/>
        <v>24976.14</v>
      </c>
    </row>
    <row r="455" spans="1:12" x14ac:dyDescent="0.3">
      <c r="A455" t="s">
        <v>1546</v>
      </c>
      <c r="B455" t="s">
        <v>1501</v>
      </c>
      <c r="C455" t="s">
        <v>259</v>
      </c>
      <c r="D455" t="s">
        <v>1547</v>
      </c>
      <c r="E455" t="s">
        <v>104</v>
      </c>
      <c r="F455" t="s">
        <v>48</v>
      </c>
      <c r="G455" t="s">
        <v>110</v>
      </c>
      <c r="H455">
        <v>7</v>
      </c>
      <c r="I455">
        <v>577.44000000000005</v>
      </c>
      <c r="J455" t="s">
        <v>28</v>
      </c>
      <c r="K455" t="s">
        <v>36</v>
      </c>
      <c r="L455">
        <f t="shared" si="7"/>
        <v>4042.0800000000004</v>
      </c>
    </row>
    <row r="456" spans="1:12" x14ac:dyDescent="0.3">
      <c r="A456" t="s">
        <v>1548</v>
      </c>
      <c r="B456" t="s">
        <v>1549</v>
      </c>
      <c r="C456" t="s">
        <v>1550</v>
      </c>
      <c r="D456" t="s">
        <v>1056</v>
      </c>
      <c r="E456" t="s">
        <v>25</v>
      </c>
      <c r="F456" t="s">
        <v>17</v>
      </c>
      <c r="G456" t="s">
        <v>68</v>
      </c>
      <c r="H456">
        <v>6</v>
      </c>
      <c r="I456">
        <v>774.78</v>
      </c>
      <c r="J456" t="s">
        <v>19</v>
      </c>
      <c r="K456" t="s">
        <v>20</v>
      </c>
      <c r="L456">
        <f t="shared" si="7"/>
        <v>4648.68</v>
      </c>
    </row>
    <row r="457" spans="1:12" x14ac:dyDescent="0.3">
      <c r="A457" t="s">
        <v>1551</v>
      </c>
      <c r="B457" t="s">
        <v>1552</v>
      </c>
      <c r="C457" t="s">
        <v>1553</v>
      </c>
      <c r="D457" t="s">
        <v>1554</v>
      </c>
      <c r="E457" t="s">
        <v>34</v>
      </c>
      <c r="F457" t="s">
        <v>17</v>
      </c>
      <c r="G457" t="s">
        <v>35</v>
      </c>
      <c r="H457">
        <v>7</v>
      </c>
      <c r="I457">
        <v>2139.63</v>
      </c>
      <c r="J457" t="s">
        <v>42</v>
      </c>
      <c r="K457" t="s">
        <v>51</v>
      </c>
      <c r="L457">
        <f t="shared" si="7"/>
        <v>14977.41</v>
      </c>
    </row>
    <row r="458" spans="1:12" x14ac:dyDescent="0.3">
      <c r="A458" t="s">
        <v>1555</v>
      </c>
      <c r="B458" t="s">
        <v>1556</v>
      </c>
      <c r="C458" t="s">
        <v>1557</v>
      </c>
      <c r="D458" t="s">
        <v>1558</v>
      </c>
      <c r="E458" t="s">
        <v>25</v>
      </c>
      <c r="F458" t="s">
        <v>48</v>
      </c>
      <c r="G458" t="s">
        <v>57</v>
      </c>
      <c r="H458">
        <v>4</v>
      </c>
      <c r="I458">
        <v>3573.71</v>
      </c>
      <c r="J458" t="s">
        <v>50</v>
      </c>
      <c r="K458" t="s">
        <v>36</v>
      </c>
      <c r="L458">
        <f t="shared" si="7"/>
        <v>14294.84</v>
      </c>
    </row>
    <row r="459" spans="1:12" x14ac:dyDescent="0.3">
      <c r="A459" t="s">
        <v>1559</v>
      </c>
      <c r="B459" t="s">
        <v>1392</v>
      </c>
      <c r="C459" t="s">
        <v>1560</v>
      </c>
      <c r="D459" t="s">
        <v>165</v>
      </c>
      <c r="E459" t="s">
        <v>95</v>
      </c>
      <c r="F459" t="s">
        <v>48</v>
      </c>
      <c r="G459" t="s">
        <v>63</v>
      </c>
      <c r="H459">
        <v>5</v>
      </c>
      <c r="I459">
        <v>1894.23</v>
      </c>
      <c r="J459" t="s">
        <v>19</v>
      </c>
      <c r="K459" t="s">
        <v>51</v>
      </c>
      <c r="L459">
        <f t="shared" si="7"/>
        <v>9471.15</v>
      </c>
    </row>
    <row r="460" spans="1:12" x14ac:dyDescent="0.3">
      <c r="A460" t="s">
        <v>1561</v>
      </c>
      <c r="B460" t="s">
        <v>1562</v>
      </c>
      <c r="C460" t="s">
        <v>398</v>
      </c>
      <c r="D460" t="s">
        <v>1563</v>
      </c>
      <c r="E460" t="s">
        <v>25</v>
      </c>
      <c r="F460" t="s">
        <v>48</v>
      </c>
      <c r="G460" t="s">
        <v>110</v>
      </c>
      <c r="H460">
        <v>1</v>
      </c>
      <c r="I460">
        <v>706.26</v>
      </c>
      <c r="J460" t="s">
        <v>28</v>
      </c>
      <c r="K460" t="s">
        <v>83</v>
      </c>
      <c r="L460">
        <f t="shared" si="7"/>
        <v>706.26</v>
      </c>
    </row>
    <row r="461" spans="1:12" x14ac:dyDescent="0.3">
      <c r="A461" t="s">
        <v>1564</v>
      </c>
      <c r="B461" t="s">
        <v>1565</v>
      </c>
      <c r="C461" t="s">
        <v>1566</v>
      </c>
      <c r="D461" t="s">
        <v>888</v>
      </c>
      <c r="E461" t="s">
        <v>62</v>
      </c>
      <c r="F461" t="s">
        <v>77</v>
      </c>
      <c r="G461" t="s">
        <v>123</v>
      </c>
      <c r="H461">
        <v>2</v>
      </c>
      <c r="I461">
        <v>3748.68</v>
      </c>
      <c r="J461" t="s">
        <v>19</v>
      </c>
      <c r="K461" t="s">
        <v>43</v>
      </c>
      <c r="L461">
        <f t="shared" si="7"/>
        <v>7497.36</v>
      </c>
    </row>
    <row r="462" spans="1:12" x14ac:dyDescent="0.3">
      <c r="A462" t="s">
        <v>1567</v>
      </c>
      <c r="B462" t="s">
        <v>1317</v>
      </c>
      <c r="C462" t="s">
        <v>1568</v>
      </c>
      <c r="D462" t="s">
        <v>1569</v>
      </c>
      <c r="E462" t="s">
        <v>25</v>
      </c>
      <c r="F462" t="s">
        <v>77</v>
      </c>
      <c r="G462" t="s">
        <v>171</v>
      </c>
      <c r="H462">
        <v>4</v>
      </c>
      <c r="I462">
        <v>1000.84</v>
      </c>
      <c r="J462" t="s">
        <v>50</v>
      </c>
      <c r="K462" t="s">
        <v>29</v>
      </c>
      <c r="L462">
        <f t="shared" si="7"/>
        <v>4003.36</v>
      </c>
    </row>
    <row r="463" spans="1:12" x14ac:dyDescent="0.3">
      <c r="A463" t="s">
        <v>1570</v>
      </c>
      <c r="B463" t="s">
        <v>687</v>
      </c>
      <c r="C463" t="s">
        <v>1571</v>
      </c>
      <c r="D463" t="s">
        <v>1572</v>
      </c>
      <c r="E463" t="s">
        <v>25</v>
      </c>
      <c r="F463" t="s">
        <v>48</v>
      </c>
      <c r="G463" t="s">
        <v>49</v>
      </c>
      <c r="H463">
        <v>10</v>
      </c>
      <c r="I463">
        <v>1702.55</v>
      </c>
      <c r="J463" t="s">
        <v>42</v>
      </c>
      <c r="K463" t="s">
        <v>51</v>
      </c>
      <c r="L463">
        <f t="shared" si="7"/>
        <v>17025.5</v>
      </c>
    </row>
    <row r="464" spans="1:12" x14ac:dyDescent="0.3">
      <c r="A464" t="s">
        <v>1573</v>
      </c>
      <c r="B464" t="s">
        <v>557</v>
      </c>
      <c r="C464" t="s">
        <v>1084</v>
      </c>
      <c r="D464" t="s">
        <v>1574</v>
      </c>
      <c r="E464" t="s">
        <v>62</v>
      </c>
      <c r="F464" t="s">
        <v>77</v>
      </c>
      <c r="G464" t="s">
        <v>78</v>
      </c>
      <c r="H464">
        <v>2</v>
      </c>
      <c r="I464">
        <v>2950.35</v>
      </c>
      <c r="J464" t="s">
        <v>28</v>
      </c>
      <c r="K464" t="s">
        <v>51</v>
      </c>
      <c r="L464">
        <f t="shared" si="7"/>
        <v>5900.7</v>
      </c>
    </row>
    <row r="465" spans="1:12" x14ac:dyDescent="0.3">
      <c r="A465" t="s">
        <v>1575</v>
      </c>
      <c r="B465" t="s">
        <v>1215</v>
      </c>
      <c r="C465" t="s">
        <v>427</v>
      </c>
      <c r="D465" t="s">
        <v>1576</v>
      </c>
      <c r="E465" t="s">
        <v>56</v>
      </c>
      <c r="F465" t="s">
        <v>48</v>
      </c>
      <c r="G465" t="s">
        <v>110</v>
      </c>
      <c r="H465">
        <v>3</v>
      </c>
      <c r="I465">
        <v>3240.7</v>
      </c>
      <c r="J465" t="s">
        <v>42</v>
      </c>
      <c r="K465" t="s">
        <v>43</v>
      </c>
      <c r="L465">
        <f t="shared" si="7"/>
        <v>9722.0999999999985</v>
      </c>
    </row>
    <row r="466" spans="1:12" x14ac:dyDescent="0.3">
      <c r="A466" t="s">
        <v>1577</v>
      </c>
      <c r="B466" t="s">
        <v>1578</v>
      </c>
      <c r="C466" t="s">
        <v>815</v>
      </c>
      <c r="D466" t="s">
        <v>1579</v>
      </c>
      <c r="E466" t="s">
        <v>25</v>
      </c>
      <c r="F466" t="s">
        <v>26</v>
      </c>
      <c r="G466" t="s">
        <v>115</v>
      </c>
      <c r="H466">
        <v>8</v>
      </c>
      <c r="I466">
        <v>4717.29</v>
      </c>
      <c r="J466" t="s">
        <v>19</v>
      </c>
      <c r="K466" t="s">
        <v>36</v>
      </c>
      <c r="L466">
        <f t="shared" si="7"/>
        <v>37738.32</v>
      </c>
    </row>
    <row r="467" spans="1:12" x14ac:dyDescent="0.3">
      <c r="A467" t="s">
        <v>1580</v>
      </c>
      <c r="B467" t="s">
        <v>534</v>
      </c>
      <c r="C467" t="s">
        <v>468</v>
      </c>
      <c r="D467" t="s">
        <v>775</v>
      </c>
      <c r="E467" t="s">
        <v>95</v>
      </c>
      <c r="F467" t="s">
        <v>48</v>
      </c>
      <c r="G467" t="s">
        <v>179</v>
      </c>
      <c r="H467">
        <v>3</v>
      </c>
      <c r="I467">
        <v>3136.63</v>
      </c>
      <c r="J467" t="s">
        <v>28</v>
      </c>
      <c r="K467" t="s">
        <v>36</v>
      </c>
      <c r="L467">
        <f t="shared" si="7"/>
        <v>9409.89</v>
      </c>
    </row>
    <row r="468" spans="1:12" x14ac:dyDescent="0.3">
      <c r="A468" t="s">
        <v>1581</v>
      </c>
      <c r="B468" t="s">
        <v>461</v>
      </c>
      <c r="C468" t="s">
        <v>1582</v>
      </c>
      <c r="D468" t="s">
        <v>976</v>
      </c>
      <c r="E468" t="s">
        <v>95</v>
      </c>
      <c r="F468" t="s">
        <v>26</v>
      </c>
      <c r="G468" t="s">
        <v>115</v>
      </c>
      <c r="H468">
        <v>6</v>
      </c>
      <c r="I468">
        <v>4084.87</v>
      </c>
      <c r="J468" t="s">
        <v>42</v>
      </c>
      <c r="K468" t="s">
        <v>20</v>
      </c>
      <c r="L468">
        <f t="shared" si="7"/>
        <v>24509.22</v>
      </c>
    </row>
    <row r="469" spans="1:12" x14ac:dyDescent="0.3">
      <c r="A469" t="s">
        <v>1583</v>
      </c>
      <c r="B469" t="s">
        <v>53</v>
      </c>
      <c r="C469" t="s">
        <v>1584</v>
      </c>
      <c r="D469" t="s">
        <v>1585</v>
      </c>
      <c r="E469" t="s">
        <v>95</v>
      </c>
      <c r="F469" t="s">
        <v>26</v>
      </c>
      <c r="G469" t="s">
        <v>208</v>
      </c>
      <c r="H469">
        <v>1</v>
      </c>
      <c r="I469">
        <v>1687.77</v>
      </c>
      <c r="J469" t="s">
        <v>28</v>
      </c>
      <c r="K469" t="s">
        <v>36</v>
      </c>
      <c r="L469">
        <f t="shared" si="7"/>
        <v>1687.77</v>
      </c>
    </row>
    <row r="470" spans="1:12" x14ac:dyDescent="0.3">
      <c r="A470" t="s">
        <v>1586</v>
      </c>
      <c r="B470" t="s">
        <v>1587</v>
      </c>
      <c r="C470" t="s">
        <v>458</v>
      </c>
      <c r="D470" t="s">
        <v>1588</v>
      </c>
      <c r="E470" t="s">
        <v>16</v>
      </c>
      <c r="F470" t="s">
        <v>26</v>
      </c>
      <c r="G470" t="s">
        <v>115</v>
      </c>
      <c r="H470">
        <v>1</v>
      </c>
      <c r="I470">
        <v>4385.3100000000004</v>
      </c>
      <c r="J470" t="s">
        <v>50</v>
      </c>
      <c r="K470" t="s">
        <v>29</v>
      </c>
      <c r="L470">
        <f t="shared" si="7"/>
        <v>4385.3100000000004</v>
      </c>
    </row>
    <row r="471" spans="1:12" x14ac:dyDescent="0.3">
      <c r="A471" t="s">
        <v>1589</v>
      </c>
      <c r="B471" t="s">
        <v>397</v>
      </c>
      <c r="C471" t="s">
        <v>1590</v>
      </c>
      <c r="D471" t="s">
        <v>1591</v>
      </c>
      <c r="E471" t="s">
        <v>16</v>
      </c>
      <c r="F471" t="s">
        <v>17</v>
      </c>
      <c r="G471" t="s">
        <v>41</v>
      </c>
      <c r="H471">
        <v>1</v>
      </c>
      <c r="I471">
        <v>3444.01</v>
      </c>
      <c r="J471" t="s">
        <v>42</v>
      </c>
      <c r="K471" t="s">
        <v>20</v>
      </c>
      <c r="L471">
        <f t="shared" si="7"/>
        <v>3444.01</v>
      </c>
    </row>
    <row r="472" spans="1:12" x14ac:dyDescent="0.3">
      <c r="A472" t="s">
        <v>1592</v>
      </c>
      <c r="B472" t="s">
        <v>1593</v>
      </c>
      <c r="C472" t="s">
        <v>1594</v>
      </c>
      <c r="D472" t="s">
        <v>1595</v>
      </c>
      <c r="E472" t="s">
        <v>104</v>
      </c>
      <c r="F472" t="s">
        <v>48</v>
      </c>
      <c r="G472" t="s">
        <v>179</v>
      </c>
      <c r="H472">
        <v>3</v>
      </c>
      <c r="I472">
        <v>742.79</v>
      </c>
      <c r="J472" t="s">
        <v>50</v>
      </c>
      <c r="K472" t="s">
        <v>29</v>
      </c>
      <c r="L472">
        <f t="shared" si="7"/>
        <v>2228.37</v>
      </c>
    </row>
    <row r="473" spans="1:12" x14ac:dyDescent="0.3">
      <c r="A473" t="s">
        <v>1596</v>
      </c>
      <c r="B473" t="s">
        <v>1597</v>
      </c>
      <c r="C473" t="s">
        <v>1598</v>
      </c>
      <c r="D473" t="s">
        <v>1599</v>
      </c>
      <c r="E473" t="s">
        <v>62</v>
      </c>
      <c r="F473" t="s">
        <v>17</v>
      </c>
      <c r="G473" t="s">
        <v>41</v>
      </c>
      <c r="H473">
        <v>4</v>
      </c>
      <c r="I473">
        <v>1157.97</v>
      </c>
      <c r="J473" t="s">
        <v>42</v>
      </c>
      <c r="K473" t="s">
        <v>29</v>
      </c>
      <c r="L473">
        <f t="shared" si="7"/>
        <v>4631.88</v>
      </c>
    </row>
    <row r="474" spans="1:12" x14ac:dyDescent="0.3">
      <c r="A474" t="s">
        <v>1600</v>
      </c>
      <c r="B474" t="s">
        <v>134</v>
      </c>
      <c r="C474" t="s">
        <v>102</v>
      </c>
      <c r="D474" t="s">
        <v>1601</v>
      </c>
      <c r="E474" t="s">
        <v>128</v>
      </c>
      <c r="F474" t="s">
        <v>48</v>
      </c>
      <c r="G474" t="s">
        <v>110</v>
      </c>
      <c r="H474">
        <v>3</v>
      </c>
      <c r="I474">
        <v>4628.12</v>
      </c>
      <c r="J474" t="s">
        <v>42</v>
      </c>
      <c r="K474" t="s">
        <v>29</v>
      </c>
      <c r="L474">
        <f t="shared" si="7"/>
        <v>13884.36</v>
      </c>
    </row>
    <row r="475" spans="1:12" x14ac:dyDescent="0.3">
      <c r="A475" t="s">
        <v>1602</v>
      </c>
      <c r="B475" t="s">
        <v>1151</v>
      </c>
      <c r="C475" t="s">
        <v>1603</v>
      </c>
      <c r="D475" t="s">
        <v>736</v>
      </c>
      <c r="E475" t="s">
        <v>128</v>
      </c>
      <c r="F475" t="s">
        <v>26</v>
      </c>
      <c r="G475" t="s">
        <v>208</v>
      </c>
      <c r="H475">
        <v>10</v>
      </c>
      <c r="I475">
        <v>3076.48</v>
      </c>
      <c r="J475" t="s">
        <v>42</v>
      </c>
      <c r="K475" t="s">
        <v>83</v>
      </c>
      <c r="L475">
        <f t="shared" si="7"/>
        <v>30764.799999999999</v>
      </c>
    </row>
    <row r="476" spans="1:12" x14ac:dyDescent="0.3">
      <c r="A476" t="s">
        <v>1604</v>
      </c>
      <c r="B476" t="s">
        <v>873</v>
      </c>
      <c r="C476" t="s">
        <v>1605</v>
      </c>
      <c r="D476" t="s">
        <v>1606</v>
      </c>
      <c r="E476" t="s">
        <v>104</v>
      </c>
      <c r="F476" t="s">
        <v>26</v>
      </c>
      <c r="G476" t="s">
        <v>208</v>
      </c>
      <c r="H476">
        <v>2</v>
      </c>
      <c r="I476">
        <v>2093.71</v>
      </c>
      <c r="J476" t="s">
        <v>28</v>
      </c>
      <c r="K476" t="s">
        <v>36</v>
      </c>
      <c r="L476">
        <f t="shared" si="7"/>
        <v>4187.42</v>
      </c>
    </row>
    <row r="477" spans="1:12" x14ac:dyDescent="0.3">
      <c r="A477" t="s">
        <v>1607</v>
      </c>
      <c r="B477" t="s">
        <v>181</v>
      </c>
      <c r="C477" t="s">
        <v>1468</v>
      </c>
      <c r="D477" t="s">
        <v>1077</v>
      </c>
      <c r="E477" t="s">
        <v>128</v>
      </c>
      <c r="F477" t="s">
        <v>77</v>
      </c>
      <c r="G477" t="s">
        <v>78</v>
      </c>
      <c r="H477">
        <v>5</v>
      </c>
      <c r="I477">
        <v>3336.71</v>
      </c>
      <c r="J477" t="s">
        <v>42</v>
      </c>
      <c r="K477" t="s">
        <v>29</v>
      </c>
      <c r="L477">
        <f t="shared" si="7"/>
        <v>16683.55</v>
      </c>
    </row>
    <row r="478" spans="1:12" x14ac:dyDescent="0.3">
      <c r="A478" t="s">
        <v>1608</v>
      </c>
      <c r="B478" t="s">
        <v>89</v>
      </c>
      <c r="C478" t="s">
        <v>1609</v>
      </c>
      <c r="D478" t="s">
        <v>1610</v>
      </c>
      <c r="E478" t="s">
        <v>34</v>
      </c>
      <c r="F478" t="s">
        <v>77</v>
      </c>
      <c r="G478" t="s">
        <v>265</v>
      </c>
      <c r="H478">
        <v>1</v>
      </c>
      <c r="I478">
        <v>3364.79</v>
      </c>
      <c r="J478" t="s">
        <v>19</v>
      </c>
      <c r="K478" t="s">
        <v>43</v>
      </c>
      <c r="L478">
        <f t="shared" si="7"/>
        <v>3364.79</v>
      </c>
    </row>
    <row r="479" spans="1:12" x14ac:dyDescent="0.3">
      <c r="A479" t="s">
        <v>1611</v>
      </c>
      <c r="B479" t="s">
        <v>1317</v>
      </c>
      <c r="C479" t="s">
        <v>1191</v>
      </c>
      <c r="D479" t="s">
        <v>1612</v>
      </c>
      <c r="E479" t="s">
        <v>56</v>
      </c>
      <c r="F479" t="s">
        <v>26</v>
      </c>
      <c r="G479" t="s">
        <v>27</v>
      </c>
      <c r="H479">
        <v>1</v>
      </c>
      <c r="I479">
        <v>502.97</v>
      </c>
      <c r="J479" t="s">
        <v>50</v>
      </c>
      <c r="K479" t="s">
        <v>51</v>
      </c>
      <c r="L479">
        <f t="shared" si="7"/>
        <v>502.97</v>
      </c>
    </row>
    <row r="480" spans="1:12" x14ac:dyDescent="0.3">
      <c r="A480" t="s">
        <v>1613</v>
      </c>
      <c r="B480" t="s">
        <v>1151</v>
      </c>
      <c r="C480" t="s">
        <v>1614</v>
      </c>
      <c r="D480" t="s">
        <v>1615</v>
      </c>
      <c r="E480" t="s">
        <v>34</v>
      </c>
      <c r="F480" t="s">
        <v>48</v>
      </c>
      <c r="G480" t="s">
        <v>63</v>
      </c>
      <c r="H480">
        <v>6</v>
      </c>
      <c r="I480">
        <v>3192.93</v>
      </c>
      <c r="J480" t="s">
        <v>50</v>
      </c>
      <c r="K480" t="s">
        <v>20</v>
      </c>
      <c r="L480">
        <f t="shared" si="7"/>
        <v>19157.579999999998</v>
      </c>
    </row>
    <row r="481" spans="1:12" x14ac:dyDescent="0.3">
      <c r="A481" t="s">
        <v>1616</v>
      </c>
      <c r="B481" t="s">
        <v>1617</v>
      </c>
      <c r="C481" t="s">
        <v>1618</v>
      </c>
      <c r="D481" t="s">
        <v>1619</v>
      </c>
      <c r="E481" t="s">
        <v>16</v>
      </c>
      <c r="F481" t="s">
        <v>48</v>
      </c>
      <c r="G481" t="s">
        <v>63</v>
      </c>
      <c r="H481">
        <v>5</v>
      </c>
      <c r="I481">
        <v>3064.77</v>
      </c>
      <c r="J481" t="s">
        <v>50</v>
      </c>
      <c r="K481" t="s">
        <v>36</v>
      </c>
      <c r="L481">
        <f t="shared" si="7"/>
        <v>15323.85</v>
      </c>
    </row>
    <row r="482" spans="1:12" x14ac:dyDescent="0.3">
      <c r="A482" t="s">
        <v>1620</v>
      </c>
      <c r="B482" t="s">
        <v>271</v>
      </c>
      <c r="C482" t="s">
        <v>1621</v>
      </c>
      <c r="D482" t="s">
        <v>1453</v>
      </c>
      <c r="E482" t="s">
        <v>56</v>
      </c>
      <c r="F482" t="s">
        <v>26</v>
      </c>
      <c r="G482" t="s">
        <v>27</v>
      </c>
      <c r="H482">
        <v>10</v>
      </c>
      <c r="I482">
        <v>4756.04</v>
      </c>
      <c r="J482" t="s">
        <v>42</v>
      </c>
      <c r="K482" t="s">
        <v>36</v>
      </c>
      <c r="L482">
        <f t="shared" si="7"/>
        <v>47560.4</v>
      </c>
    </row>
    <row r="483" spans="1:12" x14ac:dyDescent="0.3">
      <c r="A483" t="s">
        <v>1622</v>
      </c>
      <c r="B483" t="s">
        <v>1240</v>
      </c>
      <c r="C483" t="s">
        <v>1623</v>
      </c>
      <c r="D483" t="s">
        <v>1624</v>
      </c>
      <c r="E483" t="s">
        <v>95</v>
      </c>
      <c r="F483" t="s">
        <v>48</v>
      </c>
      <c r="G483" t="s">
        <v>49</v>
      </c>
      <c r="H483">
        <v>10</v>
      </c>
      <c r="I483">
        <v>2464.8200000000002</v>
      </c>
      <c r="J483" t="s">
        <v>42</v>
      </c>
      <c r="K483" t="s">
        <v>83</v>
      </c>
      <c r="L483">
        <f t="shared" si="7"/>
        <v>24648.2</v>
      </c>
    </row>
    <row r="484" spans="1:12" x14ac:dyDescent="0.3">
      <c r="A484" t="s">
        <v>1625</v>
      </c>
      <c r="B484" t="s">
        <v>1626</v>
      </c>
      <c r="C484" t="s">
        <v>1523</v>
      </c>
      <c r="D484" t="s">
        <v>1627</v>
      </c>
      <c r="E484" t="s">
        <v>104</v>
      </c>
      <c r="F484" t="s">
        <v>48</v>
      </c>
      <c r="G484" t="s">
        <v>49</v>
      </c>
      <c r="H484">
        <v>8</v>
      </c>
      <c r="I484">
        <v>4877</v>
      </c>
      <c r="J484" t="s">
        <v>28</v>
      </c>
      <c r="K484" t="s">
        <v>36</v>
      </c>
      <c r="L484">
        <f t="shared" si="7"/>
        <v>39016</v>
      </c>
    </row>
    <row r="485" spans="1:12" x14ac:dyDescent="0.3">
      <c r="A485" t="s">
        <v>1628</v>
      </c>
      <c r="B485" t="s">
        <v>1629</v>
      </c>
      <c r="C485" t="s">
        <v>1630</v>
      </c>
      <c r="D485" t="s">
        <v>1631</v>
      </c>
      <c r="E485" t="s">
        <v>56</v>
      </c>
      <c r="F485" t="s">
        <v>77</v>
      </c>
      <c r="G485" t="s">
        <v>265</v>
      </c>
      <c r="H485">
        <v>3</v>
      </c>
      <c r="I485">
        <v>4704.59</v>
      </c>
      <c r="J485" t="s">
        <v>28</v>
      </c>
      <c r="K485" t="s">
        <v>36</v>
      </c>
      <c r="L485">
        <f t="shared" si="7"/>
        <v>14113.77</v>
      </c>
    </row>
    <row r="486" spans="1:12" x14ac:dyDescent="0.3">
      <c r="A486" t="s">
        <v>1632</v>
      </c>
      <c r="B486" t="s">
        <v>1633</v>
      </c>
      <c r="C486" t="s">
        <v>1009</v>
      </c>
      <c r="D486" t="s">
        <v>1220</v>
      </c>
      <c r="E486" t="s">
        <v>95</v>
      </c>
      <c r="F486" t="s">
        <v>26</v>
      </c>
      <c r="G486" t="s">
        <v>166</v>
      </c>
      <c r="H486">
        <v>7</v>
      </c>
      <c r="I486">
        <v>2749.52</v>
      </c>
      <c r="J486" t="s">
        <v>42</v>
      </c>
      <c r="K486" t="s">
        <v>29</v>
      </c>
      <c r="L486">
        <f t="shared" si="7"/>
        <v>19246.64</v>
      </c>
    </row>
    <row r="487" spans="1:12" x14ac:dyDescent="0.3">
      <c r="A487" t="s">
        <v>1634</v>
      </c>
      <c r="B487" t="s">
        <v>210</v>
      </c>
      <c r="C487" t="s">
        <v>1635</v>
      </c>
      <c r="D487" t="s">
        <v>1636</v>
      </c>
      <c r="E487" t="s">
        <v>62</v>
      </c>
      <c r="F487" t="s">
        <v>77</v>
      </c>
      <c r="G487" t="s">
        <v>171</v>
      </c>
      <c r="H487">
        <v>5</v>
      </c>
      <c r="I487">
        <v>3107.74</v>
      </c>
      <c r="J487" t="s">
        <v>42</v>
      </c>
      <c r="K487" t="s">
        <v>83</v>
      </c>
      <c r="L487">
        <f t="shared" si="7"/>
        <v>15538.699999999999</v>
      </c>
    </row>
    <row r="488" spans="1:12" x14ac:dyDescent="0.3">
      <c r="A488" t="s">
        <v>1637</v>
      </c>
      <c r="B488" t="s">
        <v>1638</v>
      </c>
      <c r="C488" t="s">
        <v>1639</v>
      </c>
      <c r="D488" t="s">
        <v>1020</v>
      </c>
      <c r="E488" t="s">
        <v>128</v>
      </c>
      <c r="F488" t="s">
        <v>26</v>
      </c>
      <c r="G488" t="s">
        <v>208</v>
      </c>
      <c r="H488">
        <v>5</v>
      </c>
      <c r="I488">
        <v>3160.56</v>
      </c>
      <c r="J488" t="s">
        <v>28</v>
      </c>
      <c r="K488" t="s">
        <v>20</v>
      </c>
      <c r="L488">
        <f t="shared" si="7"/>
        <v>15802.8</v>
      </c>
    </row>
    <row r="489" spans="1:12" x14ac:dyDescent="0.3">
      <c r="A489" t="s">
        <v>1640</v>
      </c>
      <c r="B489" t="s">
        <v>1157</v>
      </c>
      <c r="C489" t="s">
        <v>1641</v>
      </c>
      <c r="D489" t="s">
        <v>922</v>
      </c>
      <c r="E489" t="s">
        <v>95</v>
      </c>
      <c r="F489" t="s">
        <v>17</v>
      </c>
      <c r="G489" t="s">
        <v>18</v>
      </c>
      <c r="H489">
        <v>4</v>
      </c>
      <c r="I489">
        <v>2044.27</v>
      </c>
      <c r="J489" t="s">
        <v>28</v>
      </c>
      <c r="K489" t="s">
        <v>43</v>
      </c>
      <c r="L489">
        <f t="shared" si="7"/>
        <v>8177.08</v>
      </c>
    </row>
    <row r="490" spans="1:12" x14ac:dyDescent="0.3">
      <c r="A490" t="s">
        <v>1642</v>
      </c>
      <c r="B490" t="s">
        <v>1209</v>
      </c>
      <c r="C490" t="s">
        <v>1062</v>
      </c>
      <c r="D490" t="s">
        <v>1643</v>
      </c>
      <c r="E490" t="s">
        <v>34</v>
      </c>
      <c r="F490" t="s">
        <v>77</v>
      </c>
      <c r="G490" t="s">
        <v>265</v>
      </c>
      <c r="H490">
        <v>2</v>
      </c>
      <c r="I490">
        <v>227.31</v>
      </c>
      <c r="J490" t="s">
        <v>19</v>
      </c>
      <c r="K490" t="s">
        <v>36</v>
      </c>
      <c r="L490">
        <f t="shared" si="7"/>
        <v>454.62</v>
      </c>
    </row>
    <row r="491" spans="1:12" x14ac:dyDescent="0.3">
      <c r="A491" t="s">
        <v>1644</v>
      </c>
      <c r="B491" t="s">
        <v>1645</v>
      </c>
      <c r="C491" t="s">
        <v>757</v>
      </c>
      <c r="D491" t="s">
        <v>1646</v>
      </c>
      <c r="E491" t="s">
        <v>62</v>
      </c>
      <c r="F491" t="s">
        <v>17</v>
      </c>
      <c r="G491" t="s">
        <v>18</v>
      </c>
      <c r="H491">
        <v>6</v>
      </c>
      <c r="I491">
        <v>4358.6499999999996</v>
      </c>
      <c r="J491" t="s">
        <v>50</v>
      </c>
      <c r="K491" t="s">
        <v>83</v>
      </c>
      <c r="L491">
        <f t="shared" si="7"/>
        <v>26151.899999999998</v>
      </c>
    </row>
    <row r="492" spans="1:12" x14ac:dyDescent="0.3">
      <c r="A492" t="s">
        <v>1647</v>
      </c>
      <c r="B492" t="s">
        <v>185</v>
      </c>
      <c r="C492" t="s">
        <v>1648</v>
      </c>
      <c r="D492" t="s">
        <v>670</v>
      </c>
      <c r="E492" t="s">
        <v>34</v>
      </c>
      <c r="F492" t="s">
        <v>77</v>
      </c>
      <c r="G492" t="s">
        <v>78</v>
      </c>
      <c r="H492">
        <v>8</v>
      </c>
      <c r="I492">
        <v>4723.6000000000004</v>
      </c>
      <c r="J492" t="s">
        <v>19</v>
      </c>
      <c r="K492" t="s">
        <v>51</v>
      </c>
      <c r="L492">
        <f t="shared" si="7"/>
        <v>37788.800000000003</v>
      </c>
    </row>
    <row r="493" spans="1:12" x14ac:dyDescent="0.3">
      <c r="A493" t="s">
        <v>1649</v>
      </c>
      <c r="B493" t="s">
        <v>1650</v>
      </c>
      <c r="C493" t="s">
        <v>1630</v>
      </c>
      <c r="D493" t="s">
        <v>1651</v>
      </c>
      <c r="E493" t="s">
        <v>25</v>
      </c>
      <c r="F493" t="s">
        <v>77</v>
      </c>
      <c r="G493" t="s">
        <v>171</v>
      </c>
      <c r="H493">
        <v>8</v>
      </c>
      <c r="I493">
        <v>59.46</v>
      </c>
      <c r="J493" t="s">
        <v>19</v>
      </c>
      <c r="K493" t="s">
        <v>36</v>
      </c>
      <c r="L493">
        <f t="shared" si="7"/>
        <v>475.68</v>
      </c>
    </row>
    <row r="494" spans="1:12" x14ac:dyDescent="0.3">
      <c r="A494" t="s">
        <v>1652</v>
      </c>
      <c r="B494" t="s">
        <v>1653</v>
      </c>
      <c r="C494" t="s">
        <v>1654</v>
      </c>
      <c r="D494" t="s">
        <v>1655</v>
      </c>
      <c r="E494" t="s">
        <v>56</v>
      </c>
      <c r="F494" t="s">
        <v>26</v>
      </c>
      <c r="G494" t="s">
        <v>27</v>
      </c>
      <c r="H494">
        <v>9</v>
      </c>
      <c r="I494">
        <v>1432</v>
      </c>
      <c r="J494" t="s">
        <v>50</v>
      </c>
      <c r="K494" t="s">
        <v>51</v>
      </c>
      <c r="L494">
        <f t="shared" si="7"/>
        <v>12888</v>
      </c>
    </row>
    <row r="495" spans="1:12" x14ac:dyDescent="0.3">
      <c r="A495" t="s">
        <v>1656</v>
      </c>
      <c r="B495" t="s">
        <v>359</v>
      </c>
      <c r="C495" t="s">
        <v>1657</v>
      </c>
      <c r="D495" t="s">
        <v>1658</v>
      </c>
      <c r="E495" t="s">
        <v>56</v>
      </c>
      <c r="F495" t="s">
        <v>17</v>
      </c>
      <c r="G495" t="s">
        <v>41</v>
      </c>
      <c r="H495">
        <v>1</v>
      </c>
      <c r="I495">
        <v>3541.03</v>
      </c>
      <c r="J495" t="s">
        <v>42</v>
      </c>
      <c r="K495" t="s">
        <v>20</v>
      </c>
      <c r="L495">
        <f t="shared" si="7"/>
        <v>3541.03</v>
      </c>
    </row>
    <row r="496" spans="1:12" x14ac:dyDescent="0.3">
      <c r="A496" t="s">
        <v>1659</v>
      </c>
      <c r="B496" t="s">
        <v>1660</v>
      </c>
      <c r="C496" t="s">
        <v>1661</v>
      </c>
      <c r="D496" t="s">
        <v>1662</v>
      </c>
      <c r="E496" t="s">
        <v>104</v>
      </c>
      <c r="F496" t="s">
        <v>48</v>
      </c>
      <c r="G496" t="s">
        <v>49</v>
      </c>
      <c r="H496">
        <v>9</v>
      </c>
      <c r="I496">
        <v>3846.21</v>
      </c>
      <c r="J496" t="s">
        <v>42</v>
      </c>
      <c r="K496" t="s">
        <v>36</v>
      </c>
      <c r="L496">
        <f t="shared" si="7"/>
        <v>34615.89</v>
      </c>
    </row>
    <row r="497" spans="1:12" x14ac:dyDescent="0.3">
      <c r="A497" t="s">
        <v>1663</v>
      </c>
      <c r="B497" t="s">
        <v>706</v>
      </c>
      <c r="C497" t="s">
        <v>1664</v>
      </c>
      <c r="D497" t="s">
        <v>1665</v>
      </c>
      <c r="E497" t="s">
        <v>34</v>
      </c>
      <c r="F497" t="s">
        <v>48</v>
      </c>
      <c r="G497" t="s">
        <v>57</v>
      </c>
      <c r="H497">
        <v>10</v>
      </c>
      <c r="I497">
        <v>2046.44</v>
      </c>
      <c r="J497" t="s">
        <v>42</v>
      </c>
      <c r="K497" t="s">
        <v>36</v>
      </c>
      <c r="L497">
        <f t="shared" si="7"/>
        <v>20464.400000000001</v>
      </c>
    </row>
    <row r="498" spans="1:12" x14ac:dyDescent="0.3">
      <c r="A498" t="s">
        <v>1666</v>
      </c>
      <c r="B498" t="s">
        <v>1667</v>
      </c>
      <c r="C498" t="s">
        <v>1668</v>
      </c>
      <c r="D498" t="s">
        <v>1669</v>
      </c>
      <c r="E498" t="s">
        <v>34</v>
      </c>
      <c r="F498" t="s">
        <v>48</v>
      </c>
      <c r="G498" t="s">
        <v>179</v>
      </c>
      <c r="H498">
        <v>9</v>
      </c>
      <c r="I498">
        <v>1459.37</v>
      </c>
      <c r="J498" t="s">
        <v>28</v>
      </c>
      <c r="K498" t="s">
        <v>36</v>
      </c>
      <c r="L498">
        <f t="shared" si="7"/>
        <v>13134.329999999998</v>
      </c>
    </row>
    <row r="499" spans="1:12" x14ac:dyDescent="0.3">
      <c r="A499" t="s">
        <v>1670</v>
      </c>
      <c r="B499" t="s">
        <v>1593</v>
      </c>
      <c r="C499" t="s">
        <v>1671</v>
      </c>
      <c r="D499" t="s">
        <v>1672</v>
      </c>
      <c r="E499" t="s">
        <v>104</v>
      </c>
      <c r="F499" t="s">
        <v>17</v>
      </c>
      <c r="G499" t="s">
        <v>68</v>
      </c>
      <c r="H499">
        <v>9</v>
      </c>
      <c r="I499">
        <v>3736.59</v>
      </c>
      <c r="J499" t="s">
        <v>50</v>
      </c>
      <c r="K499" t="s">
        <v>20</v>
      </c>
      <c r="L499">
        <f t="shared" si="7"/>
        <v>33629.31</v>
      </c>
    </row>
    <row r="500" spans="1:12" x14ac:dyDescent="0.3">
      <c r="A500" t="s">
        <v>1673</v>
      </c>
      <c r="B500" t="s">
        <v>586</v>
      </c>
      <c r="C500" t="s">
        <v>1674</v>
      </c>
      <c r="D500" t="s">
        <v>1675</v>
      </c>
      <c r="E500" t="s">
        <v>34</v>
      </c>
      <c r="F500" t="s">
        <v>77</v>
      </c>
      <c r="G500" t="s">
        <v>105</v>
      </c>
      <c r="H500">
        <v>9</v>
      </c>
      <c r="I500">
        <v>3518.42</v>
      </c>
      <c r="J500" t="s">
        <v>28</v>
      </c>
      <c r="K500" t="s">
        <v>29</v>
      </c>
      <c r="L500">
        <f t="shared" si="7"/>
        <v>31665.78</v>
      </c>
    </row>
    <row r="501" spans="1:12" x14ac:dyDescent="0.3">
      <c r="A501" t="s">
        <v>1676</v>
      </c>
      <c r="B501" t="s">
        <v>1677</v>
      </c>
      <c r="C501" t="s">
        <v>1170</v>
      </c>
      <c r="D501" t="s">
        <v>1678</v>
      </c>
      <c r="E501" t="s">
        <v>104</v>
      </c>
      <c r="F501" t="s">
        <v>17</v>
      </c>
      <c r="G501" t="s">
        <v>188</v>
      </c>
      <c r="H501">
        <v>9</v>
      </c>
      <c r="I501">
        <v>1520.49</v>
      </c>
      <c r="J501" t="s">
        <v>42</v>
      </c>
      <c r="K501" t="s">
        <v>29</v>
      </c>
      <c r="L501">
        <f t="shared" si="7"/>
        <v>13684.41</v>
      </c>
    </row>
    <row r="502" spans="1:12" x14ac:dyDescent="0.3">
      <c r="A502" t="s">
        <v>1679</v>
      </c>
      <c r="B502" t="s">
        <v>1680</v>
      </c>
      <c r="C502" t="s">
        <v>1681</v>
      </c>
      <c r="D502" t="s">
        <v>1678</v>
      </c>
      <c r="E502" t="s">
        <v>56</v>
      </c>
      <c r="F502" t="s">
        <v>48</v>
      </c>
      <c r="G502" t="s">
        <v>179</v>
      </c>
      <c r="H502">
        <v>9</v>
      </c>
      <c r="I502">
        <v>3902.52</v>
      </c>
      <c r="J502" t="s">
        <v>28</v>
      </c>
      <c r="K502" t="s">
        <v>43</v>
      </c>
      <c r="L502">
        <f t="shared" si="7"/>
        <v>35122.68</v>
      </c>
    </row>
    <row r="503" spans="1:12" x14ac:dyDescent="0.3">
      <c r="A503" t="s">
        <v>1682</v>
      </c>
      <c r="B503" t="s">
        <v>1190</v>
      </c>
      <c r="C503" t="s">
        <v>427</v>
      </c>
      <c r="D503" t="s">
        <v>72</v>
      </c>
      <c r="E503" t="s">
        <v>95</v>
      </c>
      <c r="F503" t="s">
        <v>77</v>
      </c>
      <c r="G503" t="s">
        <v>78</v>
      </c>
      <c r="H503">
        <v>9</v>
      </c>
      <c r="I503">
        <v>1055.67</v>
      </c>
      <c r="J503" t="s">
        <v>42</v>
      </c>
      <c r="K503" t="s">
        <v>29</v>
      </c>
      <c r="L503">
        <f t="shared" si="7"/>
        <v>9501.0300000000007</v>
      </c>
    </row>
    <row r="504" spans="1:12" x14ac:dyDescent="0.3">
      <c r="A504" t="s">
        <v>1683</v>
      </c>
      <c r="B504" t="s">
        <v>1684</v>
      </c>
      <c r="C504" t="s">
        <v>992</v>
      </c>
      <c r="D504" t="s">
        <v>976</v>
      </c>
      <c r="E504" t="s">
        <v>34</v>
      </c>
      <c r="F504" t="s">
        <v>17</v>
      </c>
      <c r="G504" t="s">
        <v>35</v>
      </c>
      <c r="H504">
        <v>7</v>
      </c>
      <c r="I504">
        <v>2948.72</v>
      </c>
      <c r="J504" t="s">
        <v>19</v>
      </c>
      <c r="K504" t="s">
        <v>43</v>
      </c>
      <c r="L504">
        <f t="shared" si="7"/>
        <v>20641.039999999997</v>
      </c>
    </row>
    <row r="505" spans="1:12" x14ac:dyDescent="0.3">
      <c r="A505" t="s">
        <v>1685</v>
      </c>
      <c r="B505" t="s">
        <v>1686</v>
      </c>
      <c r="C505" t="s">
        <v>1687</v>
      </c>
      <c r="D505" t="s">
        <v>1688</v>
      </c>
      <c r="E505" t="s">
        <v>62</v>
      </c>
      <c r="F505" t="s">
        <v>48</v>
      </c>
      <c r="G505" t="s">
        <v>179</v>
      </c>
      <c r="H505">
        <v>4</v>
      </c>
      <c r="I505">
        <v>1813.99</v>
      </c>
      <c r="J505" t="s">
        <v>42</v>
      </c>
      <c r="K505" t="s">
        <v>43</v>
      </c>
      <c r="L505">
        <f t="shared" si="7"/>
        <v>7255.96</v>
      </c>
    </row>
    <row r="506" spans="1:12" x14ac:dyDescent="0.3">
      <c r="A506" t="s">
        <v>1689</v>
      </c>
      <c r="B506" t="s">
        <v>1690</v>
      </c>
      <c r="C506" t="s">
        <v>928</v>
      </c>
      <c r="D506" t="s">
        <v>1691</v>
      </c>
      <c r="E506" t="s">
        <v>62</v>
      </c>
      <c r="F506" t="s">
        <v>48</v>
      </c>
      <c r="G506" t="s">
        <v>179</v>
      </c>
      <c r="H506">
        <v>4</v>
      </c>
      <c r="I506">
        <v>4530.5</v>
      </c>
      <c r="J506" t="s">
        <v>50</v>
      </c>
      <c r="K506" t="s">
        <v>36</v>
      </c>
      <c r="L506">
        <f t="shared" si="7"/>
        <v>18122</v>
      </c>
    </row>
    <row r="507" spans="1:12" x14ac:dyDescent="0.3">
      <c r="A507" t="s">
        <v>1692</v>
      </c>
      <c r="B507" t="s">
        <v>287</v>
      </c>
      <c r="C507" t="s">
        <v>1205</v>
      </c>
      <c r="D507" t="s">
        <v>1693</v>
      </c>
      <c r="E507" t="s">
        <v>56</v>
      </c>
      <c r="F507" t="s">
        <v>17</v>
      </c>
      <c r="G507" t="s">
        <v>35</v>
      </c>
      <c r="H507">
        <v>9</v>
      </c>
      <c r="I507">
        <v>3993.7</v>
      </c>
      <c r="J507" t="s">
        <v>42</v>
      </c>
      <c r="K507" t="s">
        <v>51</v>
      </c>
      <c r="L507">
        <f t="shared" si="7"/>
        <v>35943.299999999996</v>
      </c>
    </row>
    <row r="508" spans="1:12" x14ac:dyDescent="0.3">
      <c r="A508" t="s">
        <v>1694</v>
      </c>
      <c r="B508" t="s">
        <v>1695</v>
      </c>
      <c r="C508" t="s">
        <v>434</v>
      </c>
      <c r="D508" t="s">
        <v>322</v>
      </c>
      <c r="E508" t="s">
        <v>25</v>
      </c>
      <c r="F508" t="s">
        <v>26</v>
      </c>
      <c r="G508" t="s">
        <v>296</v>
      </c>
      <c r="H508">
        <v>4</v>
      </c>
      <c r="I508">
        <v>2550.66</v>
      </c>
      <c r="J508" t="s">
        <v>42</v>
      </c>
      <c r="K508" t="s">
        <v>20</v>
      </c>
      <c r="L508">
        <f t="shared" si="7"/>
        <v>10202.64</v>
      </c>
    </row>
    <row r="509" spans="1:12" x14ac:dyDescent="0.3">
      <c r="A509" t="s">
        <v>1696</v>
      </c>
      <c r="B509" t="s">
        <v>862</v>
      </c>
      <c r="C509" t="s">
        <v>1697</v>
      </c>
      <c r="D509" t="s">
        <v>1698</v>
      </c>
      <c r="E509" t="s">
        <v>62</v>
      </c>
      <c r="F509" t="s">
        <v>17</v>
      </c>
      <c r="G509" t="s">
        <v>41</v>
      </c>
      <c r="H509">
        <v>4</v>
      </c>
      <c r="I509">
        <v>3044.36</v>
      </c>
      <c r="J509" t="s">
        <v>19</v>
      </c>
      <c r="K509" t="s">
        <v>36</v>
      </c>
      <c r="L509">
        <f t="shared" si="7"/>
        <v>12177.44</v>
      </c>
    </row>
    <row r="510" spans="1:12" x14ac:dyDescent="0.3">
      <c r="A510" t="s">
        <v>1699</v>
      </c>
      <c r="B510" t="s">
        <v>668</v>
      </c>
      <c r="C510" t="s">
        <v>98</v>
      </c>
      <c r="D510" t="s">
        <v>399</v>
      </c>
      <c r="E510" t="s">
        <v>56</v>
      </c>
      <c r="F510" t="s">
        <v>26</v>
      </c>
      <c r="G510" t="s">
        <v>208</v>
      </c>
      <c r="H510">
        <v>8</v>
      </c>
      <c r="I510">
        <v>3425.99</v>
      </c>
      <c r="J510" t="s">
        <v>42</v>
      </c>
      <c r="K510" t="s">
        <v>43</v>
      </c>
      <c r="L510">
        <f t="shared" si="7"/>
        <v>27407.919999999998</v>
      </c>
    </row>
    <row r="511" spans="1:12" x14ac:dyDescent="0.3">
      <c r="A511" t="s">
        <v>1700</v>
      </c>
      <c r="B511" t="s">
        <v>1186</v>
      </c>
      <c r="C511" t="s">
        <v>1701</v>
      </c>
      <c r="D511" t="s">
        <v>203</v>
      </c>
      <c r="E511" t="s">
        <v>25</v>
      </c>
      <c r="F511" t="s">
        <v>77</v>
      </c>
      <c r="G511" t="s">
        <v>265</v>
      </c>
      <c r="H511">
        <v>8</v>
      </c>
      <c r="I511">
        <v>3994.16</v>
      </c>
      <c r="J511" t="s">
        <v>28</v>
      </c>
      <c r="K511" t="s">
        <v>29</v>
      </c>
      <c r="L511">
        <f t="shared" si="7"/>
        <v>31953.279999999999</v>
      </c>
    </row>
    <row r="512" spans="1:12" x14ac:dyDescent="0.3">
      <c r="A512" t="s">
        <v>1702</v>
      </c>
      <c r="B512" t="s">
        <v>526</v>
      </c>
      <c r="C512" t="s">
        <v>1703</v>
      </c>
      <c r="D512" t="s">
        <v>1704</v>
      </c>
      <c r="E512" t="s">
        <v>62</v>
      </c>
      <c r="F512" t="s">
        <v>77</v>
      </c>
      <c r="G512" t="s">
        <v>171</v>
      </c>
      <c r="H512">
        <v>3</v>
      </c>
      <c r="I512">
        <v>1538.94</v>
      </c>
      <c r="J512" t="s">
        <v>19</v>
      </c>
      <c r="K512" t="s">
        <v>36</v>
      </c>
      <c r="L512">
        <f t="shared" si="7"/>
        <v>4616.82</v>
      </c>
    </row>
    <row r="513" spans="1:12" x14ac:dyDescent="0.3">
      <c r="A513" t="s">
        <v>1705</v>
      </c>
      <c r="B513" t="s">
        <v>197</v>
      </c>
      <c r="C513" t="s">
        <v>992</v>
      </c>
      <c r="D513" t="s">
        <v>1706</v>
      </c>
      <c r="E513" t="s">
        <v>56</v>
      </c>
      <c r="F513" t="s">
        <v>26</v>
      </c>
      <c r="G513" t="s">
        <v>296</v>
      </c>
      <c r="H513">
        <v>10</v>
      </c>
      <c r="I513">
        <v>2769.13</v>
      </c>
      <c r="J513" t="s">
        <v>42</v>
      </c>
      <c r="K513" t="s">
        <v>29</v>
      </c>
      <c r="L513">
        <f t="shared" si="7"/>
        <v>27691.300000000003</v>
      </c>
    </row>
    <row r="514" spans="1:12" x14ac:dyDescent="0.3">
      <c r="A514" t="s">
        <v>1707</v>
      </c>
      <c r="B514" t="s">
        <v>1578</v>
      </c>
      <c r="C514" t="s">
        <v>1708</v>
      </c>
      <c r="D514" t="s">
        <v>1114</v>
      </c>
      <c r="E514" t="s">
        <v>16</v>
      </c>
      <c r="F514" t="s">
        <v>48</v>
      </c>
      <c r="G514" t="s">
        <v>110</v>
      </c>
      <c r="H514">
        <v>3</v>
      </c>
      <c r="I514">
        <v>4061.86</v>
      </c>
      <c r="J514" t="s">
        <v>19</v>
      </c>
      <c r="K514" t="s">
        <v>83</v>
      </c>
      <c r="L514">
        <f t="shared" si="7"/>
        <v>12185.58</v>
      </c>
    </row>
    <row r="515" spans="1:12" x14ac:dyDescent="0.3">
      <c r="A515" t="s">
        <v>1709</v>
      </c>
      <c r="B515" t="s">
        <v>844</v>
      </c>
      <c r="C515" t="s">
        <v>1710</v>
      </c>
      <c r="D515" t="s">
        <v>611</v>
      </c>
      <c r="E515" t="s">
        <v>95</v>
      </c>
      <c r="F515" t="s">
        <v>17</v>
      </c>
      <c r="G515" t="s">
        <v>68</v>
      </c>
      <c r="H515">
        <v>9</v>
      </c>
      <c r="I515">
        <v>4327.68</v>
      </c>
      <c r="J515" t="s">
        <v>50</v>
      </c>
      <c r="K515" t="s">
        <v>29</v>
      </c>
      <c r="L515">
        <f t="shared" ref="L515:L578" si="8">H515*I515</f>
        <v>38949.120000000003</v>
      </c>
    </row>
    <row r="516" spans="1:12" x14ac:dyDescent="0.3">
      <c r="A516" t="s">
        <v>1711</v>
      </c>
      <c r="B516" t="s">
        <v>1712</v>
      </c>
      <c r="C516" t="s">
        <v>1106</v>
      </c>
      <c r="D516" t="s">
        <v>1496</v>
      </c>
      <c r="E516" t="s">
        <v>16</v>
      </c>
      <c r="F516" t="s">
        <v>77</v>
      </c>
      <c r="G516" t="s">
        <v>171</v>
      </c>
      <c r="H516">
        <v>5</v>
      </c>
      <c r="I516">
        <v>3333.94</v>
      </c>
      <c r="J516" t="s">
        <v>50</v>
      </c>
      <c r="K516" t="s">
        <v>83</v>
      </c>
      <c r="L516">
        <f t="shared" si="8"/>
        <v>16669.7</v>
      </c>
    </row>
    <row r="517" spans="1:12" x14ac:dyDescent="0.3">
      <c r="A517" t="s">
        <v>1713</v>
      </c>
      <c r="B517" t="s">
        <v>1011</v>
      </c>
      <c r="C517" t="s">
        <v>1714</v>
      </c>
      <c r="D517" t="s">
        <v>1715</v>
      </c>
      <c r="E517" t="s">
        <v>128</v>
      </c>
      <c r="F517" t="s">
        <v>48</v>
      </c>
      <c r="G517" t="s">
        <v>179</v>
      </c>
      <c r="H517">
        <v>6</v>
      </c>
      <c r="I517">
        <v>4366.91</v>
      </c>
      <c r="J517" t="s">
        <v>50</v>
      </c>
      <c r="K517" t="s">
        <v>29</v>
      </c>
      <c r="L517">
        <f t="shared" si="8"/>
        <v>26201.46</v>
      </c>
    </row>
    <row r="518" spans="1:12" x14ac:dyDescent="0.3">
      <c r="A518" t="s">
        <v>1716</v>
      </c>
      <c r="B518" t="s">
        <v>1717</v>
      </c>
      <c r="C518" t="s">
        <v>1718</v>
      </c>
      <c r="D518" t="s">
        <v>1719</v>
      </c>
      <c r="E518" t="s">
        <v>128</v>
      </c>
      <c r="F518" t="s">
        <v>17</v>
      </c>
      <c r="G518" t="s">
        <v>188</v>
      </c>
      <c r="H518">
        <v>9</v>
      </c>
      <c r="I518">
        <v>2022.93</v>
      </c>
      <c r="J518" t="s">
        <v>28</v>
      </c>
      <c r="K518" t="s">
        <v>36</v>
      </c>
      <c r="L518">
        <f t="shared" si="8"/>
        <v>18206.37</v>
      </c>
    </row>
    <row r="519" spans="1:12" x14ac:dyDescent="0.3">
      <c r="A519" t="s">
        <v>1720</v>
      </c>
      <c r="B519" t="s">
        <v>31</v>
      </c>
      <c r="C519" t="s">
        <v>1721</v>
      </c>
      <c r="D519" t="s">
        <v>353</v>
      </c>
      <c r="E519" t="s">
        <v>95</v>
      </c>
      <c r="F519" t="s">
        <v>48</v>
      </c>
      <c r="G519" t="s">
        <v>110</v>
      </c>
      <c r="H519">
        <v>4</v>
      </c>
      <c r="I519">
        <v>331.75</v>
      </c>
      <c r="J519" t="s">
        <v>19</v>
      </c>
      <c r="K519" t="s">
        <v>29</v>
      </c>
      <c r="L519">
        <f t="shared" si="8"/>
        <v>1327</v>
      </c>
    </row>
    <row r="520" spans="1:12" x14ac:dyDescent="0.3">
      <c r="A520" t="s">
        <v>1722</v>
      </c>
      <c r="B520" t="s">
        <v>1723</v>
      </c>
      <c r="C520" t="s">
        <v>1302</v>
      </c>
      <c r="D520" t="s">
        <v>1724</v>
      </c>
      <c r="E520" t="s">
        <v>16</v>
      </c>
      <c r="F520" t="s">
        <v>26</v>
      </c>
      <c r="G520" t="s">
        <v>166</v>
      </c>
      <c r="H520">
        <v>2</v>
      </c>
      <c r="I520">
        <v>663.22</v>
      </c>
      <c r="J520" t="s">
        <v>28</v>
      </c>
      <c r="K520" t="s">
        <v>43</v>
      </c>
      <c r="L520">
        <f t="shared" si="8"/>
        <v>1326.44</v>
      </c>
    </row>
    <row r="521" spans="1:12" x14ac:dyDescent="0.3">
      <c r="A521" t="s">
        <v>1725</v>
      </c>
      <c r="B521" t="s">
        <v>654</v>
      </c>
      <c r="C521" t="s">
        <v>848</v>
      </c>
      <c r="D521" t="s">
        <v>383</v>
      </c>
      <c r="E521" t="s">
        <v>128</v>
      </c>
      <c r="F521" t="s">
        <v>17</v>
      </c>
      <c r="G521" t="s">
        <v>35</v>
      </c>
      <c r="H521">
        <v>1</v>
      </c>
      <c r="I521">
        <v>2432.7600000000002</v>
      </c>
      <c r="J521" t="s">
        <v>42</v>
      </c>
      <c r="K521" t="s">
        <v>51</v>
      </c>
      <c r="L521">
        <f t="shared" si="8"/>
        <v>2432.7600000000002</v>
      </c>
    </row>
    <row r="522" spans="1:12" x14ac:dyDescent="0.3">
      <c r="A522" t="s">
        <v>1726</v>
      </c>
      <c r="B522" t="s">
        <v>1252</v>
      </c>
      <c r="C522" t="s">
        <v>1727</v>
      </c>
      <c r="D522" t="s">
        <v>1728</v>
      </c>
      <c r="E522" t="s">
        <v>16</v>
      </c>
      <c r="F522" t="s">
        <v>17</v>
      </c>
      <c r="G522" t="s">
        <v>35</v>
      </c>
      <c r="H522">
        <v>3</v>
      </c>
      <c r="I522">
        <v>335.47</v>
      </c>
      <c r="J522" t="s">
        <v>50</v>
      </c>
      <c r="K522" t="s">
        <v>20</v>
      </c>
      <c r="L522">
        <f t="shared" si="8"/>
        <v>1006.4100000000001</v>
      </c>
    </row>
    <row r="523" spans="1:12" x14ac:dyDescent="0.3">
      <c r="A523" t="s">
        <v>1729</v>
      </c>
      <c r="B523" t="s">
        <v>1730</v>
      </c>
      <c r="C523" t="s">
        <v>1142</v>
      </c>
      <c r="D523" t="s">
        <v>1728</v>
      </c>
      <c r="E523" t="s">
        <v>62</v>
      </c>
      <c r="F523" t="s">
        <v>77</v>
      </c>
      <c r="G523" t="s">
        <v>78</v>
      </c>
      <c r="H523">
        <v>7</v>
      </c>
      <c r="I523">
        <v>2892.33</v>
      </c>
      <c r="J523" t="s">
        <v>28</v>
      </c>
      <c r="K523" t="s">
        <v>29</v>
      </c>
      <c r="L523">
        <f t="shared" si="8"/>
        <v>20246.309999999998</v>
      </c>
    </row>
    <row r="524" spans="1:12" x14ac:dyDescent="0.3">
      <c r="A524" t="s">
        <v>1731</v>
      </c>
      <c r="B524" t="s">
        <v>85</v>
      </c>
      <c r="C524" t="s">
        <v>1732</v>
      </c>
      <c r="D524" t="s">
        <v>1724</v>
      </c>
      <c r="E524" t="s">
        <v>34</v>
      </c>
      <c r="F524" t="s">
        <v>17</v>
      </c>
      <c r="G524" t="s">
        <v>188</v>
      </c>
      <c r="H524">
        <v>6</v>
      </c>
      <c r="I524">
        <v>304.11</v>
      </c>
      <c r="J524" t="s">
        <v>28</v>
      </c>
      <c r="K524" t="s">
        <v>83</v>
      </c>
      <c r="L524">
        <f t="shared" si="8"/>
        <v>1824.66</v>
      </c>
    </row>
    <row r="525" spans="1:12" x14ac:dyDescent="0.3">
      <c r="A525" t="s">
        <v>1733</v>
      </c>
      <c r="B525" t="s">
        <v>1501</v>
      </c>
      <c r="C525" t="s">
        <v>590</v>
      </c>
      <c r="D525" t="s">
        <v>1512</v>
      </c>
      <c r="E525" t="s">
        <v>62</v>
      </c>
      <c r="F525" t="s">
        <v>17</v>
      </c>
      <c r="G525" t="s">
        <v>35</v>
      </c>
      <c r="H525">
        <v>1</v>
      </c>
      <c r="I525">
        <v>1375.02</v>
      </c>
      <c r="J525" t="s">
        <v>28</v>
      </c>
      <c r="K525" t="s">
        <v>29</v>
      </c>
      <c r="L525">
        <f t="shared" si="8"/>
        <v>1375.02</v>
      </c>
    </row>
    <row r="526" spans="1:12" x14ac:dyDescent="0.3">
      <c r="A526" t="s">
        <v>1734</v>
      </c>
      <c r="B526" t="s">
        <v>477</v>
      </c>
      <c r="C526" t="s">
        <v>1735</v>
      </c>
      <c r="D526" t="s">
        <v>1688</v>
      </c>
      <c r="E526" t="s">
        <v>34</v>
      </c>
      <c r="F526" t="s">
        <v>17</v>
      </c>
      <c r="G526" t="s">
        <v>35</v>
      </c>
      <c r="H526">
        <v>5</v>
      </c>
      <c r="I526">
        <v>231.36</v>
      </c>
      <c r="J526" t="s">
        <v>19</v>
      </c>
      <c r="K526" t="s">
        <v>51</v>
      </c>
      <c r="L526">
        <f t="shared" si="8"/>
        <v>1156.8000000000002</v>
      </c>
    </row>
    <row r="527" spans="1:12" x14ac:dyDescent="0.3">
      <c r="A527" t="s">
        <v>1736</v>
      </c>
      <c r="B527" t="s">
        <v>1737</v>
      </c>
      <c r="C527" t="s">
        <v>1738</v>
      </c>
      <c r="D527" t="s">
        <v>1739</v>
      </c>
      <c r="E527" t="s">
        <v>34</v>
      </c>
      <c r="F527" t="s">
        <v>77</v>
      </c>
      <c r="G527" t="s">
        <v>123</v>
      </c>
      <c r="H527">
        <v>10</v>
      </c>
      <c r="I527">
        <v>1637.55</v>
      </c>
      <c r="J527" t="s">
        <v>42</v>
      </c>
      <c r="K527" t="s">
        <v>43</v>
      </c>
      <c r="L527">
        <f t="shared" si="8"/>
        <v>16375.5</v>
      </c>
    </row>
    <row r="528" spans="1:12" x14ac:dyDescent="0.3">
      <c r="A528" t="s">
        <v>1740</v>
      </c>
      <c r="B528" t="s">
        <v>1741</v>
      </c>
      <c r="C528" t="s">
        <v>1742</v>
      </c>
      <c r="D528" t="s">
        <v>1085</v>
      </c>
      <c r="E528" t="s">
        <v>95</v>
      </c>
      <c r="F528" t="s">
        <v>48</v>
      </c>
      <c r="G528" t="s">
        <v>57</v>
      </c>
      <c r="H528">
        <v>1</v>
      </c>
      <c r="I528">
        <v>2682.39</v>
      </c>
      <c r="J528" t="s">
        <v>28</v>
      </c>
      <c r="K528" t="s">
        <v>43</v>
      </c>
      <c r="L528">
        <f t="shared" si="8"/>
        <v>2682.39</v>
      </c>
    </row>
    <row r="529" spans="1:12" x14ac:dyDescent="0.3">
      <c r="A529" t="s">
        <v>1743</v>
      </c>
      <c r="B529" t="s">
        <v>1744</v>
      </c>
      <c r="C529" t="s">
        <v>1745</v>
      </c>
      <c r="D529" t="s">
        <v>1746</v>
      </c>
      <c r="E529" t="s">
        <v>56</v>
      </c>
      <c r="F529" t="s">
        <v>17</v>
      </c>
      <c r="G529" t="s">
        <v>68</v>
      </c>
      <c r="H529">
        <v>1</v>
      </c>
      <c r="I529">
        <v>374.6</v>
      </c>
      <c r="J529" t="s">
        <v>50</v>
      </c>
      <c r="K529" t="s">
        <v>43</v>
      </c>
      <c r="L529">
        <f t="shared" si="8"/>
        <v>374.6</v>
      </c>
    </row>
    <row r="530" spans="1:12" x14ac:dyDescent="0.3">
      <c r="A530" t="s">
        <v>1747</v>
      </c>
      <c r="B530" t="s">
        <v>336</v>
      </c>
      <c r="C530" t="s">
        <v>1748</v>
      </c>
      <c r="D530" t="s">
        <v>520</v>
      </c>
      <c r="E530" t="s">
        <v>56</v>
      </c>
      <c r="F530" t="s">
        <v>17</v>
      </c>
      <c r="G530" t="s">
        <v>41</v>
      </c>
      <c r="H530">
        <v>2</v>
      </c>
      <c r="I530">
        <v>3731.51</v>
      </c>
      <c r="J530" t="s">
        <v>50</v>
      </c>
      <c r="K530" t="s">
        <v>51</v>
      </c>
      <c r="L530">
        <f t="shared" si="8"/>
        <v>7463.02</v>
      </c>
    </row>
    <row r="531" spans="1:12" x14ac:dyDescent="0.3">
      <c r="A531" t="s">
        <v>1749</v>
      </c>
      <c r="B531" t="s">
        <v>1006</v>
      </c>
      <c r="C531" t="s">
        <v>1750</v>
      </c>
      <c r="D531" t="s">
        <v>1543</v>
      </c>
      <c r="E531" t="s">
        <v>62</v>
      </c>
      <c r="F531" t="s">
        <v>17</v>
      </c>
      <c r="G531" t="s">
        <v>18</v>
      </c>
      <c r="H531">
        <v>7</v>
      </c>
      <c r="I531">
        <v>3449.88</v>
      </c>
      <c r="J531" t="s">
        <v>50</v>
      </c>
      <c r="K531" t="s">
        <v>36</v>
      </c>
      <c r="L531">
        <f t="shared" si="8"/>
        <v>24149.16</v>
      </c>
    </row>
    <row r="532" spans="1:12" x14ac:dyDescent="0.3">
      <c r="A532" t="s">
        <v>1751</v>
      </c>
      <c r="B532" t="s">
        <v>250</v>
      </c>
      <c r="C532" t="s">
        <v>896</v>
      </c>
      <c r="D532" t="s">
        <v>860</v>
      </c>
      <c r="E532" t="s">
        <v>128</v>
      </c>
      <c r="F532" t="s">
        <v>77</v>
      </c>
      <c r="G532" t="s">
        <v>171</v>
      </c>
      <c r="H532">
        <v>10</v>
      </c>
      <c r="I532">
        <v>1670.81</v>
      </c>
      <c r="J532" t="s">
        <v>42</v>
      </c>
      <c r="K532" t="s">
        <v>83</v>
      </c>
      <c r="L532">
        <f t="shared" si="8"/>
        <v>16708.099999999999</v>
      </c>
    </row>
    <row r="533" spans="1:12" x14ac:dyDescent="0.3">
      <c r="A533" t="s">
        <v>1752</v>
      </c>
      <c r="B533" t="s">
        <v>1753</v>
      </c>
      <c r="C533" t="s">
        <v>1754</v>
      </c>
      <c r="D533" t="s">
        <v>524</v>
      </c>
      <c r="E533" t="s">
        <v>62</v>
      </c>
      <c r="F533" t="s">
        <v>77</v>
      </c>
      <c r="G533" t="s">
        <v>265</v>
      </c>
      <c r="H533">
        <v>1</v>
      </c>
      <c r="I533">
        <v>1326.61</v>
      </c>
      <c r="J533" t="s">
        <v>19</v>
      </c>
      <c r="K533" t="s">
        <v>43</v>
      </c>
      <c r="L533">
        <f t="shared" si="8"/>
        <v>1326.61</v>
      </c>
    </row>
    <row r="534" spans="1:12" x14ac:dyDescent="0.3">
      <c r="A534" t="s">
        <v>1755</v>
      </c>
      <c r="B534" t="s">
        <v>1756</v>
      </c>
      <c r="C534" t="s">
        <v>1757</v>
      </c>
      <c r="D534" t="s">
        <v>72</v>
      </c>
      <c r="E534" t="s">
        <v>62</v>
      </c>
      <c r="F534" t="s">
        <v>48</v>
      </c>
      <c r="G534" t="s">
        <v>110</v>
      </c>
      <c r="H534">
        <v>3</v>
      </c>
      <c r="I534">
        <v>3453.86</v>
      </c>
      <c r="J534" t="s">
        <v>28</v>
      </c>
      <c r="K534" t="s">
        <v>51</v>
      </c>
      <c r="L534">
        <f t="shared" si="8"/>
        <v>10361.58</v>
      </c>
    </row>
    <row r="535" spans="1:12" x14ac:dyDescent="0.3">
      <c r="A535" t="s">
        <v>1758</v>
      </c>
      <c r="B535" t="s">
        <v>1759</v>
      </c>
      <c r="C535" t="s">
        <v>1760</v>
      </c>
      <c r="D535" t="s">
        <v>758</v>
      </c>
      <c r="E535" t="s">
        <v>95</v>
      </c>
      <c r="F535" t="s">
        <v>17</v>
      </c>
      <c r="G535" t="s">
        <v>188</v>
      </c>
      <c r="H535">
        <v>9</v>
      </c>
      <c r="I535">
        <v>2321.89</v>
      </c>
      <c r="J535" t="s">
        <v>28</v>
      </c>
      <c r="K535" t="s">
        <v>83</v>
      </c>
      <c r="L535">
        <f t="shared" si="8"/>
        <v>20897.009999999998</v>
      </c>
    </row>
    <row r="536" spans="1:12" x14ac:dyDescent="0.3">
      <c r="A536" t="s">
        <v>1761</v>
      </c>
      <c r="B536" t="s">
        <v>490</v>
      </c>
      <c r="C536" t="s">
        <v>1762</v>
      </c>
      <c r="D536" t="s">
        <v>652</v>
      </c>
      <c r="E536" t="s">
        <v>16</v>
      </c>
      <c r="F536" t="s">
        <v>26</v>
      </c>
      <c r="G536" t="s">
        <v>115</v>
      </c>
      <c r="H536">
        <v>6</v>
      </c>
      <c r="I536">
        <v>4873.62</v>
      </c>
      <c r="J536" t="s">
        <v>28</v>
      </c>
      <c r="K536" t="s">
        <v>51</v>
      </c>
      <c r="L536">
        <f t="shared" si="8"/>
        <v>29241.72</v>
      </c>
    </row>
    <row r="537" spans="1:12" x14ac:dyDescent="0.3">
      <c r="A537" t="s">
        <v>1763</v>
      </c>
      <c r="B537" t="s">
        <v>609</v>
      </c>
      <c r="C537" t="s">
        <v>1764</v>
      </c>
      <c r="D537" t="s">
        <v>165</v>
      </c>
      <c r="E537" t="s">
        <v>62</v>
      </c>
      <c r="F537" t="s">
        <v>77</v>
      </c>
      <c r="G537" t="s">
        <v>78</v>
      </c>
      <c r="H537">
        <v>3</v>
      </c>
      <c r="I537">
        <v>2793.6</v>
      </c>
      <c r="J537" t="s">
        <v>42</v>
      </c>
      <c r="K537" t="s">
        <v>83</v>
      </c>
      <c r="L537">
        <f t="shared" si="8"/>
        <v>8380.7999999999993</v>
      </c>
    </row>
    <row r="538" spans="1:12" x14ac:dyDescent="0.3">
      <c r="A538" t="s">
        <v>1765</v>
      </c>
      <c r="B538" t="s">
        <v>437</v>
      </c>
      <c r="C538" t="s">
        <v>1766</v>
      </c>
      <c r="D538" t="s">
        <v>666</v>
      </c>
      <c r="E538" t="s">
        <v>128</v>
      </c>
      <c r="F538" t="s">
        <v>77</v>
      </c>
      <c r="G538" t="s">
        <v>105</v>
      </c>
      <c r="H538">
        <v>9</v>
      </c>
      <c r="I538">
        <v>1793.13</v>
      </c>
      <c r="J538" t="s">
        <v>19</v>
      </c>
      <c r="K538" t="s">
        <v>83</v>
      </c>
      <c r="L538">
        <f t="shared" si="8"/>
        <v>16138.170000000002</v>
      </c>
    </row>
    <row r="539" spans="1:12" x14ac:dyDescent="0.3">
      <c r="A539" t="s">
        <v>1767</v>
      </c>
      <c r="B539" t="s">
        <v>1633</v>
      </c>
      <c r="C539" t="s">
        <v>1768</v>
      </c>
      <c r="D539" t="s">
        <v>1678</v>
      </c>
      <c r="E539" t="s">
        <v>25</v>
      </c>
      <c r="F539" t="s">
        <v>26</v>
      </c>
      <c r="G539" t="s">
        <v>296</v>
      </c>
      <c r="H539">
        <v>8</v>
      </c>
      <c r="I539">
        <v>1305.54</v>
      </c>
      <c r="J539" t="s">
        <v>28</v>
      </c>
      <c r="K539" t="s">
        <v>20</v>
      </c>
      <c r="L539">
        <f t="shared" si="8"/>
        <v>10444.32</v>
      </c>
    </row>
    <row r="540" spans="1:12" x14ac:dyDescent="0.3">
      <c r="A540" t="s">
        <v>1769</v>
      </c>
      <c r="B540" t="s">
        <v>1770</v>
      </c>
      <c r="C540" t="s">
        <v>1771</v>
      </c>
      <c r="D540" t="s">
        <v>1085</v>
      </c>
      <c r="E540" t="s">
        <v>62</v>
      </c>
      <c r="F540" t="s">
        <v>77</v>
      </c>
      <c r="G540" t="s">
        <v>78</v>
      </c>
      <c r="H540">
        <v>2</v>
      </c>
      <c r="I540">
        <v>3236.32</v>
      </c>
      <c r="J540" t="s">
        <v>28</v>
      </c>
      <c r="K540" t="s">
        <v>51</v>
      </c>
      <c r="L540">
        <f t="shared" si="8"/>
        <v>6472.64</v>
      </c>
    </row>
    <row r="541" spans="1:12" x14ac:dyDescent="0.3">
      <c r="A541" t="s">
        <v>1772</v>
      </c>
      <c r="B541" t="s">
        <v>159</v>
      </c>
      <c r="C541" t="s">
        <v>138</v>
      </c>
      <c r="D541" t="s">
        <v>1220</v>
      </c>
      <c r="E541" t="s">
        <v>128</v>
      </c>
      <c r="F541" t="s">
        <v>26</v>
      </c>
      <c r="G541" t="s">
        <v>27</v>
      </c>
      <c r="H541">
        <v>6</v>
      </c>
      <c r="I541">
        <v>4223.6400000000003</v>
      </c>
      <c r="J541" t="s">
        <v>19</v>
      </c>
      <c r="K541" t="s">
        <v>36</v>
      </c>
      <c r="L541">
        <f t="shared" si="8"/>
        <v>25341.840000000004</v>
      </c>
    </row>
    <row r="542" spans="1:12" x14ac:dyDescent="0.3">
      <c r="A542" t="s">
        <v>1773</v>
      </c>
      <c r="B542" t="s">
        <v>593</v>
      </c>
      <c r="C542" t="s">
        <v>569</v>
      </c>
      <c r="D542" t="s">
        <v>1411</v>
      </c>
      <c r="E542" t="s">
        <v>16</v>
      </c>
      <c r="F542" t="s">
        <v>48</v>
      </c>
      <c r="G542" t="s">
        <v>179</v>
      </c>
      <c r="H542">
        <v>6</v>
      </c>
      <c r="I542">
        <v>1307.9000000000001</v>
      </c>
      <c r="J542" t="s">
        <v>19</v>
      </c>
      <c r="K542" t="s">
        <v>43</v>
      </c>
      <c r="L542">
        <f t="shared" si="8"/>
        <v>7847.4000000000005</v>
      </c>
    </row>
    <row r="543" spans="1:12" x14ac:dyDescent="0.3">
      <c r="A543" t="s">
        <v>1774</v>
      </c>
      <c r="B543" t="s">
        <v>1775</v>
      </c>
      <c r="C543" t="s">
        <v>1776</v>
      </c>
      <c r="D543" t="s">
        <v>1777</v>
      </c>
      <c r="E543" t="s">
        <v>62</v>
      </c>
      <c r="F543" t="s">
        <v>48</v>
      </c>
      <c r="G543" t="s">
        <v>57</v>
      </c>
      <c r="H543">
        <v>4</v>
      </c>
      <c r="I543">
        <v>4139.93</v>
      </c>
      <c r="J543" t="s">
        <v>42</v>
      </c>
      <c r="K543" t="s">
        <v>36</v>
      </c>
      <c r="L543">
        <f t="shared" si="8"/>
        <v>16559.72</v>
      </c>
    </row>
    <row r="544" spans="1:12" x14ac:dyDescent="0.3">
      <c r="A544" t="s">
        <v>1778</v>
      </c>
      <c r="B544" t="s">
        <v>1565</v>
      </c>
      <c r="C544" t="s">
        <v>1779</v>
      </c>
      <c r="D544" t="s">
        <v>1780</v>
      </c>
      <c r="E544" t="s">
        <v>62</v>
      </c>
      <c r="F544" t="s">
        <v>17</v>
      </c>
      <c r="G544" t="s">
        <v>68</v>
      </c>
      <c r="H544">
        <v>10</v>
      </c>
      <c r="I544">
        <v>4898.0200000000004</v>
      </c>
      <c r="J544" t="s">
        <v>42</v>
      </c>
      <c r="K544" t="s">
        <v>20</v>
      </c>
      <c r="L544">
        <f t="shared" si="8"/>
        <v>48980.200000000004</v>
      </c>
    </row>
    <row r="545" spans="1:12" x14ac:dyDescent="0.3">
      <c r="A545" t="s">
        <v>1781</v>
      </c>
      <c r="B545" t="s">
        <v>1003</v>
      </c>
      <c r="C545" t="s">
        <v>1026</v>
      </c>
      <c r="D545" t="s">
        <v>1782</v>
      </c>
      <c r="E545" t="s">
        <v>16</v>
      </c>
      <c r="F545" t="s">
        <v>26</v>
      </c>
      <c r="G545" t="s">
        <v>115</v>
      </c>
      <c r="H545">
        <v>5</v>
      </c>
      <c r="I545">
        <v>4274.68</v>
      </c>
      <c r="J545" t="s">
        <v>28</v>
      </c>
      <c r="K545" t="s">
        <v>43</v>
      </c>
      <c r="L545">
        <f t="shared" si="8"/>
        <v>21373.4</v>
      </c>
    </row>
    <row r="546" spans="1:12" x14ac:dyDescent="0.3">
      <c r="A546" t="s">
        <v>1783</v>
      </c>
      <c r="B546" t="s">
        <v>13</v>
      </c>
      <c r="C546" t="s">
        <v>1784</v>
      </c>
      <c r="D546" t="s">
        <v>1785</v>
      </c>
      <c r="E546" t="s">
        <v>16</v>
      </c>
      <c r="F546" t="s">
        <v>48</v>
      </c>
      <c r="G546" t="s">
        <v>49</v>
      </c>
      <c r="H546">
        <v>2</v>
      </c>
      <c r="I546">
        <v>4228.76</v>
      </c>
      <c r="J546" t="s">
        <v>50</v>
      </c>
      <c r="K546" t="s">
        <v>36</v>
      </c>
      <c r="L546">
        <f t="shared" si="8"/>
        <v>8457.52</v>
      </c>
    </row>
    <row r="547" spans="1:12" x14ac:dyDescent="0.3">
      <c r="A547" t="s">
        <v>1786</v>
      </c>
      <c r="B547" t="s">
        <v>1006</v>
      </c>
      <c r="C547" t="s">
        <v>1787</v>
      </c>
      <c r="D547" t="s">
        <v>1788</v>
      </c>
      <c r="E547" t="s">
        <v>34</v>
      </c>
      <c r="F547" t="s">
        <v>17</v>
      </c>
      <c r="G547" t="s">
        <v>188</v>
      </c>
      <c r="H547">
        <v>10</v>
      </c>
      <c r="I547">
        <v>4189.97</v>
      </c>
      <c r="J547" t="s">
        <v>28</v>
      </c>
      <c r="K547" t="s">
        <v>36</v>
      </c>
      <c r="L547">
        <f t="shared" si="8"/>
        <v>41899.700000000004</v>
      </c>
    </row>
    <row r="548" spans="1:12" x14ac:dyDescent="0.3">
      <c r="A548" t="s">
        <v>1789</v>
      </c>
      <c r="B548" t="s">
        <v>1790</v>
      </c>
      <c r="C548" t="s">
        <v>1791</v>
      </c>
      <c r="D548" t="s">
        <v>1355</v>
      </c>
      <c r="E548" t="s">
        <v>128</v>
      </c>
      <c r="F548" t="s">
        <v>48</v>
      </c>
      <c r="G548" t="s">
        <v>179</v>
      </c>
      <c r="H548">
        <v>10</v>
      </c>
      <c r="I548">
        <v>1663.21</v>
      </c>
      <c r="J548" t="s">
        <v>42</v>
      </c>
      <c r="K548" t="s">
        <v>36</v>
      </c>
      <c r="L548">
        <f t="shared" si="8"/>
        <v>16632.099999999999</v>
      </c>
    </row>
    <row r="549" spans="1:12" x14ac:dyDescent="0.3">
      <c r="A549" t="s">
        <v>1792</v>
      </c>
      <c r="B549" t="s">
        <v>80</v>
      </c>
      <c r="C549" t="s">
        <v>1068</v>
      </c>
      <c r="D549" t="s">
        <v>1163</v>
      </c>
      <c r="E549" t="s">
        <v>34</v>
      </c>
      <c r="F549" t="s">
        <v>48</v>
      </c>
      <c r="G549" t="s">
        <v>110</v>
      </c>
      <c r="H549">
        <v>1</v>
      </c>
      <c r="I549">
        <v>2203.7199999999998</v>
      </c>
      <c r="J549" t="s">
        <v>28</v>
      </c>
      <c r="K549" t="s">
        <v>83</v>
      </c>
      <c r="L549">
        <f t="shared" si="8"/>
        <v>2203.7199999999998</v>
      </c>
    </row>
    <row r="550" spans="1:12" x14ac:dyDescent="0.3">
      <c r="A550" t="s">
        <v>1793</v>
      </c>
      <c r="B550" t="s">
        <v>1794</v>
      </c>
      <c r="C550" t="s">
        <v>1795</v>
      </c>
      <c r="D550" t="s">
        <v>1796</v>
      </c>
      <c r="E550" t="s">
        <v>56</v>
      </c>
      <c r="F550" t="s">
        <v>48</v>
      </c>
      <c r="G550" t="s">
        <v>57</v>
      </c>
      <c r="H550">
        <v>3</v>
      </c>
      <c r="I550">
        <v>2417.8000000000002</v>
      </c>
      <c r="J550" t="s">
        <v>19</v>
      </c>
      <c r="K550" t="s">
        <v>20</v>
      </c>
      <c r="L550">
        <f t="shared" si="8"/>
        <v>7253.4000000000005</v>
      </c>
    </row>
    <row r="551" spans="1:12" x14ac:dyDescent="0.3">
      <c r="A551" t="s">
        <v>1797</v>
      </c>
      <c r="B551" t="s">
        <v>301</v>
      </c>
      <c r="C551" t="s">
        <v>617</v>
      </c>
      <c r="D551" t="s">
        <v>849</v>
      </c>
      <c r="E551" t="s">
        <v>104</v>
      </c>
      <c r="F551" t="s">
        <v>77</v>
      </c>
      <c r="G551" t="s">
        <v>105</v>
      </c>
      <c r="H551">
        <v>8</v>
      </c>
      <c r="I551">
        <v>4403.62</v>
      </c>
      <c r="J551" t="s">
        <v>42</v>
      </c>
      <c r="K551" t="s">
        <v>83</v>
      </c>
      <c r="L551">
        <f t="shared" si="8"/>
        <v>35228.959999999999</v>
      </c>
    </row>
    <row r="552" spans="1:12" x14ac:dyDescent="0.3">
      <c r="A552" t="s">
        <v>1798</v>
      </c>
      <c r="B552" t="s">
        <v>242</v>
      </c>
      <c r="C552" t="s">
        <v>1799</v>
      </c>
      <c r="D552" t="s">
        <v>1800</v>
      </c>
      <c r="E552" t="s">
        <v>104</v>
      </c>
      <c r="F552" t="s">
        <v>26</v>
      </c>
      <c r="G552" t="s">
        <v>208</v>
      </c>
      <c r="H552">
        <v>2</v>
      </c>
      <c r="I552">
        <v>1670.89</v>
      </c>
      <c r="J552" t="s">
        <v>50</v>
      </c>
      <c r="K552" t="s">
        <v>36</v>
      </c>
      <c r="L552">
        <f t="shared" si="8"/>
        <v>3341.78</v>
      </c>
    </row>
    <row r="553" spans="1:12" x14ac:dyDescent="0.3">
      <c r="A553" t="s">
        <v>1801</v>
      </c>
      <c r="B553" t="s">
        <v>53</v>
      </c>
      <c r="C553" t="s">
        <v>1648</v>
      </c>
      <c r="D553" t="s">
        <v>662</v>
      </c>
      <c r="E553" t="s">
        <v>62</v>
      </c>
      <c r="F553" t="s">
        <v>77</v>
      </c>
      <c r="G553" t="s">
        <v>105</v>
      </c>
      <c r="H553">
        <v>5</v>
      </c>
      <c r="I553">
        <v>128.51</v>
      </c>
      <c r="J553" t="s">
        <v>28</v>
      </c>
      <c r="K553" t="s">
        <v>43</v>
      </c>
      <c r="L553">
        <f t="shared" si="8"/>
        <v>642.54999999999995</v>
      </c>
    </row>
    <row r="554" spans="1:12" x14ac:dyDescent="0.3">
      <c r="A554" t="s">
        <v>1802</v>
      </c>
      <c r="B554" t="s">
        <v>978</v>
      </c>
      <c r="C554" t="s">
        <v>1803</v>
      </c>
      <c r="D554" t="s">
        <v>871</v>
      </c>
      <c r="E554" t="s">
        <v>16</v>
      </c>
      <c r="F554" t="s">
        <v>17</v>
      </c>
      <c r="G554" t="s">
        <v>68</v>
      </c>
      <c r="H554">
        <v>7</v>
      </c>
      <c r="I554">
        <v>1150.4100000000001</v>
      </c>
      <c r="J554" t="s">
        <v>50</v>
      </c>
      <c r="K554" t="s">
        <v>20</v>
      </c>
      <c r="L554">
        <f t="shared" si="8"/>
        <v>8052.8700000000008</v>
      </c>
    </row>
    <row r="555" spans="1:12" x14ac:dyDescent="0.3">
      <c r="A555" t="s">
        <v>1804</v>
      </c>
      <c r="B555" t="s">
        <v>1131</v>
      </c>
      <c r="C555" t="s">
        <v>1805</v>
      </c>
      <c r="D555" t="s">
        <v>459</v>
      </c>
      <c r="E555" t="s">
        <v>16</v>
      </c>
      <c r="F555" t="s">
        <v>17</v>
      </c>
      <c r="G555" t="s">
        <v>35</v>
      </c>
      <c r="H555">
        <v>8</v>
      </c>
      <c r="I555">
        <v>4731.78</v>
      </c>
      <c r="J555" t="s">
        <v>28</v>
      </c>
      <c r="K555" t="s">
        <v>29</v>
      </c>
      <c r="L555">
        <f t="shared" si="8"/>
        <v>37854.239999999998</v>
      </c>
    </row>
    <row r="556" spans="1:12" x14ac:dyDescent="0.3">
      <c r="A556" t="s">
        <v>1806</v>
      </c>
      <c r="B556" t="s">
        <v>1807</v>
      </c>
      <c r="C556" t="s">
        <v>1808</v>
      </c>
      <c r="D556" t="s">
        <v>1809</v>
      </c>
      <c r="E556" t="s">
        <v>62</v>
      </c>
      <c r="F556" t="s">
        <v>17</v>
      </c>
      <c r="G556" t="s">
        <v>68</v>
      </c>
      <c r="H556">
        <v>3</v>
      </c>
      <c r="I556">
        <v>63.05</v>
      </c>
      <c r="J556" t="s">
        <v>19</v>
      </c>
      <c r="K556" t="s">
        <v>51</v>
      </c>
      <c r="L556">
        <f t="shared" si="8"/>
        <v>189.14999999999998</v>
      </c>
    </row>
    <row r="557" spans="1:12" x14ac:dyDescent="0.3">
      <c r="A557" t="s">
        <v>1810</v>
      </c>
      <c r="B557" t="s">
        <v>1320</v>
      </c>
      <c r="C557" t="s">
        <v>1811</v>
      </c>
      <c r="D557" t="s">
        <v>1812</v>
      </c>
      <c r="E557" t="s">
        <v>25</v>
      </c>
      <c r="F557" t="s">
        <v>17</v>
      </c>
      <c r="G557" t="s">
        <v>188</v>
      </c>
      <c r="H557">
        <v>9</v>
      </c>
      <c r="I557">
        <v>415.49</v>
      </c>
      <c r="J557" t="s">
        <v>19</v>
      </c>
      <c r="K557" t="s">
        <v>29</v>
      </c>
      <c r="L557">
        <f t="shared" si="8"/>
        <v>3739.41</v>
      </c>
    </row>
    <row r="558" spans="1:12" x14ac:dyDescent="0.3">
      <c r="A558" t="s">
        <v>1813</v>
      </c>
      <c r="B558" t="s">
        <v>683</v>
      </c>
      <c r="C558" t="s">
        <v>1814</v>
      </c>
      <c r="D558" t="s">
        <v>1815</v>
      </c>
      <c r="E558" t="s">
        <v>56</v>
      </c>
      <c r="F558" t="s">
        <v>48</v>
      </c>
      <c r="G558" t="s">
        <v>49</v>
      </c>
      <c r="H558">
        <v>2</v>
      </c>
      <c r="I558">
        <v>3489.83</v>
      </c>
      <c r="J558" t="s">
        <v>19</v>
      </c>
      <c r="K558" t="s">
        <v>29</v>
      </c>
      <c r="L558">
        <f t="shared" si="8"/>
        <v>6979.66</v>
      </c>
    </row>
    <row r="559" spans="1:12" x14ac:dyDescent="0.3">
      <c r="A559" t="s">
        <v>1816</v>
      </c>
      <c r="B559" t="s">
        <v>1817</v>
      </c>
      <c r="C559" t="s">
        <v>673</v>
      </c>
      <c r="D559" t="s">
        <v>900</v>
      </c>
      <c r="E559" t="s">
        <v>56</v>
      </c>
      <c r="F559" t="s">
        <v>17</v>
      </c>
      <c r="G559" t="s">
        <v>35</v>
      </c>
      <c r="H559">
        <v>10</v>
      </c>
      <c r="I559">
        <v>2640.62</v>
      </c>
      <c r="J559" t="s">
        <v>19</v>
      </c>
      <c r="K559" t="s">
        <v>43</v>
      </c>
      <c r="L559">
        <f t="shared" si="8"/>
        <v>26406.199999999997</v>
      </c>
    </row>
    <row r="560" spans="1:12" x14ac:dyDescent="0.3">
      <c r="A560" t="s">
        <v>1818</v>
      </c>
      <c r="B560" t="s">
        <v>74</v>
      </c>
      <c r="C560" t="s">
        <v>1489</v>
      </c>
      <c r="D560" t="s">
        <v>1149</v>
      </c>
      <c r="E560" t="s">
        <v>16</v>
      </c>
      <c r="F560" t="s">
        <v>26</v>
      </c>
      <c r="G560" t="s">
        <v>208</v>
      </c>
      <c r="H560">
        <v>1</v>
      </c>
      <c r="I560">
        <v>4228.5200000000004</v>
      </c>
      <c r="J560" t="s">
        <v>50</v>
      </c>
      <c r="K560" t="s">
        <v>29</v>
      </c>
      <c r="L560">
        <f t="shared" si="8"/>
        <v>4228.5200000000004</v>
      </c>
    </row>
    <row r="561" spans="1:12" x14ac:dyDescent="0.3">
      <c r="A561" t="s">
        <v>1819</v>
      </c>
      <c r="B561" t="s">
        <v>1388</v>
      </c>
      <c r="C561" t="s">
        <v>824</v>
      </c>
      <c r="D561" t="s">
        <v>1820</v>
      </c>
      <c r="E561" t="s">
        <v>95</v>
      </c>
      <c r="F561" t="s">
        <v>77</v>
      </c>
      <c r="G561" t="s">
        <v>123</v>
      </c>
      <c r="H561">
        <v>9</v>
      </c>
      <c r="I561">
        <v>4954.91</v>
      </c>
      <c r="J561" t="s">
        <v>42</v>
      </c>
      <c r="K561" t="s">
        <v>29</v>
      </c>
      <c r="L561">
        <f t="shared" si="8"/>
        <v>44594.19</v>
      </c>
    </row>
    <row r="562" spans="1:12" x14ac:dyDescent="0.3">
      <c r="A562" t="s">
        <v>1821</v>
      </c>
      <c r="B562" t="s">
        <v>1822</v>
      </c>
      <c r="C562" t="s">
        <v>1823</v>
      </c>
      <c r="D562" t="s">
        <v>1303</v>
      </c>
      <c r="E562" t="s">
        <v>62</v>
      </c>
      <c r="F562" t="s">
        <v>48</v>
      </c>
      <c r="G562" t="s">
        <v>49</v>
      </c>
      <c r="H562">
        <v>1</v>
      </c>
      <c r="I562">
        <v>3342.11</v>
      </c>
      <c r="J562" t="s">
        <v>19</v>
      </c>
      <c r="K562" t="s">
        <v>29</v>
      </c>
      <c r="L562">
        <f t="shared" si="8"/>
        <v>3342.11</v>
      </c>
    </row>
    <row r="563" spans="1:12" x14ac:dyDescent="0.3">
      <c r="A563" t="s">
        <v>1824</v>
      </c>
      <c r="B563" t="s">
        <v>238</v>
      </c>
      <c r="C563" t="s">
        <v>1281</v>
      </c>
      <c r="D563" t="s">
        <v>1693</v>
      </c>
      <c r="E563" t="s">
        <v>104</v>
      </c>
      <c r="F563" t="s">
        <v>48</v>
      </c>
      <c r="G563" t="s">
        <v>63</v>
      </c>
      <c r="H563">
        <v>6</v>
      </c>
      <c r="I563">
        <v>3913.71</v>
      </c>
      <c r="J563" t="s">
        <v>28</v>
      </c>
      <c r="K563" t="s">
        <v>29</v>
      </c>
      <c r="L563">
        <f t="shared" si="8"/>
        <v>23482.260000000002</v>
      </c>
    </row>
    <row r="564" spans="1:12" x14ac:dyDescent="0.3">
      <c r="A564" t="s">
        <v>1825</v>
      </c>
      <c r="B564" t="s">
        <v>1826</v>
      </c>
      <c r="C564" t="s">
        <v>1162</v>
      </c>
      <c r="D564" t="s">
        <v>1827</v>
      </c>
      <c r="E564" t="s">
        <v>16</v>
      </c>
      <c r="F564" t="s">
        <v>26</v>
      </c>
      <c r="G564" t="s">
        <v>208</v>
      </c>
      <c r="H564">
        <v>9</v>
      </c>
      <c r="I564">
        <v>1789.86</v>
      </c>
      <c r="J564" t="s">
        <v>50</v>
      </c>
      <c r="K564" t="s">
        <v>51</v>
      </c>
      <c r="L564">
        <f t="shared" si="8"/>
        <v>16108.74</v>
      </c>
    </row>
    <row r="565" spans="1:12" x14ac:dyDescent="0.3">
      <c r="A565" t="s">
        <v>1828</v>
      </c>
      <c r="B565" t="s">
        <v>242</v>
      </c>
      <c r="C565" t="s">
        <v>1829</v>
      </c>
      <c r="D565" t="s">
        <v>199</v>
      </c>
      <c r="E565" t="s">
        <v>128</v>
      </c>
      <c r="F565" t="s">
        <v>77</v>
      </c>
      <c r="G565" t="s">
        <v>171</v>
      </c>
      <c r="H565">
        <v>8</v>
      </c>
      <c r="I565">
        <v>4907.4799999999996</v>
      </c>
      <c r="J565" t="s">
        <v>28</v>
      </c>
      <c r="K565" t="s">
        <v>20</v>
      </c>
      <c r="L565">
        <f t="shared" si="8"/>
        <v>39259.839999999997</v>
      </c>
    </row>
    <row r="566" spans="1:12" x14ac:dyDescent="0.3">
      <c r="A566" t="s">
        <v>1830</v>
      </c>
      <c r="B566" t="s">
        <v>1831</v>
      </c>
      <c r="C566" t="s">
        <v>1832</v>
      </c>
      <c r="D566" t="s">
        <v>1833</v>
      </c>
      <c r="E566" t="s">
        <v>25</v>
      </c>
      <c r="F566" t="s">
        <v>26</v>
      </c>
      <c r="G566" t="s">
        <v>27</v>
      </c>
      <c r="H566">
        <v>9</v>
      </c>
      <c r="I566">
        <v>2335.91</v>
      </c>
      <c r="J566" t="s">
        <v>42</v>
      </c>
      <c r="K566" t="s">
        <v>20</v>
      </c>
      <c r="L566">
        <f t="shared" si="8"/>
        <v>21023.19</v>
      </c>
    </row>
    <row r="567" spans="1:12" x14ac:dyDescent="0.3">
      <c r="A567" t="s">
        <v>1834</v>
      </c>
      <c r="B567" t="s">
        <v>1252</v>
      </c>
      <c r="C567" t="s">
        <v>402</v>
      </c>
      <c r="D567" t="s">
        <v>528</v>
      </c>
      <c r="E567" t="s">
        <v>34</v>
      </c>
      <c r="F567" t="s">
        <v>17</v>
      </c>
      <c r="G567" t="s">
        <v>188</v>
      </c>
      <c r="H567">
        <v>4</v>
      </c>
      <c r="I567">
        <v>3284.06</v>
      </c>
      <c r="J567" t="s">
        <v>42</v>
      </c>
      <c r="K567" t="s">
        <v>43</v>
      </c>
      <c r="L567">
        <f t="shared" si="8"/>
        <v>13136.24</v>
      </c>
    </row>
    <row r="568" spans="1:12" x14ac:dyDescent="0.3">
      <c r="A568" t="s">
        <v>1835</v>
      </c>
      <c r="B568" t="s">
        <v>1836</v>
      </c>
      <c r="C568" t="s">
        <v>1603</v>
      </c>
      <c r="D568" t="s">
        <v>1117</v>
      </c>
      <c r="E568" t="s">
        <v>95</v>
      </c>
      <c r="F568" t="s">
        <v>77</v>
      </c>
      <c r="G568" t="s">
        <v>123</v>
      </c>
      <c r="H568">
        <v>7</v>
      </c>
      <c r="I568">
        <v>1001.59</v>
      </c>
      <c r="J568" t="s">
        <v>50</v>
      </c>
      <c r="K568" t="s">
        <v>43</v>
      </c>
      <c r="L568">
        <f t="shared" si="8"/>
        <v>7011.13</v>
      </c>
    </row>
    <row r="569" spans="1:12" x14ac:dyDescent="0.3">
      <c r="A569" t="s">
        <v>1837</v>
      </c>
      <c r="B569" t="s">
        <v>405</v>
      </c>
      <c r="C569" t="s">
        <v>1838</v>
      </c>
      <c r="D569" t="s">
        <v>1839</v>
      </c>
      <c r="E569" t="s">
        <v>56</v>
      </c>
      <c r="F569" t="s">
        <v>77</v>
      </c>
      <c r="G569" t="s">
        <v>78</v>
      </c>
      <c r="H569">
        <v>10</v>
      </c>
      <c r="I569">
        <v>459.88</v>
      </c>
      <c r="J569" t="s">
        <v>19</v>
      </c>
      <c r="K569" t="s">
        <v>20</v>
      </c>
      <c r="L569">
        <f t="shared" si="8"/>
        <v>4598.8</v>
      </c>
    </row>
    <row r="570" spans="1:12" x14ac:dyDescent="0.3">
      <c r="A570" t="s">
        <v>1840</v>
      </c>
      <c r="B570" t="s">
        <v>1841</v>
      </c>
      <c r="C570" t="s">
        <v>554</v>
      </c>
      <c r="D570" t="s">
        <v>1842</v>
      </c>
      <c r="E570" t="s">
        <v>25</v>
      </c>
      <c r="F570" t="s">
        <v>77</v>
      </c>
      <c r="G570" t="s">
        <v>105</v>
      </c>
      <c r="H570">
        <v>5</v>
      </c>
      <c r="I570">
        <v>3298.13</v>
      </c>
      <c r="J570" t="s">
        <v>50</v>
      </c>
      <c r="K570" t="s">
        <v>36</v>
      </c>
      <c r="L570">
        <f t="shared" si="8"/>
        <v>16490.650000000001</v>
      </c>
    </row>
    <row r="571" spans="1:12" x14ac:dyDescent="0.3">
      <c r="A571" t="s">
        <v>1843</v>
      </c>
      <c r="B571" t="s">
        <v>242</v>
      </c>
      <c r="C571" t="s">
        <v>1844</v>
      </c>
      <c r="D571" t="s">
        <v>555</v>
      </c>
      <c r="E571" t="s">
        <v>95</v>
      </c>
      <c r="F571" t="s">
        <v>48</v>
      </c>
      <c r="G571" t="s">
        <v>110</v>
      </c>
      <c r="H571">
        <v>5</v>
      </c>
      <c r="I571">
        <v>1557.42</v>
      </c>
      <c r="J571" t="s">
        <v>19</v>
      </c>
      <c r="K571" t="s">
        <v>36</v>
      </c>
      <c r="L571">
        <f t="shared" si="8"/>
        <v>7787.1</v>
      </c>
    </row>
    <row r="572" spans="1:12" x14ac:dyDescent="0.3">
      <c r="A572" t="s">
        <v>1845</v>
      </c>
      <c r="B572" t="s">
        <v>494</v>
      </c>
      <c r="C572" t="s">
        <v>981</v>
      </c>
      <c r="D572" t="s">
        <v>417</v>
      </c>
      <c r="E572" t="s">
        <v>56</v>
      </c>
      <c r="F572" t="s">
        <v>77</v>
      </c>
      <c r="G572" t="s">
        <v>123</v>
      </c>
      <c r="H572">
        <v>4</v>
      </c>
      <c r="I572">
        <v>4948.2299999999996</v>
      </c>
      <c r="J572" t="s">
        <v>19</v>
      </c>
      <c r="K572" t="s">
        <v>20</v>
      </c>
      <c r="L572">
        <f t="shared" si="8"/>
        <v>19792.919999999998</v>
      </c>
    </row>
    <row r="573" spans="1:12" x14ac:dyDescent="0.3">
      <c r="A573" t="s">
        <v>1846</v>
      </c>
      <c r="B573" t="s">
        <v>1847</v>
      </c>
      <c r="C573" t="s">
        <v>1848</v>
      </c>
      <c r="D573" t="s">
        <v>1849</v>
      </c>
      <c r="E573" t="s">
        <v>62</v>
      </c>
      <c r="F573" t="s">
        <v>77</v>
      </c>
      <c r="G573" t="s">
        <v>78</v>
      </c>
      <c r="H573">
        <v>8</v>
      </c>
      <c r="I573">
        <v>2318.52</v>
      </c>
      <c r="J573" t="s">
        <v>42</v>
      </c>
      <c r="K573" t="s">
        <v>51</v>
      </c>
      <c r="L573">
        <f t="shared" si="8"/>
        <v>18548.16</v>
      </c>
    </row>
    <row r="574" spans="1:12" x14ac:dyDescent="0.3">
      <c r="A574" t="s">
        <v>1850</v>
      </c>
      <c r="B574" t="s">
        <v>65</v>
      </c>
      <c r="C574" t="s">
        <v>1598</v>
      </c>
      <c r="D574" t="s">
        <v>1851</v>
      </c>
      <c r="E574" t="s">
        <v>34</v>
      </c>
      <c r="F574" t="s">
        <v>77</v>
      </c>
      <c r="G574" t="s">
        <v>265</v>
      </c>
      <c r="H574">
        <v>1</v>
      </c>
      <c r="I574">
        <v>2482.0500000000002</v>
      </c>
      <c r="J574" t="s">
        <v>50</v>
      </c>
      <c r="K574" t="s">
        <v>83</v>
      </c>
      <c r="L574">
        <f t="shared" si="8"/>
        <v>2482.0500000000002</v>
      </c>
    </row>
    <row r="575" spans="1:12" x14ac:dyDescent="0.3">
      <c r="A575" t="s">
        <v>1852</v>
      </c>
      <c r="B575" t="s">
        <v>660</v>
      </c>
      <c r="C575" t="s">
        <v>1853</v>
      </c>
      <c r="D575" t="s">
        <v>954</v>
      </c>
      <c r="E575" t="s">
        <v>128</v>
      </c>
      <c r="F575" t="s">
        <v>48</v>
      </c>
      <c r="G575" t="s">
        <v>49</v>
      </c>
      <c r="H575">
        <v>1</v>
      </c>
      <c r="I575">
        <v>1322.5</v>
      </c>
      <c r="J575" t="s">
        <v>42</v>
      </c>
      <c r="K575" t="s">
        <v>20</v>
      </c>
      <c r="L575">
        <f t="shared" si="8"/>
        <v>1322.5</v>
      </c>
    </row>
    <row r="576" spans="1:12" x14ac:dyDescent="0.3">
      <c r="A576" t="s">
        <v>1854</v>
      </c>
      <c r="B576" t="s">
        <v>589</v>
      </c>
      <c r="C576" t="s">
        <v>1855</v>
      </c>
      <c r="D576" t="s">
        <v>1856</v>
      </c>
      <c r="E576" t="s">
        <v>34</v>
      </c>
      <c r="F576" t="s">
        <v>77</v>
      </c>
      <c r="G576" t="s">
        <v>78</v>
      </c>
      <c r="H576">
        <v>6</v>
      </c>
      <c r="I576">
        <v>508.92</v>
      </c>
      <c r="J576" t="s">
        <v>28</v>
      </c>
      <c r="K576" t="s">
        <v>20</v>
      </c>
      <c r="L576">
        <f t="shared" si="8"/>
        <v>3053.52</v>
      </c>
    </row>
    <row r="577" spans="1:12" x14ac:dyDescent="0.3">
      <c r="A577" t="s">
        <v>1857</v>
      </c>
      <c r="B577" t="s">
        <v>409</v>
      </c>
      <c r="C577" t="s">
        <v>1858</v>
      </c>
      <c r="D577" t="s">
        <v>1114</v>
      </c>
      <c r="E577" t="s">
        <v>104</v>
      </c>
      <c r="F577" t="s">
        <v>17</v>
      </c>
      <c r="G577" t="s">
        <v>35</v>
      </c>
      <c r="H577">
        <v>8</v>
      </c>
      <c r="I577">
        <v>601.52</v>
      </c>
      <c r="J577" t="s">
        <v>50</v>
      </c>
      <c r="K577" t="s">
        <v>29</v>
      </c>
      <c r="L577">
        <f t="shared" si="8"/>
        <v>4812.16</v>
      </c>
    </row>
    <row r="578" spans="1:12" x14ac:dyDescent="0.3">
      <c r="A578" t="s">
        <v>1859</v>
      </c>
      <c r="B578" t="s">
        <v>1860</v>
      </c>
      <c r="C578" t="s">
        <v>834</v>
      </c>
      <c r="D578" t="s">
        <v>1861</v>
      </c>
      <c r="E578" t="s">
        <v>95</v>
      </c>
      <c r="F578" t="s">
        <v>77</v>
      </c>
      <c r="G578" t="s">
        <v>78</v>
      </c>
      <c r="H578">
        <v>10</v>
      </c>
      <c r="I578">
        <v>3793.29</v>
      </c>
      <c r="J578" t="s">
        <v>42</v>
      </c>
      <c r="K578" t="s">
        <v>36</v>
      </c>
      <c r="L578">
        <f t="shared" si="8"/>
        <v>37932.9</v>
      </c>
    </row>
    <row r="579" spans="1:12" x14ac:dyDescent="0.3">
      <c r="A579" t="s">
        <v>1862</v>
      </c>
      <c r="B579" t="s">
        <v>1243</v>
      </c>
      <c r="C579" t="s">
        <v>1863</v>
      </c>
      <c r="D579" t="s">
        <v>1864</v>
      </c>
      <c r="E579" t="s">
        <v>104</v>
      </c>
      <c r="F579" t="s">
        <v>17</v>
      </c>
      <c r="G579" t="s">
        <v>41</v>
      </c>
      <c r="H579">
        <v>6</v>
      </c>
      <c r="I579">
        <v>764.73</v>
      </c>
      <c r="J579" t="s">
        <v>42</v>
      </c>
      <c r="K579" t="s">
        <v>43</v>
      </c>
      <c r="L579">
        <f t="shared" ref="L579:L642" si="9">H579*I579</f>
        <v>4588.38</v>
      </c>
    </row>
    <row r="580" spans="1:12" x14ac:dyDescent="0.3">
      <c r="A580" t="s">
        <v>1865</v>
      </c>
      <c r="B580" t="s">
        <v>1437</v>
      </c>
      <c r="C580" t="s">
        <v>1557</v>
      </c>
      <c r="D580" t="s">
        <v>1512</v>
      </c>
      <c r="E580" t="s">
        <v>34</v>
      </c>
      <c r="F580" t="s">
        <v>77</v>
      </c>
      <c r="G580" t="s">
        <v>105</v>
      </c>
      <c r="H580">
        <v>10</v>
      </c>
      <c r="I580">
        <v>768.13</v>
      </c>
      <c r="J580" t="s">
        <v>42</v>
      </c>
      <c r="K580" t="s">
        <v>20</v>
      </c>
      <c r="L580">
        <f t="shared" si="9"/>
        <v>7681.3</v>
      </c>
    </row>
    <row r="581" spans="1:12" x14ac:dyDescent="0.3">
      <c r="A581" t="s">
        <v>1866</v>
      </c>
      <c r="B581" t="s">
        <v>1867</v>
      </c>
      <c r="C581" t="s">
        <v>1868</v>
      </c>
      <c r="D581" t="s">
        <v>1869</v>
      </c>
      <c r="E581" t="s">
        <v>34</v>
      </c>
      <c r="F581" t="s">
        <v>77</v>
      </c>
      <c r="G581" t="s">
        <v>123</v>
      </c>
      <c r="H581">
        <v>5</v>
      </c>
      <c r="I581">
        <v>432.65</v>
      </c>
      <c r="J581" t="s">
        <v>19</v>
      </c>
      <c r="K581" t="s">
        <v>29</v>
      </c>
      <c r="L581">
        <f t="shared" si="9"/>
        <v>2163.25</v>
      </c>
    </row>
    <row r="582" spans="1:12" x14ac:dyDescent="0.3">
      <c r="A582" t="s">
        <v>1870</v>
      </c>
      <c r="B582" t="s">
        <v>1753</v>
      </c>
      <c r="C582" t="s">
        <v>1871</v>
      </c>
      <c r="D582" t="s">
        <v>1872</v>
      </c>
      <c r="E582" t="s">
        <v>56</v>
      </c>
      <c r="F582" t="s">
        <v>17</v>
      </c>
      <c r="G582" t="s">
        <v>18</v>
      </c>
      <c r="H582">
        <v>8</v>
      </c>
      <c r="I582">
        <v>3236.07</v>
      </c>
      <c r="J582" t="s">
        <v>42</v>
      </c>
      <c r="K582" t="s">
        <v>36</v>
      </c>
      <c r="L582">
        <f t="shared" si="9"/>
        <v>25888.560000000001</v>
      </c>
    </row>
    <row r="583" spans="1:12" x14ac:dyDescent="0.3">
      <c r="A583" t="s">
        <v>1873</v>
      </c>
      <c r="B583" t="s">
        <v>626</v>
      </c>
      <c r="C583" t="s">
        <v>1710</v>
      </c>
      <c r="D583" t="s">
        <v>1874</v>
      </c>
      <c r="E583" t="s">
        <v>16</v>
      </c>
      <c r="F583" t="s">
        <v>77</v>
      </c>
      <c r="G583" t="s">
        <v>265</v>
      </c>
      <c r="H583">
        <v>6</v>
      </c>
      <c r="I583">
        <v>2233.44</v>
      </c>
      <c r="J583" t="s">
        <v>42</v>
      </c>
      <c r="K583" t="s">
        <v>36</v>
      </c>
      <c r="L583">
        <f t="shared" si="9"/>
        <v>13400.64</v>
      </c>
    </row>
    <row r="584" spans="1:12" x14ac:dyDescent="0.3">
      <c r="A584" t="s">
        <v>1875</v>
      </c>
      <c r="B584" t="s">
        <v>1876</v>
      </c>
      <c r="C584" t="s">
        <v>310</v>
      </c>
      <c r="D584" t="s">
        <v>1869</v>
      </c>
      <c r="E584" t="s">
        <v>16</v>
      </c>
      <c r="F584" t="s">
        <v>77</v>
      </c>
      <c r="G584" t="s">
        <v>78</v>
      </c>
      <c r="H584">
        <v>2</v>
      </c>
      <c r="I584">
        <v>4201.3900000000003</v>
      </c>
      <c r="J584" t="s">
        <v>42</v>
      </c>
      <c r="K584" t="s">
        <v>51</v>
      </c>
      <c r="L584">
        <f t="shared" si="9"/>
        <v>8402.7800000000007</v>
      </c>
    </row>
    <row r="585" spans="1:12" x14ac:dyDescent="0.3">
      <c r="A585" t="s">
        <v>1877</v>
      </c>
      <c r="B585" t="s">
        <v>1878</v>
      </c>
      <c r="C585" t="s">
        <v>1808</v>
      </c>
      <c r="D585" t="s">
        <v>1879</v>
      </c>
      <c r="E585" t="s">
        <v>104</v>
      </c>
      <c r="F585" t="s">
        <v>26</v>
      </c>
      <c r="G585" t="s">
        <v>166</v>
      </c>
      <c r="H585">
        <v>3</v>
      </c>
      <c r="I585">
        <v>1442.54</v>
      </c>
      <c r="J585" t="s">
        <v>28</v>
      </c>
      <c r="K585" t="s">
        <v>20</v>
      </c>
      <c r="L585">
        <f t="shared" si="9"/>
        <v>4327.62</v>
      </c>
    </row>
    <row r="586" spans="1:12" x14ac:dyDescent="0.3">
      <c r="A586" t="s">
        <v>1880</v>
      </c>
      <c r="B586" t="s">
        <v>214</v>
      </c>
      <c r="C586" t="s">
        <v>1881</v>
      </c>
      <c r="D586" t="s">
        <v>1882</v>
      </c>
      <c r="E586" t="s">
        <v>95</v>
      </c>
      <c r="F586" t="s">
        <v>48</v>
      </c>
      <c r="G586" t="s">
        <v>57</v>
      </c>
      <c r="H586">
        <v>7</v>
      </c>
      <c r="I586">
        <v>2248.9</v>
      </c>
      <c r="J586" t="s">
        <v>19</v>
      </c>
      <c r="K586" t="s">
        <v>36</v>
      </c>
      <c r="L586">
        <f t="shared" si="9"/>
        <v>15742.300000000001</v>
      </c>
    </row>
    <row r="587" spans="1:12" x14ac:dyDescent="0.3">
      <c r="A587" t="s">
        <v>1883</v>
      </c>
      <c r="B587" t="s">
        <v>1884</v>
      </c>
      <c r="C587" t="s">
        <v>1407</v>
      </c>
      <c r="D587" t="s">
        <v>1885</v>
      </c>
      <c r="E587" t="s">
        <v>95</v>
      </c>
      <c r="F587" t="s">
        <v>48</v>
      </c>
      <c r="G587" t="s">
        <v>179</v>
      </c>
      <c r="H587">
        <v>9</v>
      </c>
      <c r="I587">
        <v>4009.63</v>
      </c>
      <c r="J587" t="s">
        <v>50</v>
      </c>
      <c r="K587" t="s">
        <v>51</v>
      </c>
      <c r="L587">
        <f t="shared" si="9"/>
        <v>36086.67</v>
      </c>
    </row>
    <row r="588" spans="1:12" x14ac:dyDescent="0.3">
      <c r="A588" t="s">
        <v>1886</v>
      </c>
      <c r="B588" t="s">
        <v>1003</v>
      </c>
      <c r="C588" t="s">
        <v>1664</v>
      </c>
      <c r="D588" t="s">
        <v>1202</v>
      </c>
      <c r="E588" t="s">
        <v>104</v>
      </c>
      <c r="F588" t="s">
        <v>26</v>
      </c>
      <c r="G588" t="s">
        <v>296</v>
      </c>
      <c r="H588">
        <v>7</v>
      </c>
      <c r="I588">
        <v>3540.95</v>
      </c>
      <c r="J588" t="s">
        <v>19</v>
      </c>
      <c r="K588" t="s">
        <v>29</v>
      </c>
      <c r="L588">
        <f t="shared" si="9"/>
        <v>24786.649999999998</v>
      </c>
    </row>
    <row r="589" spans="1:12" x14ac:dyDescent="0.3">
      <c r="A589" t="s">
        <v>1887</v>
      </c>
      <c r="B589" t="s">
        <v>654</v>
      </c>
      <c r="C589" t="s">
        <v>824</v>
      </c>
      <c r="D589" t="s">
        <v>1856</v>
      </c>
      <c r="E589" t="s">
        <v>128</v>
      </c>
      <c r="F589" t="s">
        <v>48</v>
      </c>
      <c r="G589" t="s">
        <v>63</v>
      </c>
      <c r="H589">
        <v>10</v>
      </c>
      <c r="I589">
        <v>4991.34</v>
      </c>
      <c r="J589" t="s">
        <v>28</v>
      </c>
      <c r="K589" t="s">
        <v>43</v>
      </c>
      <c r="L589">
        <f t="shared" si="9"/>
        <v>49913.4</v>
      </c>
    </row>
    <row r="590" spans="1:12" x14ac:dyDescent="0.3">
      <c r="A590" t="s">
        <v>1888</v>
      </c>
      <c r="B590" t="s">
        <v>1794</v>
      </c>
      <c r="C590" t="s">
        <v>1046</v>
      </c>
      <c r="D590" t="s">
        <v>1889</v>
      </c>
      <c r="E590" t="s">
        <v>16</v>
      </c>
      <c r="F590" t="s">
        <v>48</v>
      </c>
      <c r="G590" t="s">
        <v>179</v>
      </c>
      <c r="H590">
        <v>6</v>
      </c>
      <c r="I590">
        <v>225.82</v>
      </c>
      <c r="J590" t="s">
        <v>19</v>
      </c>
      <c r="K590" t="s">
        <v>43</v>
      </c>
      <c r="L590">
        <f t="shared" si="9"/>
        <v>1354.92</v>
      </c>
    </row>
    <row r="591" spans="1:12" x14ac:dyDescent="0.3">
      <c r="A591" t="s">
        <v>1890</v>
      </c>
      <c r="B591" t="s">
        <v>1831</v>
      </c>
      <c r="C591" t="s">
        <v>1891</v>
      </c>
      <c r="D591" t="s">
        <v>1892</v>
      </c>
      <c r="E591" t="s">
        <v>25</v>
      </c>
      <c r="F591" t="s">
        <v>77</v>
      </c>
      <c r="G591" t="s">
        <v>105</v>
      </c>
      <c r="H591">
        <v>1</v>
      </c>
      <c r="I591">
        <v>674.83</v>
      </c>
      <c r="J591" t="s">
        <v>42</v>
      </c>
      <c r="K591" t="s">
        <v>51</v>
      </c>
      <c r="L591">
        <f t="shared" si="9"/>
        <v>674.83</v>
      </c>
    </row>
    <row r="592" spans="1:12" x14ac:dyDescent="0.3">
      <c r="A592" t="s">
        <v>1893</v>
      </c>
      <c r="B592" t="s">
        <v>70</v>
      </c>
      <c r="C592" t="s">
        <v>1894</v>
      </c>
      <c r="D592" t="s">
        <v>1895</v>
      </c>
      <c r="E592" t="s">
        <v>104</v>
      </c>
      <c r="F592" t="s">
        <v>26</v>
      </c>
      <c r="G592" t="s">
        <v>208</v>
      </c>
      <c r="H592">
        <v>2</v>
      </c>
      <c r="I592">
        <v>1965.45</v>
      </c>
      <c r="J592" t="s">
        <v>19</v>
      </c>
      <c r="K592" t="s">
        <v>51</v>
      </c>
      <c r="L592">
        <f t="shared" si="9"/>
        <v>3930.9</v>
      </c>
    </row>
    <row r="593" spans="1:12" x14ac:dyDescent="0.3">
      <c r="A593" t="s">
        <v>1896</v>
      </c>
      <c r="B593" t="s">
        <v>1105</v>
      </c>
      <c r="C593" t="s">
        <v>14</v>
      </c>
      <c r="D593" t="s">
        <v>15</v>
      </c>
      <c r="E593" t="s">
        <v>25</v>
      </c>
      <c r="F593" t="s">
        <v>26</v>
      </c>
      <c r="G593" t="s">
        <v>27</v>
      </c>
      <c r="H593">
        <v>5</v>
      </c>
      <c r="I593">
        <v>2799.44</v>
      </c>
      <c r="J593" t="s">
        <v>42</v>
      </c>
      <c r="K593" t="s">
        <v>83</v>
      </c>
      <c r="L593">
        <f t="shared" si="9"/>
        <v>13997.2</v>
      </c>
    </row>
    <row r="594" spans="1:12" x14ac:dyDescent="0.3">
      <c r="A594" t="s">
        <v>1897</v>
      </c>
      <c r="B594" t="s">
        <v>1578</v>
      </c>
      <c r="C594" t="s">
        <v>1898</v>
      </c>
      <c r="D594" t="s">
        <v>1899</v>
      </c>
      <c r="E594" t="s">
        <v>25</v>
      </c>
      <c r="F594" t="s">
        <v>77</v>
      </c>
      <c r="G594" t="s">
        <v>171</v>
      </c>
      <c r="H594">
        <v>8</v>
      </c>
      <c r="I594">
        <v>4481.07</v>
      </c>
      <c r="J594" t="s">
        <v>42</v>
      </c>
      <c r="K594" t="s">
        <v>36</v>
      </c>
      <c r="L594">
        <f t="shared" si="9"/>
        <v>35848.559999999998</v>
      </c>
    </row>
    <row r="595" spans="1:12" x14ac:dyDescent="0.3">
      <c r="A595" t="s">
        <v>1900</v>
      </c>
      <c r="B595" t="s">
        <v>582</v>
      </c>
      <c r="C595" t="s">
        <v>1901</v>
      </c>
      <c r="D595" t="s">
        <v>1902</v>
      </c>
      <c r="E595" t="s">
        <v>95</v>
      </c>
      <c r="F595" t="s">
        <v>26</v>
      </c>
      <c r="G595" t="s">
        <v>115</v>
      </c>
      <c r="H595">
        <v>7</v>
      </c>
      <c r="I595">
        <v>1775.18</v>
      </c>
      <c r="J595" t="s">
        <v>19</v>
      </c>
      <c r="K595" t="s">
        <v>83</v>
      </c>
      <c r="L595">
        <f t="shared" si="9"/>
        <v>12426.26</v>
      </c>
    </row>
    <row r="596" spans="1:12" x14ac:dyDescent="0.3">
      <c r="A596" t="s">
        <v>1903</v>
      </c>
      <c r="B596" t="s">
        <v>911</v>
      </c>
      <c r="C596" t="s">
        <v>1904</v>
      </c>
      <c r="D596" t="s">
        <v>1905</v>
      </c>
      <c r="E596" t="s">
        <v>34</v>
      </c>
      <c r="F596" t="s">
        <v>26</v>
      </c>
      <c r="G596" t="s">
        <v>166</v>
      </c>
      <c r="H596">
        <v>7</v>
      </c>
      <c r="I596">
        <v>4546.79</v>
      </c>
      <c r="J596" t="s">
        <v>50</v>
      </c>
      <c r="K596" t="s">
        <v>83</v>
      </c>
      <c r="L596">
        <f t="shared" si="9"/>
        <v>31827.53</v>
      </c>
    </row>
    <row r="597" spans="1:12" x14ac:dyDescent="0.3">
      <c r="A597" t="s">
        <v>1906</v>
      </c>
      <c r="B597" t="s">
        <v>1334</v>
      </c>
      <c r="C597" t="s">
        <v>1907</v>
      </c>
      <c r="D597" t="s">
        <v>1908</v>
      </c>
      <c r="E597" t="s">
        <v>128</v>
      </c>
      <c r="F597" t="s">
        <v>77</v>
      </c>
      <c r="G597" t="s">
        <v>171</v>
      </c>
      <c r="H597">
        <v>3</v>
      </c>
      <c r="I597">
        <v>96.88</v>
      </c>
      <c r="J597" t="s">
        <v>19</v>
      </c>
      <c r="K597" t="s">
        <v>43</v>
      </c>
      <c r="L597">
        <f t="shared" si="9"/>
        <v>290.64</v>
      </c>
    </row>
    <row r="598" spans="1:12" x14ac:dyDescent="0.3">
      <c r="A598" t="s">
        <v>1909</v>
      </c>
      <c r="B598" t="s">
        <v>753</v>
      </c>
      <c r="C598" t="s">
        <v>1910</v>
      </c>
      <c r="D598" t="s">
        <v>1911</v>
      </c>
      <c r="E598" t="s">
        <v>104</v>
      </c>
      <c r="F598" t="s">
        <v>77</v>
      </c>
      <c r="G598" t="s">
        <v>105</v>
      </c>
      <c r="H598">
        <v>9</v>
      </c>
      <c r="I598">
        <v>411.13</v>
      </c>
      <c r="J598" t="s">
        <v>19</v>
      </c>
      <c r="K598" t="s">
        <v>43</v>
      </c>
      <c r="L598">
        <f t="shared" si="9"/>
        <v>3700.17</v>
      </c>
    </row>
    <row r="599" spans="1:12" x14ac:dyDescent="0.3">
      <c r="A599" t="s">
        <v>1912</v>
      </c>
      <c r="B599" t="s">
        <v>1807</v>
      </c>
      <c r="C599" t="s">
        <v>1913</v>
      </c>
      <c r="D599" t="s">
        <v>1914</v>
      </c>
      <c r="E599" t="s">
        <v>95</v>
      </c>
      <c r="F599" t="s">
        <v>48</v>
      </c>
      <c r="G599" t="s">
        <v>179</v>
      </c>
      <c r="H599">
        <v>1</v>
      </c>
      <c r="I599">
        <v>1082.58</v>
      </c>
      <c r="J599" t="s">
        <v>28</v>
      </c>
      <c r="K599" t="s">
        <v>43</v>
      </c>
      <c r="L599">
        <f t="shared" si="9"/>
        <v>1082.58</v>
      </c>
    </row>
    <row r="600" spans="1:12" x14ac:dyDescent="0.3">
      <c r="A600" t="s">
        <v>1915</v>
      </c>
      <c r="B600" t="s">
        <v>1684</v>
      </c>
      <c r="C600" t="s">
        <v>696</v>
      </c>
      <c r="D600" t="s">
        <v>492</v>
      </c>
      <c r="E600" t="s">
        <v>56</v>
      </c>
      <c r="F600" t="s">
        <v>48</v>
      </c>
      <c r="G600" t="s">
        <v>49</v>
      </c>
      <c r="H600">
        <v>8</v>
      </c>
      <c r="I600">
        <v>2302.7800000000002</v>
      </c>
      <c r="J600" t="s">
        <v>19</v>
      </c>
      <c r="K600" t="s">
        <v>83</v>
      </c>
      <c r="L600">
        <f t="shared" si="9"/>
        <v>18422.240000000002</v>
      </c>
    </row>
    <row r="601" spans="1:12" x14ac:dyDescent="0.3">
      <c r="A601" t="s">
        <v>1916</v>
      </c>
      <c r="B601" t="s">
        <v>613</v>
      </c>
      <c r="C601" t="s">
        <v>1917</v>
      </c>
      <c r="D601" t="s">
        <v>252</v>
      </c>
      <c r="E601" t="s">
        <v>25</v>
      </c>
      <c r="F601" t="s">
        <v>48</v>
      </c>
      <c r="G601" t="s">
        <v>179</v>
      </c>
      <c r="H601">
        <v>4</v>
      </c>
      <c r="I601">
        <v>2360.7399999999998</v>
      </c>
      <c r="J601" t="s">
        <v>28</v>
      </c>
      <c r="K601" t="s">
        <v>36</v>
      </c>
      <c r="L601">
        <f t="shared" si="9"/>
        <v>9442.9599999999991</v>
      </c>
    </row>
    <row r="602" spans="1:12" x14ac:dyDescent="0.3">
      <c r="A602" t="s">
        <v>1918</v>
      </c>
      <c r="B602" t="s">
        <v>1473</v>
      </c>
      <c r="C602" t="s">
        <v>1080</v>
      </c>
      <c r="D602" t="s">
        <v>1390</v>
      </c>
      <c r="E602" t="s">
        <v>16</v>
      </c>
      <c r="F602" t="s">
        <v>26</v>
      </c>
      <c r="G602" t="s">
        <v>296</v>
      </c>
      <c r="H602">
        <v>1</v>
      </c>
      <c r="I602">
        <v>482.15</v>
      </c>
      <c r="J602" t="s">
        <v>50</v>
      </c>
      <c r="K602" t="s">
        <v>43</v>
      </c>
      <c r="L602">
        <f t="shared" si="9"/>
        <v>482.15</v>
      </c>
    </row>
    <row r="603" spans="1:12" x14ac:dyDescent="0.3">
      <c r="A603" t="s">
        <v>1919</v>
      </c>
      <c r="B603" t="s">
        <v>1690</v>
      </c>
      <c r="C603" t="s">
        <v>1327</v>
      </c>
      <c r="D603" t="s">
        <v>1920</v>
      </c>
      <c r="E603" t="s">
        <v>25</v>
      </c>
      <c r="F603" t="s">
        <v>77</v>
      </c>
      <c r="G603" t="s">
        <v>171</v>
      </c>
      <c r="H603">
        <v>3</v>
      </c>
      <c r="I603">
        <v>2960.56</v>
      </c>
      <c r="J603" t="s">
        <v>19</v>
      </c>
      <c r="K603" t="s">
        <v>29</v>
      </c>
      <c r="L603">
        <f t="shared" si="9"/>
        <v>8881.68</v>
      </c>
    </row>
    <row r="604" spans="1:12" x14ac:dyDescent="0.3">
      <c r="A604" t="s">
        <v>1921</v>
      </c>
      <c r="B604" t="s">
        <v>1922</v>
      </c>
      <c r="C604" t="s">
        <v>1923</v>
      </c>
      <c r="D604" t="s">
        <v>1924</v>
      </c>
      <c r="E604" t="s">
        <v>56</v>
      </c>
      <c r="F604" t="s">
        <v>77</v>
      </c>
      <c r="G604" t="s">
        <v>171</v>
      </c>
      <c r="H604">
        <v>5</v>
      </c>
      <c r="I604">
        <v>1466.18</v>
      </c>
      <c r="J604" t="s">
        <v>19</v>
      </c>
      <c r="K604" t="s">
        <v>43</v>
      </c>
      <c r="L604">
        <f t="shared" si="9"/>
        <v>7330.9000000000005</v>
      </c>
    </row>
    <row r="605" spans="1:12" x14ac:dyDescent="0.3">
      <c r="A605" t="s">
        <v>1925</v>
      </c>
      <c r="B605" t="s">
        <v>1079</v>
      </c>
      <c r="C605" t="s">
        <v>1258</v>
      </c>
      <c r="D605" t="s">
        <v>1926</v>
      </c>
      <c r="E605" t="s">
        <v>95</v>
      </c>
      <c r="F605" t="s">
        <v>26</v>
      </c>
      <c r="G605" t="s">
        <v>166</v>
      </c>
      <c r="H605">
        <v>10</v>
      </c>
      <c r="I605">
        <v>4625.57</v>
      </c>
      <c r="J605" t="s">
        <v>28</v>
      </c>
      <c r="K605" t="s">
        <v>20</v>
      </c>
      <c r="L605">
        <f t="shared" si="9"/>
        <v>46255.7</v>
      </c>
    </row>
    <row r="606" spans="1:12" x14ac:dyDescent="0.3">
      <c r="A606" t="s">
        <v>1927</v>
      </c>
      <c r="B606" t="s">
        <v>130</v>
      </c>
      <c r="C606" t="s">
        <v>513</v>
      </c>
      <c r="D606" t="s">
        <v>1928</v>
      </c>
      <c r="E606" t="s">
        <v>34</v>
      </c>
      <c r="F606" t="s">
        <v>48</v>
      </c>
      <c r="G606" t="s">
        <v>57</v>
      </c>
      <c r="H606">
        <v>8</v>
      </c>
      <c r="I606">
        <v>4944.78</v>
      </c>
      <c r="J606" t="s">
        <v>50</v>
      </c>
      <c r="K606" t="s">
        <v>36</v>
      </c>
      <c r="L606">
        <f t="shared" si="9"/>
        <v>39558.239999999998</v>
      </c>
    </row>
    <row r="607" spans="1:12" x14ac:dyDescent="0.3">
      <c r="A607" t="s">
        <v>1929</v>
      </c>
      <c r="B607" t="s">
        <v>474</v>
      </c>
      <c r="C607" t="s">
        <v>1930</v>
      </c>
      <c r="D607" t="s">
        <v>685</v>
      </c>
      <c r="E607" t="s">
        <v>128</v>
      </c>
      <c r="F607" t="s">
        <v>77</v>
      </c>
      <c r="G607" t="s">
        <v>171</v>
      </c>
      <c r="H607">
        <v>9</v>
      </c>
      <c r="I607">
        <v>2286.73</v>
      </c>
      <c r="J607" t="s">
        <v>42</v>
      </c>
      <c r="K607" t="s">
        <v>51</v>
      </c>
      <c r="L607">
        <f t="shared" si="9"/>
        <v>20580.57</v>
      </c>
    </row>
    <row r="608" spans="1:12" x14ac:dyDescent="0.3">
      <c r="A608" t="s">
        <v>1931</v>
      </c>
      <c r="B608" t="s">
        <v>1039</v>
      </c>
      <c r="C608" t="s">
        <v>801</v>
      </c>
      <c r="D608" t="s">
        <v>1874</v>
      </c>
      <c r="E608" t="s">
        <v>34</v>
      </c>
      <c r="F608" t="s">
        <v>17</v>
      </c>
      <c r="G608" t="s">
        <v>41</v>
      </c>
      <c r="H608">
        <v>5</v>
      </c>
      <c r="I608">
        <v>2717.08</v>
      </c>
      <c r="J608" t="s">
        <v>42</v>
      </c>
      <c r="K608" t="s">
        <v>29</v>
      </c>
      <c r="L608">
        <f t="shared" si="9"/>
        <v>13585.4</v>
      </c>
    </row>
    <row r="609" spans="1:12" x14ac:dyDescent="0.3">
      <c r="A609" t="s">
        <v>1932</v>
      </c>
      <c r="B609" t="s">
        <v>1712</v>
      </c>
      <c r="C609" t="s">
        <v>1933</v>
      </c>
      <c r="D609" t="s">
        <v>1934</v>
      </c>
      <c r="E609" t="s">
        <v>104</v>
      </c>
      <c r="F609" t="s">
        <v>77</v>
      </c>
      <c r="G609" t="s">
        <v>105</v>
      </c>
      <c r="H609">
        <v>1</v>
      </c>
      <c r="I609">
        <v>4101.21</v>
      </c>
      <c r="J609" t="s">
        <v>50</v>
      </c>
      <c r="K609" t="s">
        <v>29</v>
      </c>
      <c r="L609">
        <f t="shared" si="9"/>
        <v>4101.21</v>
      </c>
    </row>
    <row r="610" spans="1:12" x14ac:dyDescent="0.3">
      <c r="A610" t="s">
        <v>1935</v>
      </c>
      <c r="B610" t="s">
        <v>1936</v>
      </c>
      <c r="C610" t="s">
        <v>1937</v>
      </c>
      <c r="D610" t="s">
        <v>1938</v>
      </c>
      <c r="E610" t="s">
        <v>56</v>
      </c>
      <c r="F610" t="s">
        <v>77</v>
      </c>
      <c r="G610" t="s">
        <v>105</v>
      </c>
      <c r="H610">
        <v>10</v>
      </c>
      <c r="I610">
        <v>2246.2399999999998</v>
      </c>
      <c r="J610" t="s">
        <v>19</v>
      </c>
      <c r="K610" t="s">
        <v>51</v>
      </c>
      <c r="L610">
        <f t="shared" si="9"/>
        <v>22462.399999999998</v>
      </c>
    </row>
    <row r="611" spans="1:12" x14ac:dyDescent="0.3">
      <c r="A611" t="s">
        <v>1939</v>
      </c>
      <c r="B611" t="s">
        <v>1940</v>
      </c>
      <c r="C611" t="s">
        <v>1941</v>
      </c>
      <c r="D611" t="s">
        <v>1942</v>
      </c>
      <c r="E611" t="s">
        <v>95</v>
      </c>
      <c r="F611" t="s">
        <v>17</v>
      </c>
      <c r="G611" t="s">
        <v>35</v>
      </c>
      <c r="H611">
        <v>8</v>
      </c>
      <c r="I611">
        <v>3012.51</v>
      </c>
      <c r="J611" t="s">
        <v>19</v>
      </c>
      <c r="K611" t="s">
        <v>83</v>
      </c>
      <c r="L611">
        <f t="shared" si="9"/>
        <v>24100.080000000002</v>
      </c>
    </row>
    <row r="612" spans="1:12" x14ac:dyDescent="0.3">
      <c r="A612" t="s">
        <v>1943</v>
      </c>
      <c r="B612" t="s">
        <v>538</v>
      </c>
      <c r="C612" t="s">
        <v>624</v>
      </c>
      <c r="D612" t="s">
        <v>1944</v>
      </c>
      <c r="E612" t="s">
        <v>62</v>
      </c>
      <c r="F612" t="s">
        <v>26</v>
      </c>
      <c r="G612" t="s">
        <v>166</v>
      </c>
      <c r="H612">
        <v>6</v>
      </c>
      <c r="I612">
        <v>4806.1099999999997</v>
      </c>
      <c r="J612" t="s">
        <v>28</v>
      </c>
      <c r="K612" t="s">
        <v>51</v>
      </c>
      <c r="L612">
        <f t="shared" si="9"/>
        <v>28836.659999999996</v>
      </c>
    </row>
    <row r="613" spans="1:12" x14ac:dyDescent="0.3">
      <c r="A613" t="s">
        <v>1945</v>
      </c>
      <c r="B613" t="s">
        <v>1946</v>
      </c>
      <c r="C613" t="s">
        <v>1947</v>
      </c>
      <c r="D613" t="s">
        <v>439</v>
      </c>
      <c r="E613" t="s">
        <v>62</v>
      </c>
      <c r="F613" t="s">
        <v>48</v>
      </c>
      <c r="G613" t="s">
        <v>63</v>
      </c>
      <c r="H613">
        <v>6</v>
      </c>
      <c r="I613">
        <v>3139.3</v>
      </c>
      <c r="J613" t="s">
        <v>28</v>
      </c>
      <c r="K613" t="s">
        <v>51</v>
      </c>
      <c r="L613">
        <f t="shared" si="9"/>
        <v>18835.800000000003</v>
      </c>
    </row>
    <row r="614" spans="1:12" x14ac:dyDescent="0.3">
      <c r="A614" t="s">
        <v>1948</v>
      </c>
      <c r="B614" t="s">
        <v>1949</v>
      </c>
      <c r="C614" t="s">
        <v>1950</v>
      </c>
      <c r="D614" t="s">
        <v>849</v>
      </c>
      <c r="E614" t="s">
        <v>95</v>
      </c>
      <c r="F614" t="s">
        <v>26</v>
      </c>
      <c r="G614" t="s">
        <v>296</v>
      </c>
      <c r="H614">
        <v>8</v>
      </c>
      <c r="I614">
        <v>1769.1</v>
      </c>
      <c r="J614" t="s">
        <v>50</v>
      </c>
      <c r="K614" t="s">
        <v>51</v>
      </c>
      <c r="L614">
        <f t="shared" si="9"/>
        <v>14152.8</v>
      </c>
    </row>
    <row r="615" spans="1:12" x14ac:dyDescent="0.3">
      <c r="A615" t="s">
        <v>1951</v>
      </c>
      <c r="B615" t="s">
        <v>1952</v>
      </c>
      <c r="C615" t="s">
        <v>1953</v>
      </c>
      <c r="D615" t="s">
        <v>697</v>
      </c>
      <c r="E615" t="s">
        <v>128</v>
      </c>
      <c r="F615" t="s">
        <v>77</v>
      </c>
      <c r="G615" t="s">
        <v>123</v>
      </c>
      <c r="H615">
        <v>3</v>
      </c>
      <c r="I615">
        <v>4679.6400000000003</v>
      </c>
      <c r="J615" t="s">
        <v>50</v>
      </c>
      <c r="K615" t="s">
        <v>36</v>
      </c>
      <c r="L615">
        <f t="shared" si="9"/>
        <v>14038.920000000002</v>
      </c>
    </row>
    <row r="616" spans="1:12" x14ac:dyDescent="0.3">
      <c r="A616" t="s">
        <v>1954</v>
      </c>
      <c r="B616" t="s">
        <v>898</v>
      </c>
      <c r="C616" t="s">
        <v>943</v>
      </c>
      <c r="D616" t="s">
        <v>1955</v>
      </c>
      <c r="E616" t="s">
        <v>16</v>
      </c>
      <c r="F616" t="s">
        <v>77</v>
      </c>
      <c r="G616" t="s">
        <v>123</v>
      </c>
      <c r="H616">
        <v>8</v>
      </c>
      <c r="I616">
        <v>1577.83</v>
      </c>
      <c r="J616" t="s">
        <v>19</v>
      </c>
      <c r="K616" t="s">
        <v>20</v>
      </c>
      <c r="L616">
        <f t="shared" si="9"/>
        <v>12622.64</v>
      </c>
    </row>
    <row r="617" spans="1:12" x14ac:dyDescent="0.3">
      <c r="A617" t="s">
        <v>1956</v>
      </c>
      <c r="B617" t="s">
        <v>1957</v>
      </c>
      <c r="C617" t="s">
        <v>739</v>
      </c>
      <c r="D617" t="s">
        <v>1944</v>
      </c>
      <c r="E617" t="s">
        <v>104</v>
      </c>
      <c r="F617" t="s">
        <v>77</v>
      </c>
      <c r="G617" t="s">
        <v>123</v>
      </c>
      <c r="H617">
        <v>6</v>
      </c>
      <c r="I617">
        <v>4856.55</v>
      </c>
      <c r="J617" t="s">
        <v>19</v>
      </c>
      <c r="K617" t="s">
        <v>20</v>
      </c>
      <c r="L617">
        <f t="shared" si="9"/>
        <v>29139.300000000003</v>
      </c>
    </row>
    <row r="618" spans="1:12" x14ac:dyDescent="0.3">
      <c r="A618" t="s">
        <v>1958</v>
      </c>
      <c r="B618" t="s">
        <v>1629</v>
      </c>
      <c r="C618" t="s">
        <v>1335</v>
      </c>
      <c r="D618" t="s">
        <v>1959</v>
      </c>
      <c r="E618" t="s">
        <v>34</v>
      </c>
      <c r="F618" t="s">
        <v>26</v>
      </c>
      <c r="G618" t="s">
        <v>166</v>
      </c>
      <c r="H618">
        <v>10</v>
      </c>
      <c r="I618">
        <v>326.76</v>
      </c>
      <c r="J618" t="s">
        <v>42</v>
      </c>
      <c r="K618" t="s">
        <v>51</v>
      </c>
      <c r="L618">
        <f t="shared" si="9"/>
        <v>3267.6</v>
      </c>
    </row>
    <row r="619" spans="1:12" x14ac:dyDescent="0.3">
      <c r="A619" t="s">
        <v>1960</v>
      </c>
      <c r="B619" t="s">
        <v>1131</v>
      </c>
      <c r="C619" t="s">
        <v>1265</v>
      </c>
      <c r="D619" t="s">
        <v>1961</v>
      </c>
      <c r="E619" t="s">
        <v>16</v>
      </c>
      <c r="F619" t="s">
        <v>77</v>
      </c>
      <c r="G619" t="s">
        <v>123</v>
      </c>
      <c r="H619">
        <v>6</v>
      </c>
      <c r="I619">
        <v>3608.33</v>
      </c>
      <c r="J619" t="s">
        <v>19</v>
      </c>
      <c r="K619" t="s">
        <v>51</v>
      </c>
      <c r="L619">
        <f t="shared" si="9"/>
        <v>21649.98</v>
      </c>
    </row>
    <row r="620" spans="1:12" x14ac:dyDescent="0.3">
      <c r="A620" t="s">
        <v>1962</v>
      </c>
      <c r="B620" t="s">
        <v>415</v>
      </c>
      <c r="C620" t="s">
        <v>1963</v>
      </c>
      <c r="D620" t="s">
        <v>1833</v>
      </c>
      <c r="E620" t="s">
        <v>16</v>
      </c>
      <c r="F620" t="s">
        <v>17</v>
      </c>
      <c r="G620" t="s">
        <v>68</v>
      </c>
      <c r="H620">
        <v>9</v>
      </c>
      <c r="I620">
        <v>1808.81</v>
      </c>
      <c r="J620" t="s">
        <v>28</v>
      </c>
      <c r="K620" t="s">
        <v>83</v>
      </c>
      <c r="L620">
        <f t="shared" si="9"/>
        <v>16279.289999999999</v>
      </c>
    </row>
    <row r="621" spans="1:12" x14ac:dyDescent="0.3">
      <c r="A621" t="s">
        <v>1964</v>
      </c>
      <c r="B621" t="s">
        <v>1965</v>
      </c>
      <c r="C621" t="s">
        <v>1814</v>
      </c>
      <c r="D621" t="s">
        <v>1966</v>
      </c>
      <c r="E621" t="s">
        <v>128</v>
      </c>
      <c r="F621" t="s">
        <v>77</v>
      </c>
      <c r="G621" t="s">
        <v>123</v>
      </c>
      <c r="H621">
        <v>8</v>
      </c>
      <c r="I621">
        <v>4509.7299999999996</v>
      </c>
      <c r="J621" t="s">
        <v>28</v>
      </c>
      <c r="K621" t="s">
        <v>36</v>
      </c>
      <c r="L621">
        <f t="shared" si="9"/>
        <v>36077.839999999997</v>
      </c>
    </row>
    <row r="622" spans="1:12" x14ac:dyDescent="0.3">
      <c r="A622" t="s">
        <v>1967</v>
      </c>
      <c r="B622" t="s">
        <v>1215</v>
      </c>
      <c r="C622" t="s">
        <v>1968</v>
      </c>
      <c r="D622" t="s">
        <v>1969</v>
      </c>
      <c r="E622" t="s">
        <v>62</v>
      </c>
      <c r="F622" t="s">
        <v>77</v>
      </c>
      <c r="G622" t="s">
        <v>105</v>
      </c>
      <c r="H622">
        <v>7</v>
      </c>
      <c r="I622">
        <v>575.73</v>
      </c>
      <c r="J622" t="s">
        <v>50</v>
      </c>
      <c r="K622" t="s">
        <v>43</v>
      </c>
      <c r="L622">
        <f t="shared" si="9"/>
        <v>4030.11</v>
      </c>
    </row>
    <row r="623" spans="1:12" x14ac:dyDescent="0.3">
      <c r="A623" t="s">
        <v>1970</v>
      </c>
      <c r="B623" t="s">
        <v>412</v>
      </c>
      <c r="C623" t="s">
        <v>1971</v>
      </c>
      <c r="D623" t="s">
        <v>1137</v>
      </c>
      <c r="E623" t="s">
        <v>104</v>
      </c>
      <c r="F623" t="s">
        <v>48</v>
      </c>
      <c r="G623" t="s">
        <v>179</v>
      </c>
      <c r="H623">
        <v>5</v>
      </c>
      <c r="I623">
        <v>319.48</v>
      </c>
      <c r="J623" t="s">
        <v>28</v>
      </c>
      <c r="K623" t="s">
        <v>43</v>
      </c>
      <c r="L623">
        <f t="shared" si="9"/>
        <v>1597.4</v>
      </c>
    </row>
    <row r="624" spans="1:12" x14ac:dyDescent="0.3">
      <c r="A624" t="s">
        <v>1972</v>
      </c>
      <c r="B624" t="s">
        <v>1973</v>
      </c>
      <c r="C624" t="s">
        <v>54</v>
      </c>
      <c r="D624" t="s">
        <v>1588</v>
      </c>
      <c r="E624" t="s">
        <v>25</v>
      </c>
      <c r="F624" t="s">
        <v>17</v>
      </c>
      <c r="G624" t="s">
        <v>188</v>
      </c>
      <c r="H624">
        <v>10</v>
      </c>
      <c r="I624">
        <v>1313.82</v>
      </c>
      <c r="J624" t="s">
        <v>28</v>
      </c>
      <c r="K624" t="s">
        <v>51</v>
      </c>
      <c r="L624">
        <f t="shared" si="9"/>
        <v>13138.199999999999</v>
      </c>
    </row>
    <row r="625" spans="1:12" x14ac:dyDescent="0.3">
      <c r="A625" t="s">
        <v>1974</v>
      </c>
      <c r="B625" t="s">
        <v>1975</v>
      </c>
      <c r="C625" t="s">
        <v>1976</v>
      </c>
      <c r="D625" t="s">
        <v>1518</v>
      </c>
      <c r="E625" t="s">
        <v>128</v>
      </c>
      <c r="F625" t="s">
        <v>48</v>
      </c>
      <c r="G625" t="s">
        <v>49</v>
      </c>
      <c r="H625">
        <v>7</v>
      </c>
      <c r="I625">
        <v>2064.23</v>
      </c>
      <c r="J625" t="s">
        <v>28</v>
      </c>
      <c r="K625" t="s">
        <v>29</v>
      </c>
      <c r="L625">
        <f t="shared" si="9"/>
        <v>14449.61</v>
      </c>
    </row>
    <row r="626" spans="1:12" x14ac:dyDescent="0.3">
      <c r="A626" t="s">
        <v>1977</v>
      </c>
      <c r="B626" t="s">
        <v>483</v>
      </c>
      <c r="C626" t="s">
        <v>1978</v>
      </c>
      <c r="D626" t="s">
        <v>1979</v>
      </c>
      <c r="E626" t="s">
        <v>16</v>
      </c>
      <c r="F626" t="s">
        <v>26</v>
      </c>
      <c r="G626" t="s">
        <v>27</v>
      </c>
      <c r="H626">
        <v>9</v>
      </c>
      <c r="I626">
        <v>2987.49</v>
      </c>
      <c r="J626" t="s">
        <v>28</v>
      </c>
      <c r="K626" t="s">
        <v>43</v>
      </c>
      <c r="L626">
        <f t="shared" si="9"/>
        <v>26887.409999999996</v>
      </c>
    </row>
    <row r="627" spans="1:12" x14ac:dyDescent="0.3">
      <c r="A627" t="s">
        <v>1980</v>
      </c>
      <c r="B627" t="s">
        <v>1981</v>
      </c>
      <c r="C627" t="s">
        <v>1982</v>
      </c>
      <c r="D627" t="s">
        <v>1911</v>
      </c>
      <c r="E627" t="s">
        <v>62</v>
      </c>
      <c r="F627" t="s">
        <v>48</v>
      </c>
      <c r="G627" t="s">
        <v>110</v>
      </c>
      <c r="H627">
        <v>6</v>
      </c>
      <c r="I627">
        <v>4437.09</v>
      </c>
      <c r="J627" t="s">
        <v>19</v>
      </c>
      <c r="K627" t="s">
        <v>20</v>
      </c>
      <c r="L627">
        <f t="shared" si="9"/>
        <v>26622.54</v>
      </c>
    </row>
    <row r="628" spans="1:12" x14ac:dyDescent="0.3">
      <c r="A628" t="s">
        <v>1983</v>
      </c>
      <c r="B628" t="s">
        <v>873</v>
      </c>
      <c r="C628" t="s">
        <v>590</v>
      </c>
      <c r="D628" t="s">
        <v>1984</v>
      </c>
      <c r="E628" t="s">
        <v>16</v>
      </c>
      <c r="F628" t="s">
        <v>77</v>
      </c>
      <c r="G628" t="s">
        <v>171</v>
      </c>
      <c r="H628">
        <v>7</v>
      </c>
      <c r="I628">
        <v>3127.87</v>
      </c>
      <c r="J628" t="s">
        <v>50</v>
      </c>
      <c r="K628" t="s">
        <v>20</v>
      </c>
      <c r="L628">
        <f t="shared" si="9"/>
        <v>21895.09</v>
      </c>
    </row>
    <row r="629" spans="1:12" x14ac:dyDescent="0.3">
      <c r="A629" t="s">
        <v>1985</v>
      </c>
      <c r="B629" t="s">
        <v>1981</v>
      </c>
      <c r="C629" t="s">
        <v>1986</v>
      </c>
      <c r="D629" t="s">
        <v>1987</v>
      </c>
      <c r="E629" t="s">
        <v>128</v>
      </c>
      <c r="F629" t="s">
        <v>17</v>
      </c>
      <c r="G629" t="s">
        <v>41</v>
      </c>
      <c r="H629">
        <v>3</v>
      </c>
      <c r="I629">
        <v>1085.8599999999999</v>
      </c>
      <c r="J629" t="s">
        <v>19</v>
      </c>
      <c r="K629" t="s">
        <v>36</v>
      </c>
      <c r="L629">
        <f t="shared" si="9"/>
        <v>3257.58</v>
      </c>
    </row>
    <row r="630" spans="1:12" x14ac:dyDescent="0.3">
      <c r="A630" t="s">
        <v>1988</v>
      </c>
      <c r="B630" t="s">
        <v>699</v>
      </c>
      <c r="C630" t="s">
        <v>1811</v>
      </c>
      <c r="D630" t="s">
        <v>1864</v>
      </c>
      <c r="E630" t="s">
        <v>56</v>
      </c>
      <c r="F630" t="s">
        <v>17</v>
      </c>
      <c r="G630" t="s">
        <v>35</v>
      </c>
      <c r="H630">
        <v>1</v>
      </c>
      <c r="I630">
        <v>121.4</v>
      </c>
      <c r="J630" t="s">
        <v>42</v>
      </c>
      <c r="K630" t="s">
        <v>36</v>
      </c>
      <c r="L630">
        <f t="shared" si="9"/>
        <v>121.4</v>
      </c>
    </row>
    <row r="631" spans="1:12" x14ac:dyDescent="0.3">
      <c r="A631" t="s">
        <v>1989</v>
      </c>
      <c r="B631" t="s">
        <v>1990</v>
      </c>
      <c r="C631" t="s">
        <v>1991</v>
      </c>
      <c r="D631" t="s">
        <v>1992</v>
      </c>
      <c r="E631" t="s">
        <v>56</v>
      </c>
      <c r="F631" t="s">
        <v>77</v>
      </c>
      <c r="G631" t="s">
        <v>105</v>
      </c>
      <c r="H631">
        <v>6</v>
      </c>
      <c r="I631">
        <v>4587.28</v>
      </c>
      <c r="J631" t="s">
        <v>42</v>
      </c>
      <c r="K631" t="s">
        <v>43</v>
      </c>
      <c r="L631">
        <f t="shared" si="9"/>
        <v>27523.68</v>
      </c>
    </row>
    <row r="632" spans="1:12" x14ac:dyDescent="0.3">
      <c r="A632" t="s">
        <v>1993</v>
      </c>
      <c r="B632" t="s">
        <v>519</v>
      </c>
      <c r="C632" t="s">
        <v>1994</v>
      </c>
      <c r="D632" t="s">
        <v>1995</v>
      </c>
      <c r="E632" t="s">
        <v>16</v>
      </c>
      <c r="F632" t="s">
        <v>17</v>
      </c>
      <c r="G632" t="s">
        <v>188</v>
      </c>
      <c r="H632">
        <v>7</v>
      </c>
      <c r="I632">
        <v>2787.13</v>
      </c>
      <c r="J632" t="s">
        <v>19</v>
      </c>
      <c r="K632" t="s">
        <v>83</v>
      </c>
      <c r="L632">
        <f t="shared" si="9"/>
        <v>19509.91</v>
      </c>
    </row>
    <row r="633" spans="1:12" x14ac:dyDescent="0.3">
      <c r="A633" t="s">
        <v>1996</v>
      </c>
      <c r="B633" t="s">
        <v>1097</v>
      </c>
      <c r="C633" t="s">
        <v>1997</v>
      </c>
      <c r="D633" t="s">
        <v>1998</v>
      </c>
      <c r="E633" t="s">
        <v>56</v>
      </c>
      <c r="F633" t="s">
        <v>77</v>
      </c>
      <c r="G633" t="s">
        <v>105</v>
      </c>
      <c r="H633">
        <v>5</v>
      </c>
      <c r="I633">
        <v>2497.66</v>
      </c>
      <c r="J633" t="s">
        <v>42</v>
      </c>
      <c r="K633" t="s">
        <v>36</v>
      </c>
      <c r="L633">
        <f t="shared" si="9"/>
        <v>12488.3</v>
      </c>
    </row>
    <row r="634" spans="1:12" x14ac:dyDescent="0.3">
      <c r="A634" t="s">
        <v>1999</v>
      </c>
      <c r="B634" t="s">
        <v>526</v>
      </c>
      <c r="C634" t="s">
        <v>2000</v>
      </c>
      <c r="D634" t="s">
        <v>91</v>
      </c>
      <c r="E634" t="s">
        <v>128</v>
      </c>
      <c r="F634" t="s">
        <v>77</v>
      </c>
      <c r="G634" t="s">
        <v>123</v>
      </c>
      <c r="H634">
        <v>6</v>
      </c>
      <c r="I634">
        <v>1277.0999999999999</v>
      </c>
      <c r="J634" t="s">
        <v>42</v>
      </c>
      <c r="K634" t="s">
        <v>29</v>
      </c>
      <c r="L634">
        <f t="shared" si="9"/>
        <v>7662.5999999999995</v>
      </c>
    </row>
    <row r="635" spans="1:12" x14ac:dyDescent="0.3">
      <c r="A635" t="s">
        <v>2001</v>
      </c>
      <c r="B635" t="s">
        <v>2002</v>
      </c>
      <c r="C635" t="s">
        <v>2003</v>
      </c>
      <c r="D635" t="s">
        <v>1889</v>
      </c>
      <c r="E635" t="s">
        <v>56</v>
      </c>
      <c r="F635" t="s">
        <v>17</v>
      </c>
      <c r="G635" t="s">
        <v>18</v>
      </c>
      <c r="H635">
        <v>9</v>
      </c>
      <c r="I635">
        <v>3845.26</v>
      </c>
      <c r="J635" t="s">
        <v>42</v>
      </c>
      <c r="K635" t="s">
        <v>83</v>
      </c>
      <c r="L635">
        <f t="shared" si="9"/>
        <v>34607.340000000004</v>
      </c>
    </row>
    <row r="636" spans="1:12" x14ac:dyDescent="0.3">
      <c r="A636" t="s">
        <v>2004</v>
      </c>
      <c r="B636" t="s">
        <v>942</v>
      </c>
      <c r="C636" t="s">
        <v>1523</v>
      </c>
      <c r="D636" t="s">
        <v>203</v>
      </c>
      <c r="E636" t="s">
        <v>16</v>
      </c>
      <c r="F636" t="s">
        <v>26</v>
      </c>
      <c r="G636" t="s">
        <v>166</v>
      </c>
      <c r="H636">
        <v>7</v>
      </c>
      <c r="I636">
        <v>1135.18</v>
      </c>
      <c r="J636" t="s">
        <v>19</v>
      </c>
      <c r="K636" t="s">
        <v>36</v>
      </c>
      <c r="L636">
        <f t="shared" si="9"/>
        <v>7946.26</v>
      </c>
    </row>
    <row r="637" spans="1:12" x14ac:dyDescent="0.3">
      <c r="A637" t="s">
        <v>2005</v>
      </c>
      <c r="B637" t="s">
        <v>1388</v>
      </c>
      <c r="C637" t="s">
        <v>2006</v>
      </c>
      <c r="D637" t="s">
        <v>2007</v>
      </c>
      <c r="E637" t="s">
        <v>16</v>
      </c>
      <c r="F637" t="s">
        <v>26</v>
      </c>
      <c r="G637" t="s">
        <v>208</v>
      </c>
      <c r="H637">
        <v>6</v>
      </c>
      <c r="I637">
        <v>3532.4</v>
      </c>
      <c r="J637" t="s">
        <v>19</v>
      </c>
      <c r="K637" t="s">
        <v>51</v>
      </c>
      <c r="L637">
        <f t="shared" si="9"/>
        <v>21194.400000000001</v>
      </c>
    </row>
    <row r="638" spans="1:12" x14ac:dyDescent="0.3">
      <c r="A638" t="s">
        <v>2008</v>
      </c>
      <c r="B638" t="s">
        <v>1684</v>
      </c>
      <c r="C638" t="s">
        <v>1223</v>
      </c>
      <c r="D638" t="s">
        <v>1984</v>
      </c>
      <c r="E638" t="s">
        <v>34</v>
      </c>
      <c r="F638" t="s">
        <v>26</v>
      </c>
      <c r="G638" t="s">
        <v>166</v>
      </c>
      <c r="H638">
        <v>6</v>
      </c>
      <c r="I638">
        <v>1855.23</v>
      </c>
      <c r="J638" t="s">
        <v>42</v>
      </c>
      <c r="K638" t="s">
        <v>29</v>
      </c>
      <c r="L638">
        <f t="shared" si="9"/>
        <v>11131.380000000001</v>
      </c>
    </row>
    <row r="639" spans="1:12" x14ac:dyDescent="0.3">
      <c r="A639" t="s">
        <v>2009</v>
      </c>
      <c r="B639" t="s">
        <v>1860</v>
      </c>
      <c r="C639" t="s">
        <v>2010</v>
      </c>
      <c r="D639" t="s">
        <v>281</v>
      </c>
      <c r="E639" t="s">
        <v>62</v>
      </c>
      <c r="F639" t="s">
        <v>17</v>
      </c>
      <c r="G639" t="s">
        <v>68</v>
      </c>
      <c r="H639">
        <v>7</v>
      </c>
      <c r="I639">
        <v>251.31</v>
      </c>
      <c r="J639" t="s">
        <v>19</v>
      </c>
      <c r="K639" t="s">
        <v>51</v>
      </c>
      <c r="L639">
        <f t="shared" si="9"/>
        <v>1759.17</v>
      </c>
    </row>
    <row r="640" spans="1:12" x14ac:dyDescent="0.3">
      <c r="A640" t="s">
        <v>2011</v>
      </c>
      <c r="B640" t="s">
        <v>1537</v>
      </c>
      <c r="C640" t="s">
        <v>939</v>
      </c>
      <c r="D640" t="s">
        <v>1220</v>
      </c>
      <c r="E640" t="s">
        <v>95</v>
      </c>
      <c r="F640" t="s">
        <v>17</v>
      </c>
      <c r="G640" t="s">
        <v>68</v>
      </c>
      <c r="H640">
        <v>3</v>
      </c>
      <c r="I640">
        <v>1150.77</v>
      </c>
      <c r="J640" t="s">
        <v>28</v>
      </c>
      <c r="K640" t="s">
        <v>83</v>
      </c>
      <c r="L640">
        <f t="shared" si="9"/>
        <v>3452.31</v>
      </c>
    </row>
    <row r="641" spans="1:12" x14ac:dyDescent="0.3">
      <c r="A641" t="s">
        <v>2012</v>
      </c>
      <c r="B641" t="s">
        <v>2013</v>
      </c>
      <c r="C641" t="s">
        <v>2014</v>
      </c>
      <c r="D641" t="s">
        <v>2015</v>
      </c>
      <c r="E641" t="s">
        <v>34</v>
      </c>
      <c r="F641" t="s">
        <v>48</v>
      </c>
      <c r="G641" t="s">
        <v>179</v>
      </c>
      <c r="H641">
        <v>8</v>
      </c>
      <c r="I641">
        <v>2389.46</v>
      </c>
      <c r="J641" t="s">
        <v>42</v>
      </c>
      <c r="K641" t="s">
        <v>51</v>
      </c>
      <c r="L641">
        <f t="shared" si="9"/>
        <v>19115.68</v>
      </c>
    </row>
    <row r="642" spans="1:12" x14ac:dyDescent="0.3">
      <c r="A642" t="s">
        <v>2016</v>
      </c>
      <c r="B642" t="s">
        <v>477</v>
      </c>
      <c r="C642" t="s">
        <v>2017</v>
      </c>
      <c r="D642" t="s">
        <v>216</v>
      </c>
      <c r="E642" t="s">
        <v>16</v>
      </c>
      <c r="F642" t="s">
        <v>48</v>
      </c>
      <c r="G642" t="s">
        <v>49</v>
      </c>
      <c r="H642">
        <v>4</v>
      </c>
      <c r="I642">
        <v>3780.24</v>
      </c>
      <c r="J642" t="s">
        <v>50</v>
      </c>
      <c r="K642" t="s">
        <v>83</v>
      </c>
      <c r="L642">
        <f t="shared" si="9"/>
        <v>15120.96</v>
      </c>
    </row>
    <row r="643" spans="1:12" x14ac:dyDescent="0.3">
      <c r="A643" t="s">
        <v>2018</v>
      </c>
      <c r="B643" t="s">
        <v>699</v>
      </c>
      <c r="C643" t="s">
        <v>2019</v>
      </c>
      <c r="D643" t="s">
        <v>517</v>
      </c>
      <c r="E643" t="s">
        <v>56</v>
      </c>
      <c r="F643" t="s">
        <v>26</v>
      </c>
      <c r="G643" t="s">
        <v>166</v>
      </c>
      <c r="H643">
        <v>2</v>
      </c>
      <c r="I643">
        <v>93.8</v>
      </c>
      <c r="J643" t="s">
        <v>42</v>
      </c>
      <c r="K643" t="s">
        <v>83</v>
      </c>
      <c r="L643">
        <f t="shared" ref="L643:L706" si="10">H643*I643</f>
        <v>187.6</v>
      </c>
    </row>
    <row r="644" spans="1:12" x14ac:dyDescent="0.3">
      <c r="A644" t="s">
        <v>2020</v>
      </c>
      <c r="B644" t="s">
        <v>107</v>
      </c>
      <c r="C644" t="s">
        <v>1697</v>
      </c>
      <c r="D644" t="s">
        <v>2021</v>
      </c>
      <c r="E644" t="s">
        <v>62</v>
      </c>
      <c r="F644" t="s">
        <v>17</v>
      </c>
      <c r="G644" t="s">
        <v>68</v>
      </c>
      <c r="H644">
        <v>8</v>
      </c>
      <c r="I644">
        <v>3493.53</v>
      </c>
      <c r="J644" t="s">
        <v>19</v>
      </c>
      <c r="K644" t="s">
        <v>83</v>
      </c>
      <c r="L644">
        <f t="shared" si="10"/>
        <v>27948.240000000002</v>
      </c>
    </row>
    <row r="645" spans="1:12" x14ac:dyDescent="0.3">
      <c r="A645" t="s">
        <v>2022</v>
      </c>
      <c r="B645" t="s">
        <v>2023</v>
      </c>
      <c r="C645" t="s">
        <v>2024</v>
      </c>
      <c r="D645" t="s">
        <v>345</v>
      </c>
      <c r="E645" t="s">
        <v>95</v>
      </c>
      <c r="F645" t="s">
        <v>26</v>
      </c>
      <c r="G645" t="s">
        <v>115</v>
      </c>
      <c r="H645">
        <v>1</v>
      </c>
      <c r="I645">
        <v>99.65</v>
      </c>
      <c r="J645" t="s">
        <v>19</v>
      </c>
      <c r="K645" t="s">
        <v>83</v>
      </c>
      <c r="L645">
        <f t="shared" si="10"/>
        <v>99.65</v>
      </c>
    </row>
    <row r="646" spans="1:12" x14ac:dyDescent="0.3">
      <c r="A646" t="s">
        <v>2025</v>
      </c>
      <c r="B646" t="s">
        <v>2026</v>
      </c>
      <c r="C646" t="s">
        <v>206</v>
      </c>
      <c r="D646" t="s">
        <v>2027</v>
      </c>
      <c r="E646" t="s">
        <v>34</v>
      </c>
      <c r="F646" t="s">
        <v>48</v>
      </c>
      <c r="G646" t="s">
        <v>57</v>
      </c>
      <c r="H646">
        <v>10</v>
      </c>
      <c r="I646">
        <v>1802.73</v>
      </c>
      <c r="J646" t="s">
        <v>50</v>
      </c>
      <c r="K646" t="s">
        <v>36</v>
      </c>
      <c r="L646">
        <f t="shared" si="10"/>
        <v>18027.3</v>
      </c>
    </row>
    <row r="647" spans="1:12" x14ac:dyDescent="0.3">
      <c r="A647" t="s">
        <v>2028</v>
      </c>
      <c r="B647" t="s">
        <v>756</v>
      </c>
      <c r="C647" t="s">
        <v>2029</v>
      </c>
      <c r="D647" t="s">
        <v>2030</v>
      </c>
      <c r="E647" t="s">
        <v>128</v>
      </c>
      <c r="F647" t="s">
        <v>48</v>
      </c>
      <c r="G647" t="s">
        <v>49</v>
      </c>
      <c r="H647">
        <v>1</v>
      </c>
      <c r="I647">
        <v>1439.52</v>
      </c>
      <c r="J647" t="s">
        <v>50</v>
      </c>
      <c r="K647" t="s">
        <v>83</v>
      </c>
      <c r="L647">
        <f t="shared" si="10"/>
        <v>1439.52</v>
      </c>
    </row>
    <row r="648" spans="1:12" x14ac:dyDescent="0.3">
      <c r="A648" t="s">
        <v>2031</v>
      </c>
      <c r="B648" t="s">
        <v>859</v>
      </c>
      <c r="C648" t="s">
        <v>321</v>
      </c>
      <c r="D648" t="s">
        <v>929</v>
      </c>
      <c r="E648" t="s">
        <v>25</v>
      </c>
      <c r="F648" t="s">
        <v>48</v>
      </c>
      <c r="G648" t="s">
        <v>49</v>
      </c>
      <c r="H648">
        <v>1</v>
      </c>
      <c r="I648">
        <v>2321.86</v>
      </c>
      <c r="J648" t="s">
        <v>28</v>
      </c>
      <c r="K648" t="s">
        <v>51</v>
      </c>
      <c r="L648">
        <f t="shared" si="10"/>
        <v>2321.86</v>
      </c>
    </row>
    <row r="649" spans="1:12" x14ac:dyDescent="0.3">
      <c r="A649" t="s">
        <v>2032</v>
      </c>
      <c r="B649" t="s">
        <v>946</v>
      </c>
      <c r="C649" t="s">
        <v>2033</v>
      </c>
      <c r="D649" t="s">
        <v>849</v>
      </c>
      <c r="E649" t="s">
        <v>56</v>
      </c>
      <c r="F649" t="s">
        <v>17</v>
      </c>
      <c r="G649" t="s">
        <v>41</v>
      </c>
      <c r="H649">
        <v>7</v>
      </c>
      <c r="I649">
        <v>4593.24</v>
      </c>
      <c r="J649" t="s">
        <v>28</v>
      </c>
      <c r="K649" t="s">
        <v>83</v>
      </c>
      <c r="L649">
        <f t="shared" si="10"/>
        <v>32152.68</v>
      </c>
    </row>
    <row r="650" spans="1:12" x14ac:dyDescent="0.3">
      <c r="A650" t="s">
        <v>2034</v>
      </c>
      <c r="B650" t="s">
        <v>2035</v>
      </c>
      <c r="C650" t="s">
        <v>2036</v>
      </c>
      <c r="D650" t="s">
        <v>1288</v>
      </c>
      <c r="E650" t="s">
        <v>128</v>
      </c>
      <c r="F650" t="s">
        <v>48</v>
      </c>
      <c r="G650" t="s">
        <v>63</v>
      </c>
      <c r="H650">
        <v>2</v>
      </c>
      <c r="I650">
        <v>1161.94</v>
      </c>
      <c r="J650" t="s">
        <v>28</v>
      </c>
      <c r="K650" t="s">
        <v>83</v>
      </c>
      <c r="L650">
        <f t="shared" si="10"/>
        <v>2323.88</v>
      </c>
    </row>
    <row r="651" spans="1:12" x14ac:dyDescent="0.3">
      <c r="A651" t="s">
        <v>2037</v>
      </c>
      <c r="B651" t="s">
        <v>176</v>
      </c>
      <c r="C651" t="s">
        <v>2038</v>
      </c>
      <c r="D651" t="s">
        <v>2039</v>
      </c>
      <c r="E651" t="s">
        <v>128</v>
      </c>
      <c r="F651" t="s">
        <v>26</v>
      </c>
      <c r="G651" t="s">
        <v>208</v>
      </c>
      <c r="H651">
        <v>4</v>
      </c>
      <c r="I651">
        <v>1384.08</v>
      </c>
      <c r="J651" t="s">
        <v>42</v>
      </c>
      <c r="K651" t="s">
        <v>43</v>
      </c>
      <c r="L651">
        <f t="shared" si="10"/>
        <v>5536.32</v>
      </c>
    </row>
    <row r="652" spans="1:12" x14ac:dyDescent="0.3">
      <c r="A652" t="s">
        <v>2040</v>
      </c>
      <c r="B652" t="s">
        <v>756</v>
      </c>
      <c r="C652" t="s">
        <v>2041</v>
      </c>
      <c r="D652" t="s">
        <v>1879</v>
      </c>
      <c r="E652" t="s">
        <v>95</v>
      </c>
      <c r="F652" t="s">
        <v>17</v>
      </c>
      <c r="G652" t="s">
        <v>188</v>
      </c>
      <c r="H652">
        <v>9</v>
      </c>
      <c r="I652">
        <v>1837.24</v>
      </c>
      <c r="J652" t="s">
        <v>50</v>
      </c>
      <c r="K652" t="s">
        <v>36</v>
      </c>
      <c r="L652">
        <f t="shared" si="10"/>
        <v>16535.16</v>
      </c>
    </row>
    <row r="653" spans="1:12" x14ac:dyDescent="0.3">
      <c r="A653" t="s">
        <v>2042</v>
      </c>
      <c r="B653" t="s">
        <v>2043</v>
      </c>
      <c r="C653" t="s">
        <v>2044</v>
      </c>
      <c r="D653" t="s">
        <v>2045</v>
      </c>
      <c r="E653" t="s">
        <v>34</v>
      </c>
      <c r="F653" t="s">
        <v>26</v>
      </c>
      <c r="G653" t="s">
        <v>296</v>
      </c>
      <c r="H653">
        <v>4</v>
      </c>
      <c r="I653">
        <v>402.75</v>
      </c>
      <c r="J653" t="s">
        <v>28</v>
      </c>
      <c r="K653" t="s">
        <v>83</v>
      </c>
      <c r="L653">
        <f t="shared" si="10"/>
        <v>1611</v>
      </c>
    </row>
    <row r="654" spans="1:12" x14ac:dyDescent="0.3">
      <c r="A654" t="s">
        <v>2046</v>
      </c>
      <c r="B654" t="s">
        <v>467</v>
      </c>
      <c r="C654" t="s">
        <v>959</v>
      </c>
      <c r="D654" t="s">
        <v>1979</v>
      </c>
      <c r="E654" t="s">
        <v>16</v>
      </c>
      <c r="F654" t="s">
        <v>77</v>
      </c>
      <c r="G654" t="s">
        <v>265</v>
      </c>
      <c r="H654">
        <v>7</v>
      </c>
      <c r="I654">
        <v>519.07000000000005</v>
      </c>
      <c r="J654" t="s">
        <v>19</v>
      </c>
      <c r="K654" t="s">
        <v>36</v>
      </c>
      <c r="L654">
        <f t="shared" si="10"/>
        <v>3633.4900000000002</v>
      </c>
    </row>
    <row r="655" spans="1:12" x14ac:dyDescent="0.3">
      <c r="A655" t="s">
        <v>2047</v>
      </c>
      <c r="B655" t="s">
        <v>193</v>
      </c>
      <c r="C655" t="s">
        <v>108</v>
      </c>
      <c r="D655" t="s">
        <v>361</v>
      </c>
      <c r="E655" t="s">
        <v>56</v>
      </c>
      <c r="F655" t="s">
        <v>17</v>
      </c>
      <c r="G655" t="s">
        <v>41</v>
      </c>
      <c r="H655">
        <v>5</v>
      </c>
      <c r="I655">
        <v>4590.4399999999996</v>
      </c>
      <c r="J655" t="s">
        <v>42</v>
      </c>
      <c r="K655" t="s">
        <v>51</v>
      </c>
      <c r="L655">
        <f t="shared" si="10"/>
        <v>22952.199999999997</v>
      </c>
    </row>
    <row r="656" spans="1:12" x14ac:dyDescent="0.3">
      <c r="A656" t="s">
        <v>2048</v>
      </c>
      <c r="B656" t="s">
        <v>2049</v>
      </c>
      <c r="C656" t="s">
        <v>2050</v>
      </c>
      <c r="D656" t="s">
        <v>989</v>
      </c>
      <c r="E656" t="s">
        <v>34</v>
      </c>
      <c r="F656" t="s">
        <v>17</v>
      </c>
      <c r="G656" t="s">
        <v>35</v>
      </c>
      <c r="H656">
        <v>2</v>
      </c>
      <c r="I656">
        <v>1623.92</v>
      </c>
      <c r="J656" t="s">
        <v>50</v>
      </c>
      <c r="K656" t="s">
        <v>43</v>
      </c>
      <c r="L656">
        <f t="shared" si="10"/>
        <v>3247.84</v>
      </c>
    </row>
    <row r="657" spans="1:12" x14ac:dyDescent="0.3">
      <c r="A657" t="s">
        <v>2051</v>
      </c>
      <c r="B657" t="s">
        <v>2052</v>
      </c>
      <c r="C657" t="s">
        <v>1296</v>
      </c>
      <c r="D657" t="s">
        <v>2053</v>
      </c>
      <c r="E657" t="s">
        <v>16</v>
      </c>
      <c r="F657" t="s">
        <v>77</v>
      </c>
      <c r="G657" t="s">
        <v>78</v>
      </c>
      <c r="H657">
        <v>8</v>
      </c>
      <c r="I657">
        <v>4866.49</v>
      </c>
      <c r="J657" t="s">
        <v>19</v>
      </c>
      <c r="K657" t="s">
        <v>29</v>
      </c>
      <c r="L657">
        <f t="shared" si="10"/>
        <v>38931.919999999998</v>
      </c>
    </row>
    <row r="658" spans="1:12" x14ac:dyDescent="0.3">
      <c r="A658" t="s">
        <v>2054</v>
      </c>
      <c r="B658" t="s">
        <v>904</v>
      </c>
      <c r="C658" t="s">
        <v>2055</v>
      </c>
      <c r="D658" t="s">
        <v>2056</v>
      </c>
      <c r="E658" t="s">
        <v>56</v>
      </c>
      <c r="F658" t="s">
        <v>26</v>
      </c>
      <c r="G658" t="s">
        <v>27</v>
      </c>
      <c r="H658">
        <v>3</v>
      </c>
      <c r="I658">
        <v>4246.4799999999996</v>
      </c>
      <c r="J658" t="s">
        <v>42</v>
      </c>
      <c r="K658" t="s">
        <v>20</v>
      </c>
      <c r="L658">
        <f t="shared" si="10"/>
        <v>12739.439999999999</v>
      </c>
    </row>
    <row r="659" spans="1:12" x14ac:dyDescent="0.3">
      <c r="A659" t="s">
        <v>2057</v>
      </c>
      <c r="B659" t="s">
        <v>2058</v>
      </c>
      <c r="C659" t="s">
        <v>1668</v>
      </c>
      <c r="D659" t="s">
        <v>788</v>
      </c>
      <c r="E659" t="s">
        <v>104</v>
      </c>
      <c r="F659" t="s">
        <v>17</v>
      </c>
      <c r="G659" t="s">
        <v>18</v>
      </c>
      <c r="H659">
        <v>10</v>
      </c>
      <c r="I659">
        <v>750.94</v>
      </c>
      <c r="J659" t="s">
        <v>50</v>
      </c>
      <c r="K659" t="s">
        <v>20</v>
      </c>
      <c r="L659">
        <f t="shared" si="10"/>
        <v>7509.4000000000005</v>
      </c>
    </row>
    <row r="660" spans="1:12" x14ac:dyDescent="0.3">
      <c r="A660" t="s">
        <v>2059</v>
      </c>
      <c r="B660" t="s">
        <v>1517</v>
      </c>
      <c r="C660" t="s">
        <v>1223</v>
      </c>
      <c r="D660" t="s">
        <v>603</v>
      </c>
      <c r="E660" t="s">
        <v>56</v>
      </c>
      <c r="F660" t="s">
        <v>77</v>
      </c>
      <c r="G660" t="s">
        <v>265</v>
      </c>
      <c r="H660">
        <v>2</v>
      </c>
      <c r="I660">
        <v>4661.74</v>
      </c>
      <c r="J660" t="s">
        <v>28</v>
      </c>
      <c r="K660" t="s">
        <v>83</v>
      </c>
      <c r="L660">
        <f t="shared" si="10"/>
        <v>9323.48</v>
      </c>
    </row>
    <row r="661" spans="1:12" x14ac:dyDescent="0.3">
      <c r="A661" t="s">
        <v>2060</v>
      </c>
      <c r="B661" t="s">
        <v>534</v>
      </c>
      <c r="C661" t="s">
        <v>2061</v>
      </c>
      <c r="D661" t="s">
        <v>33</v>
      </c>
      <c r="E661" t="s">
        <v>95</v>
      </c>
      <c r="F661" t="s">
        <v>17</v>
      </c>
      <c r="G661" t="s">
        <v>18</v>
      </c>
      <c r="H661">
        <v>6</v>
      </c>
      <c r="I661">
        <v>3228.73</v>
      </c>
      <c r="J661" t="s">
        <v>19</v>
      </c>
      <c r="K661" t="s">
        <v>51</v>
      </c>
      <c r="L661">
        <f t="shared" si="10"/>
        <v>19372.38</v>
      </c>
    </row>
    <row r="662" spans="1:12" x14ac:dyDescent="0.3">
      <c r="A662" t="s">
        <v>2062</v>
      </c>
      <c r="B662" t="s">
        <v>1680</v>
      </c>
      <c r="C662" t="s">
        <v>2063</v>
      </c>
      <c r="D662" t="s">
        <v>2064</v>
      </c>
      <c r="E662" t="s">
        <v>62</v>
      </c>
      <c r="F662" t="s">
        <v>48</v>
      </c>
      <c r="G662" t="s">
        <v>49</v>
      </c>
      <c r="H662">
        <v>4</v>
      </c>
      <c r="I662">
        <v>2766.06</v>
      </c>
      <c r="J662" t="s">
        <v>28</v>
      </c>
      <c r="K662" t="s">
        <v>51</v>
      </c>
      <c r="L662">
        <f t="shared" si="10"/>
        <v>11064.24</v>
      </c>
    </row>
    <row r="663" spans="1:12" x14ac:dyDescent="0.3">
      <c r="A663" t="s">
        <v>2065</v>
      </c>
      <c r="B663" t="s">
        <v>2066</v>
      </c>
      <c r="C663" t="s">
        <v>1007</v>
      </c>
      <c r="D663" t="s">
        <v>87</v>
      </c>
      <c r="E663" t="s">
        <v>56</v>
      </c>
      <c r="F663" t="s">
        <v>77</v>
      </c>
      <c r="G663" t="s">
        <v>105</v>
      </c>
      <c r="H663">
        <v>5</v>
      </c>
      <c r="I663">
        <v>3943.61</v>
      </c>
      <c r="J663" t="s">
        <v>28</v>
      </c>
      <c r="K663" t="s">
        <v>51</v>
      </c>
      <c r="L663">
        <f t="shared" si="10"/>
        <v>19718.05</v>
      </c>
    </row>
    <row r="664" spans="1:12" x14ac:dyDescent="0.3">
      <c r="A664" t="s">
        <v>2067</v>
      </c>
      <c r="B664" t="s">
        <v>1388</v>
      </c>
      <c r="C664" t="s">
        <v>2068</v>
      </c>
      <c r="D664" t="s">
        <v>2069</v>
      </c>
      <c r="E664" t="s">
        <v>34</v>
      </c>
      <c r="F664" t="s">
        <v>26</v>
      </c>
      <c r="G664" t="s">
        <v>27</v>
      </c>
      <c r="H664">
        <v>1</v>
      </c>
      <c r="I664">
        <v>3753.16</v>
      </c>
      <c r="J664" t="s">
        <v>19</v>
      </c>
      <c r="K664" t="s">
        <v>29</v>
      </c>
      <c r="L664">
        <f t="shared" si="10"/>
        <v>3753.16</v>
      </c>
    </row>
    <row r="665" spans="1:12" x14ac:dyDescent="0.3">
      <c r="A665" t="s">
        <v>2070</v>
      </c>
      <c r="B665" t="s">
        <v>865</v>
      </c>
      <c r="C665" t="s">
        <v>333</v>
      </c>
      <c r="D665" t="s">
        <v>788</v>
      </c>
      <c r="E665" t="s">
        <v>128</v>
      </c>
      <c r="F665" t="s">
        <v>17</v>
      </c>
      <c r="G665" t="s">
        <v>35</v>
      </c>
      <c r="H665">
        <v>6</v>
      </c>
      <c r="I665">
        <v>881.13</v>
      </c>
      <c r="J665" t="s">
        <v>28</v>
      </c>
      <c r="K665" t="s">
        <v>51</v>
      </c>
      <c r="L665">
        <f t="shared" si="10"/>
        <v>5286.78</v>
      </c>
    </row>
    <row r="666" spans="1:12" x14ac:dyDescent="0.3">
      <c r="A666" t="s">
        <v>2071</v>
      </c>
      <c r="B666" t="s">
        <v>2072</v>
      </c>
      <c r="C666" t="s">
        <v>1142</v>
      </c>
      <c r="D666" t="s">
        <v>2073</v>
      </c>
      <c r="E666" t="s">
        <v>34</v>
      </c>
      <c r="F666" t="s">
        <v>77</v>
      </c>
      <c r="G666" t="s">
        <v>78</v>
      </c>
      <c r="H666">
        <v>10</v>
      </c>
      <c r="I666">
        <v>3083.24</v>
      </c>
      <c r="J666" t="s">
        <v>42</v>
      </c>
      <c r="K666" t="s">
        <v>43</v>
      </c>
      <c r="L666">
        <f t="shared" si="10"/>
        <v>30832.399999999998</v>
      </c>
    </row>
    <row r="667" spans="1:12" x14ac:dyDescent="0.3">
      <c r="A667" t="s">
        <v>2074</v>
      </c>
      <c r="B667" t="s">
        <v>2075</v>
      </c>
      <c r="C667" t="s">
        <v>434</v>
      </c>
      <c r="D667" t="s">
        <v>2076</v>
      </c>
      <c r="E667" t="s">
        <v>104</v>
      </c>
      <c r="F667" t="s">
        <v>77</v>
      </c>
      <c r="G667" t="s">
        <v>78</v>
      </c>
      <c r="H667">
        <v>9</v>
      </c>
      <c r="I667">
        <v>4504.3900000000003</v>
      </c>
      <c r="J667" t="s">
        <v>19</v>
      </c>
      <c r="K667" t="s">
        <v>36</v>
      </c>
      <c r="L667">
        <f t="shared" si="10"/>
        <v>40539.51</v>
      </c>
    </row>
    <row r="668" spans="1:12" x14ac:dyDescent="0.3">
      <c r="A668" t="s">
        <v>2077</v>
      </c>
      <c r="B668" t="s">
        <v>1975</v>
      </c>
      <c r="C668" t="s">
        <v>2078</v>
      </c>
      <c r="D668" t="s">
        <v>1469</v>
      </c>
      <c r="E668" t="s">
        <v>56</v>
      </c>
      <c r="F668" t="s">
        <v>17</v>
      </c>
      <c r="G668" t="s">
        <v>35</v>
      </c>
      <c r="H668">
        <v>1</v>
      </c>
      <c r="I668">
        <v>1621.84</v>
      </c>
      <c r="J668" t="s">
        <v>19</v>
      </c>
      <c r="K668" t="s">
        <v>43</v>
      </c>
      <c r="L668">
        <f t="shared" si="10"/>
        <v>1621.84</v>
      </c>
    </row>
    <row r="669" spans="1:12" x14ac:dyDescent="0.3">
      <c r="A669" t="s">
        <v>2079</v>
      </c>
      <c r="B669" t="s">
        <v>163</v>
      </c>
      <c r="C669" t="s">
        <v>2080</v>
      </c>
      <c r="D669" t="s">
        <v>2081</v>
      </c>
      <c r="E669" t="s">
        <v>56</v>
      </c>
      <c r="F669" t="s">
        <v>48</v>
      </c>
      <c r="G669" t="s">
        <v>63</v>
      </c>
      <c r="H669">
        <v>10</v>
      </c>
      <c r="I669">
        <v>4744.16</v>
      </c>
      <c r="J669" t="s">
        <v>28</v>
      </c>
      <c r="K669" t="s">
        <v>43</v>
      </c>
      <c r="L669">
        <f t="shared" si="10"/>
        <v>47441.599999999999</v>
      </c>
    </row>
    <row r="670" spans="1:12" x14ac:dyDescent="0.3">
      <c r="A670" t="s">
        <v>2082</v>
      </c>
      <c r="B670" t="s">
        <v>1841</v>
      </c>
      <c r="C670" t="s">
        <v>450</v>
      </c>
      <c r="D670" t="s">
        <v>778</v>
      </c>
      <c r="E670" t="s">
        <v>16</v>
      </c>
      <c r="F670" t="s">
        <v>77</v>
      </c>
      <c r="G670" t="s">
        <v>265</v>
      </c>
      <c r="H670">
        <v>5</v>
      </c>
      <c r="I670">
        <v>2481.29</v>
      </c>
      <c r="J670" t="s">
        <v>50</v>
      </c>
      <c r="K670" t="s">
        <v>20</v>
      </c>
      <c r="L670">
        <f t="shared" si="10"/>
        <v>12406.45</v>
      </c>
    </row>
    <row r="671" spans="1:12" x14ac:dyDescent="0.3">
      <c r="A671" t="s">
        <v>2083</v>
      </c>
      <c r="B671" t="s">
        <v>422</v>
      </c>
      <c r="C671" t="s">
        <v>1460</v>
      </c>
      <c r="D671" t="s">
        <v>2084</v>
      </c>
      <c r="E671" t="s">
        <v>128</v>
      </c>
      <c r="F671" t="s">
        <v>48</v>
      </c>
      <c r="G671" t="s">
        <v>110</v>
      </c>
      <c r="H671">
        <v>1</v>
      </c>
      <c r="I671">
        <v>3106.82</v>
      </c>
      <c r="J671" t="s">
        <v>42</v>
      </c>
      <c r="K671" t="s">
        <v>20</v>
      </c>
      <c r="L671">
        <f t="shared" si="10"/>
        <v>3106.82</v>
      </c>
    </row>
    <row r="672" spans="1:12" x14ac:dyDescent="0.3">
      <c r="A672" t="s">
        <v>2085</v>
      </c>
      <c r="B672" t="s">
        <v>1753</v>
      </c>
      <c r="C672" t="s">
        <v>2086</v>
      </c>
      <c r="D672" t="s">
        <v>2087</v>
      </c>
      <c r="E672" t="s">
        <v>62</v>
      </c>
      <c r="F672" t="s">
        <v>17</v>
      </c>
      <c r="G672" t="s">
        <v>35</v>
      </c>
      <c r="H672">
        <v>8</v>
      </c>
      <c r="I672">
        <v>508.65</v>
      </c>
      <c r="J672" t="s">
        <v>50</v>
      </c>
      <c r="K672" t="s">
        <v>29</v>
      </c>
      <c r="L672">
        <f t="shared" si="10"/>
        <v>4069.2</v>
      </c>
    </row>
    <row r="673" spans="1:12" x14ac:dyDescent="0.3">
      <c r="A673" t="s">
        <v>2088</v>
      </c>
      <c r="B673" t="s">
        <v>2089</v>
      </c>
      <c r="C673" t="s">
        <v>565</v>
      </c>
      <c r="D673" t="s">
        <v>2090</v>
      </c>
      <c r="E673" t="s">
        <v>62</v>
      </c>
      <c r="F673" t="s">
        <v>26</v>
      </c>
      <c r="G673" t="s">
        <v>115</v>
      </c>
      <c r="H673">
        <v>2</v>
      </c>
      <c r="I673">
        <v>4483.7700000000004</v>
      </c>
      <c r="J673" t="s">
        <v>50</v>
      </c>
      <c r="K673" t="s">
        <v>51</v>
      </c>
      <c r="L673">
        <f t="shared" si="10"/>
        <v>8967.5400000000009</v>
      </c>
    </row>
    <row r="674" spans="1:12" x14ac:dyDescent="0.3">
      <c r="A674" t="s">
        <v>2091</v>
      </c>
      <c r="B674" t="s">
        <v>626</v>
      </c>
      <c r="C674" t="s">
        <v>2055</v>
      </c>
      <c r="D674" t="s">
        <v>792</v>
      </c>
      <c r="E674" t="s">
        <v>128</v>
      </c>
      <c r="F674" t="s">
        <v>17</v>
      </c>
      <c r="G674" t="s">
        <v>18</v>
      </c>
      <c r="H674">
        <v>6</v>
      </c>
      <c r="I674">
        <v>2215.8000000000002</v>
      </c>
      <c r="J674" t="s">
        <v>42</v>
      </c>
      <c r="K674" t="s">
        <v>83</v>
      </c>
      <c r="L674">
        <f t="shared" si="10"/>
        <v>13294.800000000001</v>
      </c>
    </row>
    <row r="675" spans="1:12" x14ac:dyDescent="0.3">
      <c r="A675" t="s">
        <v>2092</v>
      </c>
      <c r="B675" t="s">
        <v>324</v>
      </c>
      <c r="C675" t="s">
        <v>259</v>
      </c>
      <c r="D675" t="s">
        <v>2093</v>
      </c>
      <c r="E675" t="s">
        <v>95</v>
      </c>
      <c r="F675" t="s">
        <v>17</v>
      </c>
      <c r="G675" t="s">
        <v>18</v>
      </c>
      <c r="H675">
        <v>10</v>
      </c>
      <c r="I675">
        <v>2371.77</v>
      </c>
      <c r="J675" t="s">
        <v>28</v>
      </c>
      <c r="K675" t="s">
        <v>20</v>
      </c>
      <c r="L675">
        <f t="shared" si="10"/>
        <v>23717.7</v>
      </c>
    </row>
    <row r="676" spans="1:12" x14ac:dyDescent="0.3">
      <c r="A676" t="s">
        <v>2094</v>
      </c>
      <c r="B676" t="s">
        <v>347</v>
      </c>
      <c r="C676" t="s">
        <v>2095</v>
      </c>
      <c r="D676" t="s">
        <v>424</v>
      </c>
      <c r="E676" t="s">
        <v>34</v>
      </c>
      <c r="F676" t="s">
        <v>48</v>
      </c>
      <c r="G676" t="s">
        <v>179</v>
      </c>
      <c r="H676">
        <v>10</v>
      </c>
      <c r="I676">
        <v>4886.3900000000003</v>
      </c>
      <c r="J676" t="s">
        <v>28</v>
      </c>
      <c r="K676" t="s">
        <v>43</v>
      </c>
      <c r="L676">
        <f t="shared" si="10"/>
        <v>48863.9</v>
      </c>
    </row>
    <row r="677" spans="1:12" x14ac:dyDescent="0.3">
      <c r="A677" t="s">
        <v>2096</v>
      </c>
      <c r="B677" t="s">
        <v>2097</v>
      </c>
      <c r="C677" t="s">
        <v>673</v>
      </c>
      <c r="D677" t="s">
        <v>1558</v>
      </c>
      <c r="E677" t="s">
        <v>56</v>
      </c>
      <c r="F677" t="s">
        <v>48</v>
      </c>
      <c r="G677" t="s">
        <v>63</v>
      </c>
      <c r="H677">
        <v>4</v>
      </c>
      <c r="I677">
        <v>1694.65</v>
      </c>
      <c r="J677" t="s">
        <v>19</v>
      </c>
      <c r="K677" t="s">
        <v>36</v>
      </c>
      <c r="L677">
        <f t="shared" si="10"/>
        <v>6778.6</v>
      </c>
    </row>
    <row r="678" spans="1:12" x14ac:dyDescent="0.3">
      <c r="A678" t="s">
        <v>2098</v>
      </c>
      <c r="B678" t="s">
        <v>840</v>
      </c>
      <c r="C678" t="s">
        <v>2099</v>
      </c>
      <c r="D678" t="s">
        <v>1292</v>
      </c>
      <c r="E678" t="s">
        <v>95</v>
      </c>
      <c r="F678" t="s">
        <v>26</v>
      </c>
      <c r="G678" t="s">
        <v>115</v>
      </c>
      <c r="H678">
        <v>2</v>
      </c>
      <c r="I678">
        <v>2443.36</v>
      </c>
      <c r="J678" t="s">
        <v>50</v>
      </c>
      <c r="K678" t="s">
        <v>83</v>
      </c>
      <c r="L678">
        <f t="shared" si="10"/>
        <v>4886.72</v>
      </c>
    </row>
    <row r="679" spans="1:12" x14ac:dyDescent="0.3">
      <c r="A679" t="s">
        <v>2100</v>
      </c>
      <c r="B679" t="s">
        <v>2101</v>
      </c>
      <c r="C679" t="s">
        <v>2102</v>
      </c>
      <c r="D679" t="s">
        <v>2103</v>
      </c>
      <c r="E679" t="s">
        <v>128</v>
      </c>
      <c r="F679" t="s">
        <v>26</v>
      </c>
      <c r="G679" t="s">
        <v>208</v>
      </c>
      <c r="H679">
        <v>5</v>
      </c>
      <c r="I679">
        <v>4844.83</v>
      </c>
      <c r="J679" t="s">
        <v>42</v>
      </c>
      <c r="K679" t="s">
        <v>43</v>
      </c>
      <c r="L679">
        <f t="shared" si="10"/>
        <v>24224.15</v>
      </c>
    </row>
    <row r="680" spans="1:12" x14ac:dyDescent="0.3">
      <c r="A680" t="s">
        <v>2104</v>
      </c>
      <c r="B680" t="s">
        <v>80</v>
      </c>
      <c r="C680" t="s">
        <v>398</v>
      </c>
      <c r="D680" t="s">
        <v>863</v>
      </c>
      <c r="E680" t="s">
        <v>104</v>
      </c>
      <c r="F680" t="s">
        <v>77</v>
      </c>
      <c r="G680" t="s">
        <v>265</v>
      </c>
      <c r="H680">
        <v>1</v>
      </c>
      <c r="I680">
        <v>2966.59</v>
      </c>
      <c r="J680" t="s">
        <v>50</v>
      </c>
      <c r="K680" t="s">
        <v>20</v>
      </c>
      <c r="L680">
        <f t="shared" si="10"/>
        <v>2966.59</v>
      </c>
    </row>
    <row r="681" spans="1:12" x14ac:dyDescent="0.3">
      <c r="A681" t="s">
        <v>2105</v>
      </c>
      <c r="B681" t="s">
        <v>1817</v>
      </c>
      <c r="C681" t="s">
        <v>458</v>
      </c>
      <c r="D681" t="s">
        <v>2106</v>
      </c>
      <c r="E681" t="s">
        <v>16</v>
      </c>
      <c r="F681" t="s">
        <v>48</v>
      </c>
      <c r="G681" t="s">
        <v>63</v>
      </c>
      <c r="H681">
        <v>8</v>
      </c>
      <c r="I681">
        <v>4039.44</v>
      </c>
      <c r="J681" t="s">
        <v>19</v>
      </c>
      <c r="K681" t="s">
        <v>83</v>
      </c>
      <c r="L681">
        <f t="shared" si="10"/>
        <v>32315.52</v>
      </c>
    </row>
    <row r="682" spans="1:12" x14ac:dyDescent="0.3">
      <c r="A682" t="s">
        <v>2107</v>
      </c>
      <c r="B682" t="s">
        <v>1541</v>
      </c>
      <c r="C682" t="s">
        <v>2108</v>
      </c>
      <c r="D682" t="s">
        <v>132</v>
      </c>
      <c r="E682" t="s">
        <v>62</v>
      </c>
      <c r="F682" t="s">
        <v>26</v>
      </c>
      <c r="G682" t="s">
        <v>296</v>
      </c>
      <c r="H682">
        <v>7</v>
      </c>
      <c r="I682">
        <v>92.56</v>
      </c>
      <c r="J682" t="s">
        <v>50</v>
      </c>
      <c r="K682" t="s">
        <v>51</v>
      </c>
      <c r="L682">
        <f t="shared" si="10"/>
        <v>647.92000000000007</v>
      </c>
    </row>
    <row r="683" spans="1:12" x14ac:dyDescent="0.3">
      <c r="A683" t="s">
        <v>2109</v>
      </c>
      <c r="B683" t="s">
        <v>1517</v>
      </c>
      <c r="C683" t="s">
        <v>1253</v>
      </c>
      <c r="D683" t="s">
        <v>2110</v>
      </c>
      <c r="E683" t="s">
        <v>95</v>
      </c>
      <c r="F683" t="s">
        <v>48</v>
      </c>
      <c r="G683" t="s">
        <v>63</v>
      </c>
      <c r="H683">
        <v>6</v>
      </c>
      <c r="I683">
        <v>2107.4899999999998</v>
      </c>
      <c r="J683" t="s">
        <v>28</v>
      </c>
      <c r="K683" t="s">
        <v>83</v>
      </c>
      <c r="L683">
        <f t="shared" si="10"/>
        <v>12644.939999999999</v>
      </c>
    </row>
    <row r="684" spans="1:12" x14ac:dyDescent="0.3">
      <c r="A684" t="s">
        <v>2111</v>
      </c>
      <c r="B684" t="s">
        <v>2112</v>
      </c>
      <c r="C684" t="s">
        <v>2113</v>
      </c>
      <c r="D684" t="s">
        <v>718</v>
      </c>
      <c r="E684" t="s">
        <v>16</v>
      </c>
      <c r="F684" t="s">
        <v>77</v>
      </c>
      <c r="G684" t="s">
        <v>105</v>
      </c>
      <c r="H684">
        <v>1</v>
      </c>
      <c r="I684">
        <v>2017.17</v>
      </c>
      <c r="J684" t="s">
        <v>50</v>
      </c>
      <c r="K684" t="s">
        <v>43</v>
      </c>
      <c r="L684">
        <f t="shared" si="10"/>
        <v>2017.17</v>
      </c>
    </row>
    <row r="685" spans="1:12" x14ac:dyDescent="0.3">
      <c r="A685" t="s">
        <v>2114</v>
      </c>
      <c r="B685" t="s">
        <v>2115</v>
      </c>
      <c r="C685" t="s">
        <v>572</v>
      </c>
      <c r="D685" t="s">
        <v>2116</v>
      </c>
      <c r="E685" t="s">
        <v>16</v>
      </c>
      <c r="F685" t="s">
        <v>48</v>
      </c>
      <c r="G685" t="s">
        <v>57</v>
      </c>
      <c r="H685">
        <v>9</v>
      </c>
      <c r="I685">
        <v>2142</v>
      </c>
      <c r="J685" t="s">
        <v>42</v>
      </c>
      <c r="K685" t="s">
        <v>29</v>
      </c>
      <c r="L685">
        <f t="shared" si="10"/>
        <v>19278</v>
      </c>
    </row>
    <row r="686" spans="1:12" x14ac:dyDescent="0.3">
      <c r="A686" t="s">
        <v>2117</v>
      </c>
      <c r="B686" t="s">
        <v>742</v>
      </c>
      <c r="C686" t="s">
        <v>2118</v>
      </c>
      <c r="D686" t="s">
        <v>2119</v>
      </c>
      <c r="E686" t="s">
        <v>128</v>
      </c>
      <c r="F686" t="s">
        <v>26</v>
      </c>
      <c r="G686" t="s">
        <v>27</v>
      </c>
      <c r="H686">
        <v>10</v>
      </c>
      <c r="I686">
        <v>3901.42</v>
      </c>
      <c r="J686" t="s">
        <v>42</v>
      </c>
      <c r="K686" t="s">
        <v>20</v>
      </c>
      <c r="L686">
        <f t="shared" si="10"/>
        <v>39014.199999999997</v>
      </c>
    </row>
    <row r="687" spans="1:12" x14ac:dyDescent="0.3">
      <c r="A687" t="s">
        <v>2120</v>
      </c>
      <c r="B687" t="s">
        <v>2121</v>
      </c>
      <c r="C687" t="s">
        <v>2122</v>
      </c>
      <c r="D687" t="s">
        <v>1595</v>
      </c>
      <c r="E687" t="s">
        <v>56</v>
      </c>
      <c r="F687" t="s">
        <v>17</v>
      </c>
      <c r="G687" t="s">
        <v>68</v>
      </c>
      <c r="H687">
        <v>2</v>
      </c>
      <c r="I687">
        <v>3617.24</v>
      </c>
      <c r="J687" t="s">
        <v>19</v>
      </c>
      <c r="K687" t="s">
        <v>43</v>
      </c>
      <c r="L687">
        <f t="shared" si="10"/>
        <v>7234.48</v>
      </c>
    </row>
    <row r="688" spans="1:12" x14ac:dyDescent="0.3">
      <c r="A688" t="s">
        <v>2123</v>
      </c>
      <c r="B688" t="s">
        <v>449</v>
      </c>
      <c r="C688" t="s">
        <v>2124</v>
      </c>
      <c r="D688" t="s">
        <v>2125</v>
      </c>
      <c r="E688" t="s">
        <v>16</v>
      </c>
      <c r="F688" t="s">
        <v>17</v>
      </c>
      <c r="G688" t="s">
        <v>35</v>
      </c>
      <c r="H688">
        <v>1</v>
      </c>
      <c r="I688">
        <v>2826.56</v>
      </c>
      <c r="J688" t="s">
        <v>42</v>
      </c>
      <c r="K688" t="s">
        <v>20</v>
      </c>
      <c r="L688">
        <f t="shared" si="10"/>
        <v>2826.56</v>
      </c>
    </row>
    <row r="689" spans="1:12" x14ac:dyDescent="0.3">
      <c r="A689" t="s">
        <v>2126</v>
      </c>
      <c r="B689" t="s">
        <v>2127</v>
      </c>
      <c r="C689" t="s">
        <v>1641</v>
      </c>
      <c r="D689" t="s">
        <v>1050</v>
      </c>
      <c r="E689" t="s">
        <v>16</v>
      </c>
      <c r="F689" t="s">
        <v>26</v>
      </c>
      <c r="G689" t="s">
        <v>166</v>
      </c>
      <c r="H689">
        <v>7</v>
      </c>
      <c r="I689">
        <v>315.27</v>
      </c>
      <c r="J689" t="s">
        <v>42</v>
      </c>
      <c r="K689" t="s">
        <v>43</v>
      </c>
      <c r="L689">
        <f t="shared" si="10"/>
        <v>2206.89</v>
      </c>
    </row>
    <row r="690" spans="1:12" x14ac:dyDescent="0.3">
      <c r="A690" t="s">
        <v>2128</v>
      </c>
      <c r="B690" t="s">
        <v>22</v>
      </c>
      <c r="C690" t="s">
        <v>1369</v>
      </c>
      <c r="D690" t="s">
        <v>2129</v>
      </c>
      <c r="E690" t="s">
        <v>25</v>
      </c>
      <c r="F690" t="s">
        <v>48</v>
      </c>
      <c r="G690" t="s">
        <v>57</v>
      </c>
      <c r="H690">
        <v>4</v>
      </c>
      <c r="I690">
        <v>83.39</v>
      </c>
      <c r="J690" t="s">
        <v>50</v>
      </c>
      <c r="K690" t="s">
        <v>20</v>
      </c>
      <c r="L690">
        <f t="shared" si="10"/>
        <v>333.56</v>
      </c>
    </row>
    <row r="691" spans="1:12" x14ac:dyDescent="0.3">
      <c r="A691" t="s">
        <v>2130</v>
      </c>
      <c r="B691" t="s">
        <v>1110</v>
      </c>
      <c r="C691" t="s">
        <v>2131</v>
      </c>
      <c r="D691" t="s">
        <v>1688</v>
      </c>
      <c r="E691" t="s">
        <v>128</v>
      </c>
      <c r="F691" t="s">
        <v>26</v>
      </c>
      <c r="G691" t="s">
        <v>296</v>
      </c>
      <c r="H691">
        <v>9</v>
      </c>
      <c r="I691">
        <v>1043.33</v>
      </c>
      <c r="J691" t="s">
        <v>19</v>
      </c>
      <c r="K691" t="s">
        <v>29</v>
      </c>
      <c r="L691">
        <f t="shared" si="10"/>
        <v>9389.9699999999993</v>
      </c>
    </row>
    <row r="692" spans="1:12" x14ac:dyDescent="0.3">
      <c r="A692" t="s">
        <v>2132</v>
      </c>
      <c r="B692" t="s">
        <v>2049</v>
      </c>
      <c r="C692" t="s">
        <v>280</v>
      </c>
      <c r="D692" t="s">
        <v>2133</v>
      </c>
      <c r="E692" t="s">
        <v>16</v>
      </c>
      <c r="F692" t="s">
        <v>77</v>
      </c>
      <c r="G692" t="s">
        <v>171</v>
      </c>
      <c r="H692">
        <v>4</v>
      </c>
      <c r="I692">
        <v>1464.23</v>
      </c>
      <c r="J692" t="s">
        <v>19</v>
      </c>
      <c r="K692" t="s">
        <v>51</v>
      </c>
      <c r="L692">
        <f t="shared" si="10"/>
        <v>5856.92</v>
      </c>
    </row>
    <row r="693" spans="1:12" x14ac:dyDescent="0.3">
      <c r="A693" t="s">
        <v>2134</v>
      </c>
      <c r="B693" t="s">
        <v>756</v>
      </c>
      <c r="C693" t="s">
        <v>2135</v>
      </c>
      <c r="D693" t="s">
        <v>2136</v>
      </c>
      <c r="E693" t="s">
        <v>25</v>
      </c>
      <c r="F693" t="s">
        <v>26</v>
      </c>
      <c r="G693" t="s">
        <v>296</v>
      </c>
      <c r="H693">
        <v>9</v>
      </c>
      <c r="I693">
        <v>4911.74</v>
      </c>
      <c r="J693" t="s">
        <v>50</v>
      </c>
      <c r="K693" t="s">
        <v>20</v>
      </c>
      <c r="L693">
        <f t="shared" si="10"/>
        <v>44205.659999999996</v>
      </c>
    </row>
    <row r="694" spans="1:12" x14ac:dyDescent="0.3">
      <c r="A694" t="s">
        <v>2137</v>
      </c>
      <c r="B694" t="s">
        <v>267</v>
      </c>
      <c r="C694" t="s">
        <v>1244</v>
      </c>
      <c r="D694" t="s">
        <v>1034</v>
      </c>
      <c r="E694" t="s">
        <v>16</v>
      </c>
      <c r="F694" t="s">
        <v>48</v>
      </c>
      <c r="G694" t="s">
        <v>179</v>
      </c>
      <c r="H694">
        <v>8</v>
      </c>
      <c r="I694">
        <v>1115.46</v>
      </c>
      <c r="J694" t="s">
        <v>42</v>
      </c>
      <c r="K694" t="s">
        <v>51</v>
      </c>
      <c r="L694">
        <f t="shared" si="10"/>
        <v>8923.68</v>
      </c>
    </row>
    <row r="695" spans="1:12" x14ac:dyDescent="0.3">
      <c r="A695" t="s">
        <v>2138</v>
      </c>
      <c r="B695" t="s">
        <v>1587</v>
      </c>
      <c r="C695" t="s">
        <v>288</v>
      </c>
      <c r="D695" t="s">
        <v>1145</v>
      </c>
      <c r="E695" t="s">
        <v>62</v>
      </c>
      <c r="F695" t="s">
        <v>48</v>
      </c>
      <c r="G695" t="s">
        <v>57</v>
      </c>
      <c r="H695">
        <v>2</v>
      </c>
      <c r="I695">
        <v>278.32</v>
      </c>
      <c r="J695" t="s">
        <v>50</v>
      </c>
      <c r="K695" t="s">
        <v>36</v>
      </c>
      <c r="L695">
        <f t="shared" si="10"/>
        <v>556.64</v>
      </c>
    </row>
    <row r="696" spans="1:12" x14ac:dyDescent="0.3">
      <c r="A696" t="s">
        <v>2139</v>
      </c>
      <c r="B696" t="s">
        <v>974</v>
      </c>
      <c r="C696" t="s">
        <v>2140</v>
      </c>
      <c r="D696" t="s">
        <v>2141</v>
      </c>
      <c r="E696" t="s">
        <v>56</v>
      </c>
      <c r="F696" t="s">
        <v>26</v>
      </c>
      <c r="G696" t="s">
        <v>27</v>
      </c>
      <c r="H696">
        <v>9</v>
      </c>
      <c r="I696">
        <v>3636.99</v>
      </c>
      <c r="J696" t="s">
        <v>50</v>
      </c>
      <c r="K696" t="s">
        <v>29</v>
      </c>
      <c r="L696">
        <f t="shared" si="10"/>
        <v>32732.909999999996</v>
      </c>
    </row>
    <row r="697" spans="1:12" x14ac:dyDescent="0.3">
      <c r="A697" t="s">
        <v>2142</v>
      </c>
      <c r="B697" t="s">
        <v>509</v>
      </c>
      <c r="C697" t="s">
        <v>1891</v>
      </c>
      <c r="D697" t="s">
        <v>1651</v>
      </c>
      <c r="E697" t="s">
        <v>104</v>
      </c>
      <c r="F697" t="s">
        <v>17</v>
      </c>
      <c r="G697" t="s">
        <v>41</v>
      </c>
      <c r="H697">
        <v>3</v>
      </c>
      <c r="I697">
        <v>3801.49</v>
      </c>
      <c r="J697" t="s">
        <v>28</v>
      </c>
      <c r="K697" t="s">
        <v>83</v>
      </c>
      <c r="L697">
        <f t="shared" si="10"/>
        <v>11404.47</v>
      </c>
    </row>
    <row r="698" spans="1:12" x14ac:dyDescent="0.3">
      <c r="A698" t="s">
        <v>2143</v>
      </c>
      <c r="B698" t="s">
        <v>2144</v>
      </c>
      <c r="C698" t="s">
        <v>2145</v>
      </c>
      <c r="D698" t="s">
        <v>2146</v>
      </c>
      <c r="E698" t="s">
        <v>25</v>
      </c>
      <c r="F698" t="s">
        <v>77</v>
      </c>
      <c r="G698" t="s">
        <v>123</v>
      </c>
      <c r="H698">
        <v>10</v>
      </c>
      <c r="I698">
        <v>1810.63</v>
      </c>
      <c r="J698" t="s">
        <v>28</v>
      </c>
      <c r="K698" t="s">
        <v>43</v>
      </c>
      <c r="L698">
        <f t="shared" si="10"/>
        <v>18106.300000000003</v>
      </c>
    </row>
    <row r="699" spans="1:12" x14ac:dyDescent="0.3">
      <c r="A699" t="s">
        <v>2147</v>
      </c>
      <c r="B699" t="s">
        <v>1350</v>
      </c>
      <c r="C699" t="s">
        <v>1076</v>
      </c>
      <c r="D699" t="s">
        <v>1453</v>
      </c>
      <c r="E699" t="s">
        <v>34</v>
      </c>
      <c r="F699" t="s">
        <v>48</v>
      </c>
      <c r="G699" t="s">
        <v>49</v>
      </c>
      <c r="H699">
        <v>2</v>
      </c>
      <c r="I699">
        <v>450.82</v>
      </c>
      <c r="J699" t="s">
        <v>42</v>
      </c>
      <c r="K699" t="s">
        <v>36</v>
      </c>
      <c r="L699">
        <f t="shared" si="10"/>
        <v>901.64</v>
      </c>
    </row>
    <row r="700" spans="1:12" x14ac:dyDescent="0.3">
      <c r="A700" t="s">
        <v>2148</v>
      </c>
      <c r="B700" t="s">
        <v>1362</v>
      </c>
      <c r="C700" t="s">
        <v>2149</v>
      </c>
      <c r="D700" t="s">
        <v>1719</v>
      </c>
      <c r="E700" t="s">
        <v>34</v>
      </c>
      <c r="F700" t="s">
        <v>17</v>
      </c>
      <c r="G700" t="s">
        <v>188</v>
      </c>
      <c r="H700">
        <v>5</v>
      </c>
      <c r="I700">
        <v>2436.34</v>
      </c>
      <c r="J700" t="s">
        <v>50</v>
      </c>
      <c r="K700" t="s">
        <v>51</v>
      </c>
      <c r="L700">
        <f t="shared" si="10"/>
        <v>12181.7</v>
      </c>
    </row>
    <row r="701" spans="1:12" x14ac:dyDescent="0.3">
      <c r="A701" t="s">
        <v>2150</v>
      </c>
      <c r="B701" t="s">
        <v>2151</v>
      </c>
      <c r="C701" t="s">
        <v>2152</v>
      </c>
      <c r="D701" t="s">
        <v>2153</v>
      </c>
      <c r="E701" t="s">
        <v>34</v>
      </c>
      <c r="F701" t="s">
        <v>48</v>
      </c>
      <c r="G701" t="s">
        <v>110</v>
      </c>
      <c r="H701">
        <v>3</v>
      </c>
      <c r="I701">
        <v>358.73</v>
      </c>
      <c r="J701" t="s">
        <v>42</v>
      </c>
      <c r="K701" t="s">
        <v>29</v>
      </c>
      <c r="L701">
        <f t="shared" si="10"/>
        <v>1076.19</v>
      </c>
    </row>
    <row r="702" spans="1:12" x14ac:dyDescent="0.3">
      <c r="A702" t="s">
        <v>2154</v>
      </c>
      <c r="B702" t="s">
        <v>2155</v>
      </c>
      <c r="C702" t="s">
        <v>1917</v>
      </c>
      <c r="D702" t="s">
        <v>1371</v>
      </c>
      <c r="E702" t="s">
        <v>95</v>
      </c>
      <c r="F702" t="s">
        <v>26</v>
      </c>
      <c r="G702" t="s">
        <v>115</v>
      </c>
      <c r="H702">
        <v>1</v>
      </c>
      <c r="I702">
        <v>2634.87</v>
      </c>
      <c r="J702" t="s">
        <v>19</v>
      </c>
      <c r="K702" t="s">
        <v>43</v>
      </c>
      <c r="L702">
        <f t="shared" si="10"/>
        <v>2634.87</v>
      </c>
    </row>
    <row r="703" spans="1:12" x14ac:dyDescent="0.3">
      <c r="A703" t="s">
        <v>2156</v>
      </c>
      <c r="B703" t="s">
        <v>579</v>
      </c>
      <c r="C703" t="s">
        <v>292</v>
      </c>
      <c r="D703" t="s">
        <v>447</v>
      </c>
      <c r="E703" t="s">
        <v>62</v>
      </c>
      <c r="F703" t="s">
        <v>48</v>
      </c>
      <c r="G703" t="s">
        <v>63</v>
      </c>
      <c r="H703">
        <v>7</v>
      </c>
      <c r="I703">
        <v>252.82</v>
      </c>
      <c r="J703" t="s">
        <v>28</v>
      </c>
      <c r="K703" t="s">
        <v>29</v>
      </c>
      <c r="L703">
        <f t="shared" si="10"/>
        <v>1769.74</v>
      </c>
    </row>
    <row r="704" spans="1:12" x14ac:dyDescent="0.3">
      <c r="A704" t="s">
        <v>2157</v>
      </c>
      <c r="B704" t="s">
        <v>756</v>
      </c>
      <c r="C704" t="s">
        <v>2158</v>
      </c>
      <c r="D704" t="s">
        <v>2159</v>
      </c>
      <c r="E704" t="s">
        <v>62</v>
      </c>
      <c r="F704" t="s">
        <v>26</v>
      </c>
      <c r="G704" t="s">
        <v>27</v>
      </c>
      <c r="H704">
        <v>7</v>
      </c>
      <c r="I704">
        <v>2502.09</v>
      </c>
      <c r="J704" t="s">
        <v>19</v>
      </c>
      <c r="K704" t="s">
        <v>51</v>
      </c>
      <c r="L704">
        <f t="shared" si="10"/>
        <v>17514.63</v>
      </c>
    </row>
    <row r="705" spans="1:12" x14ac:dyDescent="0.3">
      <c r="A705" t="s">
        <v>2160</v>
      </c>
      <c r="B705" t="s">
        <v>1775</v>
      </c>
      <c r="C705" t="s">
        <v>1132</v>
      </c>
      <c r="D705" t="s">
        <v>103</v>
      </c>
      <c r="E705" t="s">
        <v>56</v>
      </c>
      <c r="F705" t="s">
        <v>48</v>
      </c>
      <c r="G705" t="s">
        <v>49</v>
      </c>
      <c r="H705">
        <v>3</v>
      </c>
      <c r="I705">
        <v>2955.64</v>
      </c>
      <c r="J705" t="s">
        <v>50</v>
      </c>
      <c r="K705" t="s">
        <v>20</v>
      </c>
      <c r="L705">
        <f t="shared" si="10"/>
        <v>8866.92</v>
      </c>
    </row>
    <row r="706" spans="1:12" x14ac:dyDescent="0.3">
      <c r="A706" t="s">
        <v>2161</v>
      </c>
      <c r="B706" t="s">
        <v>914</v>
      </c>
      <c r="C706" t="s">
        <v>866</v>
      </c>
      <c r="D706" t="s">
        <v>2162</v>
      </c>
      <c r="E706" t="s">
        <v>34</v>
      </c>
      <c r="F706" t="s">
        <v>77</v>
      </c>
      <c r="G706" t="s">
        <v>78</v>
      </c>
      <c r="H706">
        <v>5</v>
      </c>
      <c r="I706">
        <v>91.49</v>
      </c>
      <c r="J706" t="s">
        <v>50</v>
      </c>
      <c r="K706" t="s">
        <v>29</v>
      </c>
      <c r="L706">
        <f t="shared" si="10"/>
        <v>457.45</v>
      </c>
    </row>
    <row r="707" spans="1:12" x14ac:dyDescent="0.3">
      <c r="A707" t="s">
        <v>2163</v>
      </c>
      <c r="B707" t="s">
        <v>911</v>
      </c>
      <c r="C707" t="s">
        <v>2164</v>
      </c>
      <c r="D707" t="s">
        <v>2165</v>
      </c>
      <c r="E707" t="s">
        <v>16</v>
      </c>
      <c r="F707" t="s">
        <v>77</v>
      </c>
      <c r="G707" t="s">
        <v>123</v>
      </c>
      <c r="H707">
        <v>4</v>
      </c>
      <c r="I707">
        <v>3019.98</v>
      </c>
      <c r="J707" t="s">
        <v>50</v>
      </c>
      <c r="K707" t="s">
        <v>20</v>
      </c>
      <c r="L707">
        <f t="shared" ref="L707:L770" si="11">H707*I707</f>
        <v>12079.92</v>
      </c>
    </row>
    <row r="708" spans="1:12" x14ac:dyDescent="0.3">
      <c r="A708" t="s">
        <v>2166</v>
      </c>
      <c r="B708" t="s">
        <v>2167</v>
      </c>
      <c r="C708" t="s">
        <v>2168</v>
      </c>
      <c r="D708" t="s">
        <v>285</v>
      </c>
      <c r="E708" t="s">
        <v>62</v>
      </c>
      <c r="F708" t="s">
        <v>48</v>
      </c>
      <c r="G708" t="s">
        <v>110</v>
      </c>
      <c r="H708">
        <v>1</v>
      </c>
      <c r="I708">
        <v>4189.9399999999996</v>
      </c>
      <c r="J708" t="s">
        <v>19</v>
      </c>
      <c r="K708" t="s">
        <v>51</v>
      </c>
      <c r="L708">
        <f t="shared" si="11"/>
        <v>4189.9399999999996</v>
      </c>
    </row>
    <row r="709" spans="1:12" x14ac:dyDescent="0.3">
      <c r="A709" t="s">
        <v>2169</v>
      </c>
      <c r="B709" t="s">
        <v>2049</v>
      </c>
      <c r="C709" t="s">
        <v>2170</v>
      </c>
      <c r="D709" t="s">
        <v>821</v>
      </c>
      <c r="E709" t="s">
        <v>16</v>
      </c>
      <c r="F709" t="s">
        <v>77</v>
      </c>
      <c r="G709" t="s">
        <v>123</v>
      </c>
      <c r="H709">
        <v>7</v>
      </c>
      <c r="I709">
        <v>4673.88</v>
      </c>
      <c r="J709" t="s">
        <v>28</v>
      </c>
      <c r="K709" t="s">
        <v>36</v>
      </c>
      <c r="L709">
        <f t="shared" si="11"/>
        <v>32717.16</v>
      </c>
    </row>
    <row r="710" spans="1:12" x14ac:dyDescent="0.3">
      <c r="A710" t="s">
        <v>2171</v>
      </c>
      <c r="B710" t="s">
        <v>377</v>
      </c>
      <c r="C710" t="s">
        <v>2172</v>
      </c>
      <c r="D710" t="s">
        <v>2173</v>
      </c>
      <c r="E710" t="s">
        <v>104</v>
      </c>
      <c r="F710" t="s">
        <v>26</v>
      </c>
      <c r="G710" t="s">
        <v>208</v>
      </c>
      <c r="H710">
        <v>9</v>
      </c>
      <c r="I710">
        <v>3265.69</v>
      </c>
      <c r="J710" t="s">
        <v>50</v>
      </c>
      <c r="K710" t="s">
        <v>83</v>
      </c>
      <c r="L710">
        <f t="shared" si="11"/>
        <v>29391.21</v>
      </c>
    </row>
    <row r="711" spans="1:12" x14ac:dyDescent="0.3">
      <c r="A711" t="s">
        <v>2174</v>
      </c>
      <c r="B711" t="s">
        <v>324</v>
      </c>
      <c r="C711" t="s">
        <v>121</v>
      </c>
      <c r="D711" t="s">
        <v>2175</v>
      </c>
      <c r="E711" t="s">
        <v>56</v>
      </c>
      <c r="F711" t="s">
        <v>26</v>
      </c>
      <c r="G711" t="s">
        <v>115</v>
      </c>
      <c r="H711">
        <v>5</v>
      </c>
      <c r="I711">
        <v>4882.41</v>
      </c>
      <c r="J711" t="s">
        <v>19</v>
      </c>
      <c r="K711" t="s">
        <v>29</v>
      </c>
      <c r="L711">
        <f t="shared" si="11"/>
        <v>24412.05</v>
      </c>
    </row>
    <row r="712" spans="1:12" x14ac:dyDescent="0.3">
      <c r="A712" t="s">
        <v>2176</v>
      </c>
      <c r="B712" t="s">
        <v>2177</v>
      </c>
      <c r="C712" t="s">
        <v>2178</v>
      </c>
      <c r="D712" t="s">
        <v>1137</v>
      </c>
      <c r="E712" t="s">
        <v>56</v>
      </c>
      <c r="F712" t="s">
        <v>48</v>
      </c>
      <c r="G712" t="s">
        <v>110</v>
      </c>
      <c r="H712">
        <v>10</v>
      </c>
      <c r="I712">
        <v>3010.19</v>
      </c>
      <c r="J712" t="s">
        <v>50</v>
      </c>
      <c r="K712" t="s">
        <v>51</v>
      </c>
      <c r="L712">
        <f t="shared" si="11"/>
        <v>30101.9</v>
      </c>
    </row>
    <row r="713" spans="1:12" x14ac:dyDescent="0.3">
      <c r="A713" t="s">
        <v>2179</v>
      </c>
      <c r="B713" t="s">
        <v>1234</v>
      </c>
      <c r="C713" t="s">
        <v>2180</v>
      </c>
      <c r="D713" t="s">
        <v>2181</v>
      </c>
      <c r="E713" t="s">
        <v>128</v>
      </c>
      <c r="F713" t="s">
        <v>48</v>
      </c>
      <c r="G713" t="s">
        <v>63</v>
      </c>
      <c r="H713">
        <v>2</v>
      </c>
      <c r="I713">
        <v>2842.23</v>
      </c>
      <c r="J713" t="s">
        <v>28</v>
      </c>
      <c r="K713" t="s">
        <v>83</v>
      </c>
      <c r="L713">
        <f t="shared" si="11"/>
        <v>5684.46</v>
      </c>
    </row>
    <row r="714" spans="1:12" x14ac:dyDescent="0.3">
      <c r="A714" t="s">
        <v>2182</v>
      </c>
      <c r="B714" t="s">
        <v>389</v>
      </c>
      <c r="C714" t="s">
        <v>2183</v>
      </c>
      <c r="D714" t="s">
        <v>2184</v>
      </c>
      <c r="E714" t="s">
        <v>16</v>
      </c>
      <c r="F714" t="s">
        <v>17</v>
      </c>
      <c r="G714" t="s">
        <v>41</v>
      </c>
      <c r="H714">
        <v>4</v>
      </c>
      <c r="I714">
        <v>4209.71</v>
      </c>
      <c r="J714" t="s">
        <v>42</v>
      </c>
      <c r="K714" t="s">
        <v>29</v>
      </c>
      <c r="L714">
        <f t="shared" si="11"/>
        <v>16838.84</v>
      </c>
    </row>
    <row r="715" spans="1:12" x14ac:dyDescent="0.3">
      <c r="A715" t="s">
        <v>2185</v>
      </c>
      <c r="B715" t="s">
        <v>1660</v>
      </c>
      <c r="C715" t="s">
        <v>1630</v>
      </c>
      <c r="D715" t="s">
        <v>139</v>
      </c>
      <c r="E715" t="s">
        <v>104</v>
      </c>
      <c r="F715" t="s">
        <v>17</v>
      </c>
      <c r="G715" t="s">
        <v>188</v>
      </c>
      <c r="H715">
        <v>6</v>
      </c>
      <c r="I715">
        <v>4423.3</v>
      </c>
      <c r="J715" t="s">
        <v>28</v>
      </c>
      <c r="K715" t="s">
        <v>83</v>
      </c>
      <c r="L715">
        <f t="shared" si="11"/>
        <v>26539.800000000003</v>
      </c>
    </row>
    <row r="716" spans="1:12" x14ac:dyDescent="0.3">
      <c r="A716" t="s">
        <v>2186</v>
      </c>
      <c r="B716" t="s">
        <v>1070</v>
      </c>
      <c r="C716" t="s">
        <v>2187</v>
      </c>
      <c r="D716" t="s">
        <v>149</v>
      </c>
      <c r="E716" t="s">
        <v>62</v>
      </c>
      <c r="F716" t="s">
        <v>48</v>
      </c>
      <c r="G716" t="s">
        <v>63</v>
      </c>
      <c r="H716">
        <v>1</v>
      </c>
      <c r="I716">
        <v>2504.91</v>
      </c>
      <c r="J716" t="s">
        <v>50</v>
      </c>
      <c r="K716" t="s">
        <v>20</v>
      </c>
      <c r="L716">
        <f t="shared" si="11"/>
        <v>2504.91</v>
      </c>
    </row>
    <row r="717" spans="1:12" x14ac:dyDescent="0.3">
      <c r="A717" t="s">
        <v>2188</v>
      </c>
      <c r="B717" t="s">
        <v>1179</v>
      </c>
      <c r="C717" t="s">
        <v>620</v>
      </c>
      <c r="D717" t="s">
        <v>2189</v>
      </c>
      <c r="E717" t="s">
        <v>95</v>
      </c>
      <c r="F717" t="s">
        <v>77</v>
      </c>
      <c r="G717" t="s">
        <v>265</v>
      </c>
      <c r="H717">
        <v>5</v>
      </c>
      <c r="I717">
        <v>2000.14</v>
      </c>
      <c r="J717" t="s">
        <v>19</v>
      </c>
      <c r="K717" t="s">
        <v>20</v>
      </c>
      <c r="L717">
        <f t="shared" si="11"/>
        <v>10000.700000000001</v>
      </c>
    </row>
    <row r="718" spans="1:12" x14ac:dyDescent="0.3">
      <c r="A718" t="s">
        <v>2190</v>
      </c>
      <c r="B718" t="s">
        <v>1237</v>
      </c>
      <c r="C718" t="s">
        <v>1502</v>
      </c>
      <c r="D718" t="s">
        <v>1809</v>
      </c>
      <c r="E718" t="s">
        <v>95</v>
      </c>
      <c r="F718" t="s">
        <v>26</v>
      </c>
      <c r="G718" t="s">
        <v>166</v>
      </c>
      <c r="H718">
        <v>8</v>
      </c>
      <c r="I718">
        <v>1910.14</v>
      </c>
      <c r="J718" t="s">
        <v>42</v>
      </c>
      <c r="K718" t="s">
        <v>29</v>
      </c>
      <c r="L718">
        <f t="shared" si="11"/>
        <v>15281.12</v>
      </c>
    </row>
    <row r="719" spans="1:12" x14ac:dyDescent="0.3">
      <c r="A719" t="s">
        <v>2191</v>
      </c>
      <c r="B719" t="s">
        <v>117</v>
      </c>
      <c r="C719" t="s">
        <v>769</v>
      </c>
      <c r="D719" t="s">
        <v>2192</v>
      </c>
      <c r="E719" t="s">
        <v>34</v>
      </c>
      <c r="F719" t="s">
        <v>26</v>
      </c>
      <c r="G719" t="s">
        <v>208</v>
      </c>
      <c r="H719">
        <v>9</v>
      </c>
      <c r="I719">
        <v>4745.17</v>
      </c>
      <c r="J719" t="s">
        <v>50</v>
      </c>
      <c r="K719" t="s">
        <v>20</v>
      </c>
      <c r="L719">
        <f t="shared" si="11"/>
        <v>42706.53</v>
      </c>
    </row>
    <row r="720" spans="1:12" x14ac:dyDescent="0.3">
      <c r="A720" t="s">
        <v>2193</v>
      </c>
      <c r="B720" t="s">
        <v>1878</v>
      </c>
      <c r="C720" t="s">
        <v>2194</v>
      </c>
      <c r="D720" t="s">
        <v>2195</v>
      </c>
      <c r="E720" t="s">
        <v>25</v>
      </c>
      <c r="F720" t="s">
        <v>17</v>
      </c>
      <c r="G720" t="s">
        <v>18</v>
      </c>
      <c r="H720">
        <v>10</v>
      </c>
      <c r="I720">
        <v>1810.14</v>
      </c>
      <c r="J720" t="s">
        <v>19</v>
      </c>
      <c r="K720" t="s">
        <v>83</v>
      </c>
      <c r="L720">
        <f t="shared" si="11"/>
        <v>18101.400000000001</v>
      </c>
    </row>
    <row r="721" spans="1:12" x14ac:dyDescent="0.3">
      <c r="A721" t="s">
        <v>2196</v>
      </c>
      <c r="B721" t="s">
        <v>2197</v>
      </c>
      <c r="C721" t="s">
        <v>798</v>
      </c>
      <c r="D721" t="s">
        <v>368</v>
      </c>
      <c r="E721" t="s">
        <v>56</v>
      </c>
      <c r="F721" t="s">
        <v>48</v>
      </c>
      <c r="G721" t="s">
        <v>179</v>
      </c>
      <c r="H721">
        <v>8</v>
      </c>
      <c r="I721">
        <v>1003.76</v>
      </c>
      <c r="J721" t="s">
        <v>42</v>
      </c>
      <c r="K721" t="s">
        <v>43</v>
      </c>
      <c r="L721">
        <f t="shared" si="11"/>
        <v>8030.08</v>
      </c>
    </row>
    <row r="722" spans="1:12" x14ac:dyDescent="0.3">
      <c r="A722" t="s">
        <v>2198</v>
      </c>
      <c r="B722" t="s">
        <v>457</v>
      </c>
      <c r="C722" t="s">
        <v>640</v>
      </c>
      <c r="D722" t="s">
        <v>2199</v>
      </c>
      <c r="E722" t="s">
        <v>62</v>
      </c>
      <c r="F722" t="s">
        <v>17</v>
      </c>
      <c r="G722" t="s">
        <v>18</v>
      </c>
      <c r="H722">
        <v>1</v>
      </c>
      <c r="I722">
        <v>3254.3</v>
      </c>
      <c r="J722" t="s">
        <v>28</v>
      </c>
      <c r="K722" t="s">
        <v>36</v>
      </c>
      <c r="L722">
        <f t="shared" si="11"/>
        <v>3254.3</v>
      </c>
    </row>
    <row r="723" spans="1:12" x14ac:dyDescent="0.3">
      <c r="A723" t="s">
        <v>2200</v>
      </c>
      <c r="B723" t="s">
        <v>393</v>
      </c>
      <c r="C723" t="s">
        <v>1455</v>
      </c>
      <c r="D723" t="s">
        <v>2201</v>
      </c>
      <c r="E723" t="s">
        <v>62</v>
      </c>
      <c r="F723" t="s">
        <v>48</v>
      </c>
      <c r="G723" t="s">
        <v>179</v>
      </c>
      <c r="H723">
        <v>9</v>
      </c>
      <c r="I723">
        <v>1856.78</v>
      </c>
      <c r="J723" t="s">
        <v>42</v>
      </c>
      <c r="K723" t="s">
        <v>29</v>
      </c>
      <c r="L723">
        <f t="shared" si="11"/>
        <v>16711.02</v>
      </c>
    </row>
    <row r="724" spans="1:12" x14ac:dyDescent="0.3">
      <c r="A724" t="s">
        <v>2202</v>
      </c>
      <c r="B724" t="s">
        <v>89</v>
      </c>
      <c r="C724" t="s">
        <v>1708</v>
      </c>
      <c r="D724" t="s">
        <v>2203</v>
      </c>
      <c r="E724" t="s">
        <v>16</v>
      </c>
      <c r="F724" t="s">
        <v>48</v>
      </c>
      <c r="G724" t="s">
        <v>63</v>
      </c>
      <c r="H724">
        <v>10</v>
      </c>
      <c r="I724">
        <v>3585.51</v>
      </c>
      <c r="J724" t="s">
        <v>19</v>
      </c>
      <c r="K724" t="s">
        <v>36</v>
      </c>
      <c r="L724">
        <f t="shared" si="11"/>
        <v>35855.100000000006</v>
      </c>
    </row>
    <row r="725" spans="1:12" x14ac:dyDescent="0.3">
      <c r="A725" t="s">
        <v>2204</v>
      </c>
      <c r="B725" t="s">
        <v>1212</v>
      </c>
      <c r="C725" t="s">
        <v>527</v>
      </c>
      <c r="D725" t="s">
        <v>2205</v>
      </c>
      <c r="E725" t="s">
        <v>104</v>
      </c>
      <c r="F725" t="s">
        <v>48</v>
      </c>
      <c r="G725" t="s">
        <v>110</v>
      </c>
      <c r="H725">
        <v>9</v>
      </c>
      <c r="I725">
        <v>2279.5700000000002</v>
      </c>
      <c r="J725" t="s">
        <v>42</v>
      </c>
      <c r="K725" t="s">
        <v>36</v>
      </c>
      <c r="L725">
        <f t="shared" si="11"/>
        <v>20516.13</v>
      </c>
    </row>
    <row r="726" spans="1:12" x14ac:dyDescent="0.3">
      <c r="A726" t="s">
        <v>2206</v>
      </c>
      <c r="B726" t="s">
        <v>2207</v>
      </c>
      <c r="C726" t="s">
        <v>1764</v>
      </c>
      <c r="D726" t="s">
        <v>2208</v>
      </c>
      <c r="E726" t="s">
        <v>34</v>
      </c>
      <c r="F726" t="s">
        <v>17</v>
      </c>
      <c r="G726" t="s">
        <v>18</v>
      </c>
      <c r="H726">
        <v>1</v>
      </c>
      <c r="I726">
        <v>3102.21</v>
      </c>
      <c r="J726" t="s">
        <v>28</v>
      </c>
      <c r="K726" t="s">
        <v>51</v>
      </c>
      <c r="L726">
        <f t="shared" si="11"/>
        <v>3102.21</v>
      </c>
    </row>
    <row r="727" spans="1:12" x14ac:dyDescent="0.3">
      <c r="A727" t="s">
        <v>2209</v>
      </c>
      <c r="B727" t="s">
        <v>2210</v>
      </c>
      <c r="C727" t="s">
        <v>975</v>
      </c>
      <c r="D727" t="s">
        <v>1245</v>
      </c>
      <c r="E727" t="s">
        <v>95</v>
      </c>
      <c r="F727" t="s">
        <v>48</v>
      </c>
      <c r="G727" t="s">
        <v>49</v>
      </c>
      <c r="H727">
        <v>2</v>
      </c>
      <c r="I727">
        <v>2087.62</v>
      </c>
      <c r="J727" t="s">
        <v>50</v>
      </c>
      <c r="K727" t="s">
        <v>83</v>
      </c>
      <c r="L727">
        <f t="shared" si="11"/>
        <v>4175.24</v>
      </c>
    </row>
    <row r="728" spans="1:12" x14ac:dyDescent="0.3">
      <c r="A728" t="s">
        <v>2211</v>
      </c>
      <c r="B728" t="s">
        <v>2212</v>
      </c>
      <c r="C728" t="s">
        <v>1531</v>
      </c>
      <c r="D728" t="s">
        <v>475</v>
      </c>
      <c r="E728" t="s">
        <v>56</v>
      </c>
      <c r="F728" t="s">
        <v>17</v>
      </c>
      <c r="G728" t="s">
        <v>41</v>
      </c>
      <c r="H728">
        <v>2</v>
      </c>
      <c r="I728">
        <v>1539.74</v>
      </c>
      <c r="J728" t="s">
        <v>28</v>
      </c>
      <c r="K728" t="s">
        <v>43</v>
      </c>
      <c r="L728">
        <f t="shared" si="11"/>
        <v>3079.48</v>
      </c>
    </row>
    <row r="729" spans="1:12" x14ac:dyDescent="0.3">
      <c r="A729" t="s">
        <v>2213</v>
      </c>
      <c r="B729" t="s">
        <v>2207</v>
      </c>
      <c r="C729" t="s">
        <v>360</v>
      </c>
      <c r="D729" t="s">
        <v>2214</v>
      </c>
      <c r="E729" t="s">
        <v>34</v>
      </c>
      <c r="F729" t="s">
        <v>48</v>
      </c>
      <c r="G729" t="s">
        <v>57</v>
      </c>
      <c r="H729">
        <v>4</v>
      </c>
      <c r="I729">
        <v>2781.67</v>
      </c>
      <c r="J729" t="s">
        <v>42</v>
      </c>
      <c r="K729" t="s">
        <v>51</v>
      </c>
      <c r="L729">
        <f t="shared" si="11"/>
        <v>11126.68</v>
      </c>
    </row>
    <row r="730" spans="1:12" x14ac:dyDescent="0.3">
      <c r="A730" t="s">
        <v>2215</v>
      </c>
      <c r="B730" t="s">
        <v>2216</v>
      </c>
      <c r="C730" t="s">
        <v>2217</v>
      </c>
      <c r="D730" t="s">
        <v>2218</v>
      </c>
      <c r="E730" t="s">
        <v>62</v>
      </c>
      <c r="F730" t="s">
        <v>77</v>
      </c>
      <c r="G730" t="s">
        <v>105</v>
      </c>
      <c r="H730">
        <v>2</v>
      </c>
      <c r="I730">
        <v>495.99</v>
      </c>
      <c r="J730" t="s">
        <v>42</v>
      </c>
      <c r="K730" t="s">
        <v>83</v>
      </c>
      <c r="L730">
        <f t="shared" si="11"/>
        <v>991.98</v>
      </c>
    </row>
    <row r="731" spans="1:12" x14ac:dyDescent="0.3">
      <c r="A731" t="s">
        <v>2219</v>
      </c>
      <c r="B731" t="s">
        <v>2220</v>
      </c>
      <c r="C731" t="s">
        <v>704</v>
      </c>
      <c r="D731" t="s">
        <v>1017</v>
      </c>
      <c r="E731" t="s">
        <v>95</v>
      </c>
      <c r="F731" t="s">
        <v>77</v>
      </c>
      <c r="G731" t="s">
        <v>265</v>
      </c>
      <c r="H731">
        <v>6</v>
      </c>
      <c r="I731">
        <v>721.83</v>
      </c>
      <c r="J731" t="s">
        <v>19</v>
      </c>
      <c r="K731" t="s">
        <v>83</v>
      </c>
      <c r="L731">
        <f t="shared" si="11"/>
        <v>4330.9800000000005</v>
      </c>
    </row>
    <row r="732" spans="1:12" x14ac:dyDescent="0.3">
      <c r="A732" t="s">
        <v>2221</v>
      </c>
      <c r="B732" t="s">
        <v>1717</v>
      </c>
      <c r="C732" t="s">
        <v>620</v>
      </c>
      <c r="D732" t="s">
        <v>963</v>
      </c>
      <c r="E732" t="s">
        <v>56</v>
      </c>
      <c r="F732" t="s">
        <v>48</v>
      </c>
      <c r="G732" t="s">
        <v>49</v>
      </c>
      <c r="H732">
        <v>3</v>
      </c>
      <c r="I732">
        <v>1872.05</v>
      </c>
      <c r="J732" t="s">
        <v>42</v>
      </c>
      <c r="K732" t="s">
        <v>36</v>
      </c>
      <c r="L732">
        <f t="shared" si="11"/>
        <v>5616.15</v>
      </c>
    </row>
    <row r="733" spans="1:12" x14ac:dyDescent="0.3">
      <c r="A733" t="s">
        <v>2222</v>
      </c>
      <c r="B733" t="s">
        <v>1097</v>
      </c>
      <c r="C733" t="s">
        <v>2223</v>
      </c>
      <c r="D733" t="s">
        <v>1902</v>
      </c>
      <c r="E733" t="s">
        <v>25</v>
      </c>
      <c r="F733" t="s">
        <v>48</v>
      </c>
      <c r="G733" t="s">
        <v>63</v>
      </c>
      <c r="H733">
        <v>2</v>
      </c>
      <c r="I733">
        <v>3075.67</v>
      </c>
      <c r="J733" t="s">
        <v>19</v>
      </c>
      <c r="K733" t="s">
        <v>36</v>
      </c>
      <c r="L733">
        <f t="shared" si="11"/>
        <v>6151.34</v>
      </c>
    </row>
    <row r="734" spans="1:12" x14ac:dyDescent="0.3">
      <c r="A734" t="s">
        <v>2224</v>
      </c>
      <c r="B734" t="s">
        <v>642</v>
      </c>
      <c r="C734" t="s">
        <v>1090</v>
      </c>
      <c r="D734" t="s">
        <v>2225</v>
      </c>
      <c r="E734" t="s">
        <v>16</v>
      </c>
      <c r="F734" t="s">
        <v>48</v>
      </c>
      <c r="G734" t="s">
        <v>179</v>
      </c>
      <c r="H734">
        <v>6</v>
      </c>
      <c r="I734">
        <v>1322.77</v>
      </c>
      <c r="J734" t="s">
        <v>28</v>
      </c>
      <c r="K734" t="s">
        <v>83</v>
      </c>
      <c r="L734">
        <f t="shared" si="11"/>
        <v>7936.62</v>
      </c>
    </row>
    <row r="735" spans="1:12" x14ac:dyDescent="0.3">
      <c r="A735" t="s">
        <v>2226</v>
      </c>
      <c r="B735" t="s">
        <v>176</v>
      </c>
      <c r="C735" t="s">
        <v>2227</v>
      </c>
      <c r="D735" t="s">
        <v>24</v>
      </c>
      <c r="E735" t="s">
        <v>104</v>
      </c>
      <c r="F735" t="s">
        <v>48</v>
      </c>
      <c r="G735" t="s">
        <v>57</v>
      </c>
      <c r="H735">
        <v>3</v>
      </c>
      <c r="I735">
        <v>2017.54</v>
      </c>
      <c r="J735" t="s">
        <v>42</v>
      </c>
      <c r="K735" t="s">
        <v>43</v>
      </c>
      <c r="L735">
        <f t="shared" si="11"/>
        <v>6052.62</v>
      </c>
    </row>
    <row r="736" spans="1:12" x14ac:dyDescent="0.3">
      <c r="A736" t="s">
        <v>2228</v>
      </c>
      <c r="B736" t="s">
        <v>381</v>
      </c>
      <c r="C736" t="s">
        <v>2229</v>
      </c>
      <c r="D736" t="s">
        <v>1987</v>
      </c>
      <c r="E736" t="s">
        <v>34</v>
      </c>
      <c r="F736" t="s">
        <v>48</v>
      </c>
      <c r="G736" t="s">
        <v>179</v>
      </c>
      <c r="H736">
        <v>9</v>
      </c>
      <c r="I736">
        <v>1381.8</v>
      </c>
      <c r="J736" t="s">
        <v>19</v>
      </c>
      <c r="K736" t="s">
        <v>36</v>
      </c>
      <c r="L736">
        <f t="shared" si="11"/>
        <v>12436.199999999999</v>
      </c>
    </row>
    <row r="737" spans="1:12" x14ac:dyDescent="0.3">
      <c r="A737" t="s">
        <v>2230</v>
      </c>
      <c r="B737" t="s">
        <v>609</v>
      </c>
      <c r="C737" t="s">
        <v>2231</v>
      </c>
      <c r="D737" t="s">
        <v>1788</v>
      </c>
      <c r="E737" t="s">
        <v>62</v>
      </c>
      <c r="F737" t="s">
        <v>48</v>
      </c>
      <c r="G737" t="s">
        <v>63</v>
      </c>
      <c r="H737">
        <v>8</v>
      </c>
      <c r="I737">
        <v>456.66</v>
      </c>
      <c r="J737" t="s">
        <v>28</v>
      </c>
      <c r="K737" t="s">
        <v>36</v>
      </c>
      <c r="L737">
        <f t="shared" si="11"/>
        <v>3653.28</v>
      </c>
    </row>
    <row r="738" spans="1:12" x14ac:dyDescent="0.3">
      <c r="A738" t="s">
        <v>2232</v>
      </c>
      <c r="B738" t="s">
        <v>1373</v>
      </c>
      <c r="C738" t="s">
        <v>1779</v>
      </c>
      <c r="D738" t="s">
        <v>761</v>
      </c>
      <c r="E738" t="s">
        <v>62</v>
      </c>
      <c r="F738" t="s">
        <v>77</v>
      </c>
      <c r="G738" t="s">
        <v>105</v>
      </c>
      <c r="H738">
        <v>1</v>
      </c>
      <c r="I738">
        <v>3398.38</v>
      </c>
      <c r="J738" t="s">
        <v>19</v>
      </c>
      <c r="K738" t="s">
        <v>51</v>
      </c>
      <c r="L738">
        <f t="shared" si="11"/>
        <v>3398.38</v>
      </c>
    </row>
    <row r="739" spans="1:12" x14ac:dyDescent="0.3">
      <c r="A739" t="s">
        <v>2233</v>
      </c>
      <c r="B739" t="s">
        <v>557</v>
      </c>
      <c r="C739" t="s">
        <v>1087</v>
      </c>
      <c r="D739" t="s">
        <v>2234</v>
      </c>
      <c r="E739" t="s">
        <v>34</v>
      </c>
      <c r="F739" t="s">
        <v>17</v>
      </c>
      <c r="G739" t="s">
        <v>18</v>
      </c>
      <c r="H739">
        <v>6</v>
      </c>
      <c r="I739">
        <v>4801.51</v>
      </c>
      <c r="J739" t="s">
        <v>19</v>
      </c>
      <c r="K739" t="s">
        <v>83</v>
      </c>
      <c r="L739">
        <f t="shared" si="11"/>
        <v>28809.06</v>
      </c>
    </row>
    <row r="740" spans="1:12" x14ac:dyDescent="0.3">
      <c r="A740" t="s">
        <v>2235</v>
      </c>
      <c r="B740" t="s">
        <v>623</v>
      </c>
      <c r="C740" t="s">
        <v>2236</v>
      </c>
      <c r="D740" t="s">
        <v>2237</v>
      </c>
      <c r="E740" t="s">
        <v>128</v>
      </c>
      <c r="F740" t="s">
        <v>48</v>
      </c>
      <c r="G740" t="s">
        <v>63</v>
      </c>
      <c r="H740">
        <v>6</v>
      </c>
      <c r="I740">
        <v>1701.75</v>
      </c>
      <c r="J740" t="s">
        <v>19</v>
      </c>
      <c r="K740" t="s">
        <v>83</v>
      </c>
      <c r="L740">
        <f t="shared" si="11"/>
        <v>10210.5</v>
      </c>
    </row>
    <row r="741" spans="1:12" x14ac:dyDescent="0.3">
      <c r="A741" t="s">
        <v>2238</v>
      </c>
      <c r="B741" t="s">
        <v>2239</v>
      </c>
      <c r="C741" t="s">
        <v>164</v>
      </c>
      <c r="D741" t="s">
        <v>2240</v>
      </c>
      <c r="E741" t="s">
        <v>34</v>
      </c>
      <c r="F741" t="s">
        <v>48</v>
      </c>
      <c r="G741" t="s">
        <v>110</v>
      </c>
      <c r="H741">
        <v>9</v>
      </c>
      <c r="I741">
        <v>3354.17</v>
      </c>
      <c r="J741" t="s">
        <v>19</v>
      </c>
      <c r="K741" t="s">
        <v>20</v>
      </c>
      <c r="L741">
        <f t="shared" si="11"/>
        <v>30187.53</v>
      </c>
    </row>
    <row r="742" spans="1:12" x14ac:dyDescent="0.3">
      <c r="A742" t="s">
        <v>2241</v>
      </c>
      <c r="B742" t="s">
        <v>2212</v>
      </c>
      <c r="C742" t="s">
        <v>2242</v>
      </c>
      <c r="D742" t="s">
        <v>2243</v>
      </c>
      <c r="E742" t="s">
        <v>56</v>
      </c>
      <c r="F742" t="s">
        <v>77</v>
      </c>
      <c r="G742" t="s">
        <v>265</v>
      </c>
      <c r="H742">
        <v>1</v>
      </c>
      <c r="I742">
        <v>600.38</v>
      </c>
      <c r="J742" t="s">
        <v>42</v>
      </c>
      <c r="K742" t="s">
        <v>36</v>
      </c>
      <c r="L742">
        <f t="shared" si="11"/>
        <v>600.38</v>
      </c>
    </row>
    <row r="743" spans="1:12" x14ac:dyDescent="0.3">
      <c r="A743" t="s">
        <v>2244</v>
      </c>
      <c r="B743" t="s">
        <v>370</v>
      </c>
      <c r="C743" t="s">
        <v>2245</v>
      </c>
      <c r="D743" t="s">
        <v>2246</v>
      </c>
      <c r="E743" t="s">
        <v>56</v>
      </c>
      <c r="F743" t="s">
        <v>48</v>
      </c>
      <c r="G743" t="s">
        <v>63</v>
      </c>
      <c r="H743">
        <v>7</v>
      </c>
      <c r="I743">
        <v>4800.29</v>
      </c>
      <c r="J743" t="s">
        <v>28</v>
      </c>
      <c r="K743" t="s">
        <v>51</v>
      </c>
      <c r="L743">
        <f t="shared" si="11"/>
        <v>33602.03</v>
      </c>
    </row>
    <row r="744" spans="1:12" x14ac:dyDescent="0.3">
      <c r="A744" t="s">
        <v>2247</v>
      </c>
      <c r="B744" t="s">
        <v>1153</v>
      </c>
      <c r="C744" t="s">
        <v>2248</v>
      </c>
      <c r="D744" t="s">
        <v>67</v>
      </c>
      <c r="E744" t="s">
        <v>34</v>
      </c>
      <c r="F744" t="s">
        <v>17</v>
      </c>
      <c r="G744" t="s">
        <v>41</v>
      </c>
      <c r="H744">
        <v>4</v>
      </c>
      <c r="I744">
        <v>3799.57</v>
      </c>
      <c r="J744" t="s">
        <v>19</v>
      </c>
      <c r="K744" t="s">
        <v>83</v>
      </c>
      <c r="L744">
        <f t="shared" si="11"/>
        <v>15198.28</v>
      </c>
    </row>
    <row r="745" spans="1:12" x14ac:dyDescent="0.3">
      <c r="A745" t="s">
        <v>2249</v>
      </c>
      <c r="B745" t="s">
        <v>1388</v>
      </c>
      <c r="C745" t="s">
        <v>1495</v>
      </c>
      <c r="D745" t="s">
        <v>2250</v>
      </c>
      <c r="E745" t="s">
        <v>16</v>
      </c>
      <c r="F745" t="s">
        <v>48</v>
      </c>
      <c r="G745" t="s">
        <v>110</v>
      </c>
      <c r="H745">
        <v>3</v>
      </c>
      <c r="I745">
        <v>1247.8800000000001</v>
      </c>
      <c r="J745" t="s">
        <v>50</v>
      </c>
      <c r="K745" t="s">
        <v>83</v>
      </c>
      <c r="L745">
        <f t="shared" si="11"/>
        <v>3743.6400000000003</v>
      </c>
    </row>
    <row r="746" spans="1:12" x14ac:dyDescent="0.3">
      <c r="A746" t="s">
        <v>2251</v>
      </c>
      <c r="B746" t="s">
        <v>2252</v>
      </c>
      <c r="C746" t="s">
        <v>2253</v>
      </c>
      <c r="D746" t="s">
        <v>1224</v>
      </c>
      <c r="E746" t="s">
        <v>104</v>
      </c>
      <c r="F746" t="s">
        <v>77</v>
      </c>
      <c r="G746" t="s">
        <v>265</v>
      </c>
      <c r="H746">
        <v>3</v>
      </c>
      <c r="I746">
        <v>2260.23</v>
      </c>
      <c r="J746" t="s">
        <v>42</v>
      </c>
      <c r="K746" t="s">
        <v>51</v>
      </c>
      <c r="L746">
        <f t="shared" si="11"/>
        <v>6780.6900000000005</v>
      </c>
    </row>
    <row r="747" spans="1:12" x14ac:dyDescent="0.3">
      <c r="A747" t="s">
        <v>2254</v>
      </c>
      <c r="B747" t="s">
        <v>1981</v>
      </c>
      <c r="C747" t="s">
        <v>427</v>
      </c>
      <c r="D747" t="s">
        <v>1114</v>
      </c>
      <c r="E747" t="s">
        <v>104</v>
      </c>
      <c r="F747" t="s">
        <v>48</v>
      </c>
      <c r="G747" t="s">
        <v>110</v>
      </c>
      <c r="H747">
        <v>2</v>
      </c>
      <c r="I747">
        <v>2507.15</v>
      </c>
      <c r="J747" t="s">
        <v>28</v>
      </c>
      <c r="K747" t="s">
        <v>20</v>
      </c>
      <c r="L747">
        <f t="shared" si="11"/>
        <v>5014.3</v>
      </c>
    </row>
    <row r="748" spans="1:12" x14ac:dyDescent="0.3">
      <c r="A748" t="s">
        <v>2255</v>
      </c>
      <c r="B748" t="s">
        <v>74</v>
      </c>
      <c r="C748" t="s">
        <v>569</v>
      </c>
      <c r="D748" t="s">
        <v>1800</v>
      </c>
      <c r="E748" t="s">
        <v>95</v>
      </c>
      <c r="F748" t="s">
        <v>26</v>
      </c>
      <c r="G748" t="s">
        <v>27</v>
      </c>
      <c r="H748">
        <v>7</v>
      </c>
      <c r="I748">
        <v>4540.74</v>
      </c>
      <c r="J748" t="s">
        <v>50</v>
      </c>
      <c r="K748" t="s">
        <v>36</v>
      </c>
      <c r="L748">
        <f t="shared" si="11"/>
        <v>31785.18</v>
      </c>
    </row>
    <row r="749" spans="1:12" x14ac:dyDescent="0.3">
      <c r="A749" t="s">
        <v>2256</v>
      </c>
      <c r="B749" t="s">
        <v>1058</v>
      </c>
      <c r="C749" t="s">
        <v>1923</v>
      </c>
      <c r="D749" t="s">
        <v>2257</v>
      </c>
      <c r="E749" t="s">
        <v>25</v>
      </c>
      <c r="F749" t="s">
        <v>48</v>
      </c>
      <c r="G749" t="s">
        <v>49</v>
      </c>
      <c r="H749">
        <v>3</v>
      </c>
      <c r="I749">
        <v>1347.5</v>
      </c>
      <c r="J749" t="s">
        <v>28</v>
      </c>
      <c r="K749" t="s">
        <v>29</v>
      </c>
      <c r="L749">
        <f t="shared" si="11"/>
        <v>4042.5</v>
      </c>
    </row>
    <row r="750" spans="1:12" x14ac:dyDescent="0.3">
      <c r="A750" t="s">
        <v>2258</v>
      </c>
      <c r="B750" t="s">
        <v>258</v>
      </c>
      <c r="C750" t="s">
        <v>647</v>
      </c>
      <c r="D750" t="s">
        <v>2259</v>
      </c>
      <c r="E750" t="s">
        <v>16</v>
      </c>
      <c r="F750" t="s">
        <v>77</v>
      </c>
      <c r="G750" t="s">
        <v>265</v>
      </c>
      <c r="H750">
        <v>5</v>
      </c>
      <c r="I750">
        <v>281.98</v>
      </c>
      <c r="J750" t="s">
        <v>42</v>
      </c>
      <c r="K750" t="s">
        <v>36</v>
      </c>
      <c r="L750">
        <f t="shared" si="11"/>
        <v>1409.9</v>
      </c>
    </row>
    <row r="751" spans="1:12" x14ac:dyDescent="0.3">
      <c r="A751" t="s">
        <v>2260</v>
      </c>
      <c r="B751" t="s">
        <v>2261</v>
      </c>
      <c r="C751" t="s">
        <v>506</v>
      </c>
      <c r="D751" t="s">
        <v>2262</v>
      </c>
      <c r="E751" t="s">
        <v>34</v>
      </c>
      <c r="F751" t="s">
        <v>77</v>
      </c>
      <c r="G751" t="s">
        <v>265</v>
      </c>
      <c r="H751">
        <v>8</v>
      </c>
      <c r="I751">
        <v>4714.3500000000004</v>
      </c>
      <c r="J751" t="s">
        <v>28</v>
      </c>
      <c r="K751" t="s">
        <v>20</v>
      </c>
      <c r="L751">
        <f t="shared" si="11"/>
        <v>37714.800000000003</v>
      </c>
    </row>
    <row r="752" spans="1:12" x14ac:dyDescent="0.3">
      <c r="A752" t="s">
        <v>2263</v>
      </c>
      <c r="B752" t="s">
        <v>840</v>
      </c>
      <c r="C752" t="s">
        <v>2264</v>
      </c>
      <c r="D752" t="s">
        <v>503</v>
      </c>
      <c r="E752" t="s">
        <v>95</v>
      </c>
      <c r="F752" t="s">
        <v>26</v>
      </c>
      <c r="G752" t="s">
        <v>296</v>
      </c>
      <c r="H752">
        <v>8</v>
      </c>
      <c r="I752">
        <v>4422.17</v>
      </c>
      <c r="J752" t="s">
        <v>50</v>
      </c>
      <c r="K752" t="s">
        <v>51</v>
      </c>
      <c r="L752">
        <f t="shared" si="11"/>
        <v>35377.360000000001</v>
      </c>
    </row>
    <row r="753" spans="1:12" x14ac:dyDescent="0.3">
      <c r="A753" t="s">
        <v>2265</v>
      </c>
      <c r="B753" t="s">
        <v>1626</v>
      </c>
      <c r="C753" t="s">
        <v>1009</v>
      </c>
      <c r="D753" t="s">
        <v>1493</v>
      </c>
      <c r="E753" t="s">
        <v>128</v>
      </c>
      <c r="F753" t="s">
        <v>48</v>
      </c>
      <c r="G753" t="s">
        <v>49</v>
      </c>
      <c r="H753">
        <v>5</v>
      </c>
      <c r="I753">
        <v>2863.94</v>
      </c>
      <c r="J753" t="s">
        <v>19</v>
      </c>
      <c r="K753" t="s">
        <v>29</v>
      </c>
      <c r="L753">
        <f t="shared" si="11"/>
        <v>14319.7</v>
      </c>
    </row>
    <row r="754" spans="1:12" x14ac:dyDescent="0.3">
      <c r="A754" t="s">
        <v>2266</v>
      </c>
      <c r="B754" t="s">
        <v>2207</v>
      </c>
      <c r="C754" t="s">
        <v>2267</v>
      </c>
      <c r="D754" t="s">
        <v>748</v>
      </c>
      <c r="E754" t="s">
        <v>104</v>
      </c>
      <c r="F754" t="s">
        <v>17</v>
      </c>
      <c r="G754" t="s">
        <v>68</v>
      </c>
      <c r="H754">
        <v>9</v>
      </c>
      <c r="I754">
        <v>2952.11</v>
      </c>
      <c r="J754" t="s">
        <v>19</v>
      </c>
      <c r="K754" t="s">
        <v>51</v>
      </c>
      <c r="L754">
        <f t="shared" si="11"/>
        <v>26568.99</v>
      </c>
    </row>
    <row r="755" spans="1:12" x14ac:dyDescent="0.3">
      <c r="A755" t="s">
        <v>2268</v>
      </c>
      <c r="B755" t="s">
        <v>538</v>
      </c>
      <c r="C755" t="s">
        <v>1721</v>
      </c>
      <c r="D755" t="s">
        <v>492</v>
      </c>
      <c r="E755" t="s">
        <v>16</v>
      </c>
      <c r="F755" t="s">
        <v>48</v>
      </c>
      <c r="G755" t="s">
        <v>179</v>
      </c>
      <c r="H755">
        <v>10</v>
      </c>
      <c r="I755">
        <v>691.21</v>
      </c>
      <c r="J755" t="s">
        <v>50</v>
      </c>
      <c r="K755" t="s">
        <v>36</v>
      </c>
      <c r="L755">
        <f t="shared" si="11"/>
        <v>6912.1</v>
      </c>
    </row>
    <row r="756" spans="1:12" x14ac:dyDescent="0.3">
      <c r="A756" t="s">
        <v>2269</v>
      </c>
      <c r="B756" t="s">
        <v>601</v>
      </c>
      <c r="C756" t="s">
        <v>2270</v>
      </c>
      <c r="D756" t="s">
        <v>2271</v>
      </c>
      <c r="E756" t="s">
        <v>34</v>
      </c>
      <c r="F756" t="s">
        <v>17</v>
      </c>
      <c r="G756" t="s">
        <v>35</v>
      </c>
      <c r="H756">
        <v>7</v>
      </c>
      <c r="I756">
        <v>219.08</v>
      </c>
      <c r="J756" t="s">
        <v>19</v>
      </c>
      <c r="K756" t="s">
        <v>51</v>
      </c>
      <c r="L756">
        <f t="shared" si="11"/>
        <v>1533.5600000000002</v>
      </c>
    </row>
    <row r="757" spans="1:12" x14ac:dyDescent="0.3">
      <c r="A757" t="s">
        <v>2272</v>
      </c>
      <c r="B757" t="s">
        <v>2273</v>
      </c>
      <c r="C757" t="s">
        <v>1327</v>
      </c>
      <c r="D757" t="s">
        <v>2274</v>
      </c>
      <c r="E757" t="s">
        <v>104</v>
      </c>
      <c r="F757" t="s">
        <v>77</v>
      </c>
      <c r="G757" t="s">
        <v>171</v>
      </c>
      <c r="H757">
        <v>3</v>
      </c>
      <c r="I757">
        <v>3102.53</v>
      </c>
      <c r="J757" t="s">
        <v>42</v>
      </c>
      <c r="K757" t="s">
        <v>29</v>
      </c>
      <c r="L757">
        <f t="shared" si="11"/>
        <v>9307.59</v>
      </c>
    </row>
    <row r="758" spans="1:12" x14ac:dyDescent="0.3">
      <c r="A758" t="s">
        <v>2275</v>
      </c>
      <c r="B758" t="s">
        <v>2276</v>
      </c>
      <c r="C758" t="s">
        <v>2277</v>
      </c>
      <c r="D758" t="s">
        <v>2278</v>
      </c>
      <c r="E758" t="s">
        <v>104</v>
      </c>
      <c r="F758" t="s">
        <v>17</v>
      </c>
      <c r="G758" t="s">
        <v>18</v>
      </c>
      <c r="H758">
        <v>9</v>
      </c>
      <c r="I758">
        <v>3217.61</v>
      </c>
      <c r="J758" t="s">
        <v>28</v>
      </c>
      <c r="K758" t="s">
        <v>20</v>
      </c>
      <c r="L758">
        <f t="shared" si="11"/>
        <v>28958.49</v>
      </c>
    </row>
    <row r="759" spans="1:12" x14ac:dyDescent="0.3">
      <c r="A759" t="s">
        <v>2279</v>
      </c>
      <c r="B759" t="s">
        <v>898</v>
      </c>
      <c r="C759" t="s">
        <v>39</v>
      </c>
      <c r="D759" t="s">
        <v>2250</v>
      </c>
      <c r="E759" t="s">
        <v>34</v>
      </c>
      <c r="F759" t="s">
        <v>77</v>
      </c>
      <c r="G759" t="s">
        <v>123</v>
      </c>
      <c r="H759">
        <v>1</v>
      </c>
      <c r="I759">
        <v>534.67999999999995</v>
      </c>
      <c r="J759" t="s">
        <v>19</v>
      </c>
      <c r="K759" t="s">
        <v>36</v>
      </c>
      <c r="L759">
        <f t="shared" si="11"/>
        <v>534.67999999999995</v>
      </c>
    </row>
    <row r="760" spans="1:12" x14ac:dyDescent="0.3">
      <c r="A760" t="s">
        <v>2280</v>
      </c>
      <c r="B760" t="s">
        <v>320</v>
      </c>
      <c r="C760" t="s">
        <v>2236</v>
      </c>
      <c r="D760" t="s">
        <v>1942</v>
      </c>
      <c r="E760" t="s">
        <v>34</v>
      </c>
      <c r="F760" t="s">
        <v>17</v>
      </c>
      <c r="G760" t="s">
        <v>188</v>
      </c>
      <c r="H760">
        <v>6</v>
      </c>
      <c r="I760">
        <v>1498.96</v>
      </c>
      <c r="J760" t="s">
        <v>19</v>
      </c>
      <c r="K760" t="s">
        <v>51</v>
      </c>
      <c r="L760">
        <f t="shared" si="11"/>
        <v>8993.76</v>
      </c>
    </row>
    <row r="761" spans="1:12" x14ac:dyDescent="0.3">
      <c r="A761" t="s">
        <v>2281</v>
      </c>
      <c r="B761" t="s">
        <v>1274</v>
      </c>
      <c r="C761" t="s">
        <v>1427</v>
      </c>
      <c r="D761" t="s">
        <v>2282</v>
      </c>
      <c r="E761" t="s">
        <v>128</v>
      </c>
      <c r="F761" t="s">
        <v>77</v>
      </c>
      <c r="G761" t="s">
        <v>171</v>
      </c>
      <c r="H761">
        <v>10</v>
      </c>
      <c r="I761">
        <v>3323.9</v>
      </c>
      <c r="J761" t="s">
        <v>50</v>
      </c>
      <c r="K761" t="s">
        <v>83</v>
      </c>
      <c r="L761">
        <f t="shared" si="11"/>
        <v>33239</v>
      </c>
    </row>
    <row r="762" spans="1:12" x14ac:dyDescent="0.3">
      <c r="A762" t="s">
        <v>2283</v>
      </c>
      <c r="B762" t="s">
        <v>931</v>
      </c>
      <c r="C762" t="s">
        <v>2284</v>
      </c>
      <c r="D762" t="s">
        <v>2285</v>
      </c>
      <c r="E762" t="s">
        <v>62</v>
      </c>
      <c r="F762" t="s">
        <v>17</v>
      </c>
      <c r="G762" t="s">
        <v>35</v>
      </c>
      <c r="H762">
        <v>6</v>
      </c>
      <c r="I762">
        <v>1198.3800000000001</v>
      </c>
      <c r="J762" t="s">
        <v>50</v>
      </c>
      <c r="K762" t="s">
        <v>51</v>
      </c>
      <c r="L762">
        <f t="shared" si="11"/>
        <v>7190.2800000000007</v>
      </c>
    </row>
    <row r="763" spans="1:12" x14ac:dyDescent="0.3">
      <c r="A763" t="s">
        <v>2286</v>
      </c>
      <c r="B763" t="s">
        <v>168</v>
      </c>
      <c r="C763" t="s">
        <v>363</v>
      </c>
      <c r="D763" t="s">
        <v>2287</v>
      </c>
      <c r="E763" t="s">
        <v>16</v>
      </c>
      <c r="F763" t="s">
        <v>77</v>
      </c>
      <c r="G763" t="s">
        <v>171</v>
      </c>
      <c r="H763">
        <v>4</v>
      </c>
      <c r="I763">
        <v>784.72</v>
      </c>
      <c r="J763" t="s">
        <v>19</v>
      </c>
      <c r="K763" t="s">
        <v>51</v>
      </c>
      <c r="L763">
        <f t="shared" si="11"/>
        <v>3138.88</v>
      </c>
    </row>
    <row r="764" spans="1:12" x14ac:dyDescent="0.3">
      <c r="A764" t="s">
        <v>2288</v>
      </c>
      <c r="B764" t="s">
        <v>2002</v>
      </c>
      <c r="C764" t="s">
        <v>1766</v>
      </c>
      <c r="D764" t="s">
        <v>2289</v>
      </c>
      <c r="E764" t="s">
        <v>128</v>
      </c>
      <c r="F764" t="s">
        <v>26</v>
      </c>
      <c r="G764" t="s">
        <v>27</v>
      </c>
      <c r="H764">
        <v>1</v>
      </c>
      <c r="I764">
        <v>806.57</v>
      </c>
      <c r="J764" t="s">
        <v>42</v>
      </c>
      <c r="K764" t="s">
        <v>29</v>
      </c>
      <c r="L764">
        <f t="shared" si="11"/>
        <v>806.57</v>
      </c>
    </row>
    <row r="765" spans="1:12" x14ac:dyDescent="0.3">
      <c r="A765" t="s">
        <v>2290</v>
      </c>
      <c r="B765" t="s">
        <v>1173</v>
      </c>
      <c r="C765" t="s">
        <v>2291</v>
      </c>
      <c r="D765" t="s">
        <v>2292</v>
      </c>
      <c r="E765" t="s">
        <v>56</v>
      </c>
      <c r="F765" t="s">
        <v>48</v>
      </c>
      <c r="G765" t="s">
        <v>57</v>
      </c>
      <c r="H765">
        <v>8</v>
      </c>
      <c r="I765">
        <v>4524.3500000000004</v>
      </c>
      <c r="J765" t="s">
        <v>28</v>
      </c>
      <c r="K765" t="s">
        <v>83</v>
      </c>
      <c r="L765">
        <f t="shared" si="11"/>
        <v>36194.800000000003</v>
      </c>
    </row>
    <row r="766" spans="1:12" x14ac:dyDescent="0.3">
      <c r="A766" t="s">
        <v>2293</v>
      </c>
      <c r="B766" t="s">
        <v>2294</v>
      </c>
      <c r="C766" t="s">
        <v>1016</v>
      </c>
      <c r="D766" t="s">
        <v>998</v>
      </c>
      <c r="E766" t="s">
        <v>62</v>
      </c>
      <c r="F766" t="s">
        <v>26</v>
      </c>
      <c r="G766" t="s">
        <v>166</v>
      </c>
      <c r="H766">
        <v>3</v>
      </c>
      <c r="I766">
        <v>1779.25</v>
      </c>
      <c r="J766" t="s">
        <v>28</v>
      </c>
      <c r="K766" t="s">
        <v>20</v>
      </c>
      <c r="L766">
        <f t="shared" si="11"/>
        <v>5337.75</v>
      </c>
    </row>
    <row r="767" spans="1:12" x14ac:dyDescent="0.3">
      <c r="A767" t="s">
        <v>2295</v>
      </c>
      <c r="B767" t="s">
        <v>2296</v>
      </c>
      <c r="C767" t="s">
        <v>1933</v>
      </c>
      <c r="D767" t="s">
        <v>1400</v>
      </c>
      <c r="E767" t="s">
        <v>95</v>
      </c>
      <c r="F767" t="s">
        <v>17</v>
      </c>
      <c r="G767" t="s">
        <v>35</v>
      </c>
      <c r="H767">
        <v>7</v>
      </c>
      <c r="I767">
        <v>1744.65</v>
      </c>
      <c r="J767" t="s">
        <v>42</v>
      </c>
      <c r="K767" t="s">
        <v>20</v>
      </c>
      <c r="L767">
        <f t="shared" si="11"/>
        <v>12212.550000000001</v>
      </c>
    </row>
    <row r="768" spans="1:12" x14ac:dyDescent="0.3">
      <c r="A768" t="s">
        <v>2297</v>
      </c>
      <c r="B768" t="s">
        <v>2298</v>
      </c>
      <c r="C768" t="s">
        <v>2299</v>
      </c>
      <c r="D768" t="s">
        <v>2205</v>
      </c>
      <c r="E768" t="s">
        <v>128</v>
      </c>
      <c r="F768" t="s">
        <v>48</v>
      </c>
      <c r="G768" t="s">
        <v>110</v>
      </c>
      <c r="H768">
        <v>3</v>
      </c>
      <c r="I768">
        <v>4700.8599999999997</v>
      </c>
      <c r="J768" t="s">
        <v>50</v>
      </c>
      <c r="K768" t="s">
        <v>36</v>
      </c>
      <c r="L768">
        <f t="shared" si="11"/>
        <v>14102.579999999998</v>
      </c>
    </row>
    <row r="769" spans="1:12" x14ac:dyDescent="0.3">
      <c r="A769" t="s">
        <v>2300</v>
      </c>
      <c r="B769" t="s">
        <v>2301</v>
      </c>
      <c r="C769" t="s">
        <v>2302</v>
      </c>
      <c r="D769" t="s">
        <v>2303</v>
      </c>
      <c r="E769" t="s">
        <v>62</v>
      </c>
      <c r="F769" t="s">
        <v>26</v>
      </c>
      <c r="G769" t="s">
        <v>27</v>
      </c>
      <c r="H769">
        <v>5</v>
      </c>
      <c r="I769">
        <v>1661.76</v>
      </c>
      <c r="J769" t="s">
        <v>28</v>
      </c>
      <c r="K769" t="s">
        <v>20</v>
      </c>
      <c r="L769">
        <f t="shared" si="11"/>
        <v>8308.7999999999993</v>
      </c>
    </row>
    <row r="770" spans="1:12" x14ac:dyDescent="0.3">
      <c r="A770" t="s">
        <v>2304</v>
      </c>
      <c r="B770" t="s">
        <v>1617</v>
      </c>
      <c r="C770" t="s">
        <v>2305</v>
      </c>
      <c r="D770" t="s">
        <v>1928</v>
      </c>
      <c r="E770" t="s">
        <v>34</v>
      </c>
      <c r="F770" t="s">
        <v>48</v>
      </c>
      <c r="G770" t="s">
        <v>57</v>
      </c>
      <c r="H770">
        <v>9</v>
      </c>
      <c r="I770">
        <v>1906.86</v>
      </c>
      <c r="J770" t="s">
        <v>50</v>
      </c>
      <c r="K770" t="s">
        <v>20</v>
      </c>
      <c r="L770">
        <f t="shared" si="11"/>
        <v>17161.739999999998</v>
      </c>
    </row>
    <row r="771" spans="1:12" x14ac:dyDescent="0.3">
      <c r="A771" t="s">
        <v>2306</v>
      </c>
      <c r="B771" t="s">
        <v>2097</v>
      </c>
      <c r="C771" t="s">
        <v>1022</v>
      </c>
      <c r="D771" t="s">
        <v>2307</v>
      </c>
      <c r="E771" t="s">
        <v>128</v>
      </c>
      <c r="F771" t="s">
        <v>26</v>
      </c>
      <c r="G771" t="s">
        <v>208</v>
      </c>
      <c r="H771">
        <v>1</v>
      </c>
      <c r="I771">
        <v>986.24</v>
      </c>
      <c r="J771" t="s">
        <v>42</v>
      </c>
      <c r="K771" t="s">
        <v>20</v>
      </c>
      <c r="L771">
        <f t="shared" ref="L771:L834" si="12">H771*I771</f>
        <v>986.24</v>
      </c>
    </row>
    <row r="772" spans="1:12" x14ac:dyDescent="0.3">
      <c r="A772" t="s">
        <v>2308</v>
      </c>
      <c r="B772" t="s">
        <v>1039</v>
      </c>
      <c r="C772" t="s">
        <v>1369</v>
      </c>
      <c r="D772" t="s">
        <v>611</v>
      </c>
      <c r="E772" t="s">
        <v>25</v>
      </c>
      <c r="F772" t="s">
        <v>77</v>
      </c>
      <c r="G772" t="s">
        <v>105</v>
      </c>
      <c r="H772">
        <v>5</v>
      </c>
      <c r="I772">
        <v>4495.92</v>
      </c>
      <c r="J772" t="s">
        <v>28</v>
      </c>
      <c r="K772" t="s">
        <v>36</v>
      </c>
      <c r="L772">
        <f t="shared" si="12"/>
        <v>22479.599999999999</v>
      </c>
    </row>
    <row r="773" spans="1:12" x14ac:dyDescent="0.3">
      <c r="A773" t="s">
        <v>2309</v>
      </c>
      <c r="B773" t="s">
        <v>238</v>
      </c>
      <c r="C773" t="s">
        <v>1937</v>
      </c>
      <c r="D773" t="s">
        <v>2274</v>
      </c>
      <c r="E773" t="s">
        <v>104</v>
      </c>
      <c r="F773" t="s">
        <v>17</v>
      </c>
      <c r="G773" t="s">
        <v>18</v>
      </c>
      <c r="H773">
        <v>1</v>
      </c>
      <c r="I773">
        <v>1905.34</v>
      </c>
      <c r="J773" t="s">
        <v>50</v>
      </c>
      <c r="K773" t="s">
        <v>51</v>
      </c>
      <c r="L773">
        <f t="shared" si="12"/>
        <v>1905.34</v>
      </c>
    </row>
    <row r="774" spans="1:12" x14ac:dyDescent="0.3">
      <c r="A774" t="s">
        <v>2310</v>
      </c>
      <c r="B774" t="s">
        <v>238</v>
      </c>
      <c r="C774" t="s">
        <v>2311</v>
      </c>
      <c r="D774" t="s">
        <v>2312</v>
      </c>
      <c r="E774" t="s">
        <v>25</v>
      </c>
      <c r="F774" t="s">
        <v>17</v>
      </c>
      <c r="G774" t="s">
        <v>68</v>
      </c>
      <c r="H774">
        <v>2</v>
      </c>
      <c r="I774">
        <v>3453.38</v>
      </c>
      <c r="J774" t="s">
        <v>19</v>
      </c>
      <c r="K774" t="s">
        <v>36</v>
      </c>
      <c r="L774">
        <f t="shared" si="12"/>
        <v>6906.76</v>
      </c>
    </row>
    <row r="775" spans="1:12" x14ac:dyDescent="0.3">
      <c r="A775" t="s">
        <v>2313</v>
      </c>
      <c r="B775" t="s">
        <v>1650</v>
      </c>
      <c r="C775" t="s">
        <v>760</v>
      </c>
      <c r="D775" t="s">
        <v>2314</v>
      </c>
      <c r="E775" t="s">
        <v>25</v>
      </c>
      <c r="F775" t="s">
        <v>48</v>
      </c>
      <c r="G775" t="s">
        <v>63</v>
      </c>
      <c r="H775">
        <v>3</v>
      </c>
      <c r="I775">
        <v>3845.89</v>
      </c>
      <c r="J775" t="s">
        <v>50</v>
      </c>
      <c r="K775" t="s">
        <v>36</v>
      </c>
      <c r="L775">
        <f t="shared" si="12"/>
        <v>11537.67</v>
      </c>
    </row>
    <row r="776" spans="1:12" x14ac:dyDescent="0.3">
      <c r="A776" t="s">
        <v>2315</v>
      </c>
      <c r="B776" t="s">
        <v>1860</v>
      </c>
      <c r="C776" t="s">
        <v>2316</v>
      </c>
      <c r="D776" t="s">
        <v>424</v>
      </c>
      <c r="E776" t="s">
        <v>62</v>
      </c>
      <c r="F776" t="s">
        <v>48</v>
      </c>
      <c r="G776" t="s">
        <v>179</v>
      </c>
      <c r="H776">
        <v>10</v>
      </c>
      <c r="I776">
        <v>3516.95</v>
      </c>
      <c r="J776" t="s">
        <v>42</v>
      </c>
      <c r="K776" t="s">
        <v>83</v>
      </c>
      <c r="L776">
        <f t="shared" si="12"/>
        <v>35169.5</v>
      </c>
    </row>
    <row r="777" spans="1:12" x14ac:dyDescent="0.3">
      <c r="A777" t="s">
        <v>2317</v>
      </c>
      <c r="B777" t="s">
        <v>1384</v>
      </c>
      <c r="C777" t="s">
        <v>1891</v>
      </c>
      <c r="D777" t="s">
        <v>875</v>
      </c>
      <c r="E777" t="s">
        <v>95</v>
      </c>
      <c r="F777" t="s">
        <v>26</v>
      </c>
      <c r="G777" t="s">
        <v>166</v>
      </c>
      <c r="H777">
        <v>3</v>
      </c>
      <c r="I777">
        <v>2439.08</v>
      </c>
      <c r="J777" t="s">
        <v>19</v>
      </c>
      <c r="K777" t="s">
        <v>83</v>
      </c>
      <c r="L777">
        <f t="shared" si="12"/>
        <v>7317.24</v>
      </c>
    </row>
    <row r="778" spans="1:12" x14ac:dyDescent="0.3">
      <c r="A778" t="s">
        <v>2318</v>
      </c>
      <c r="B778" t="s">
        <v>1826</v>
      </c>
      <c r="C778" t="s">
        <v>887</v>
      </c>
      <c r="D778" t="s">
        <v>1601</v>
      </c>
      <c r="E778" t="s">
        <v>62</v>
      </c>
      <c r="F778" t="s">
        <v>48</v>
      </c>
      <c r="G778" t="s">
        <v>110</v>
      </c>
      <c r="H778">
        <v>2</v>
      </c>
      <c r="I778">
        <v>1376.17</v>
      </c>
      <c r="J778" t="s">
        <v>19</v>
      </c>
      <c r="K778" t="s">
        <v>43</v>
      </c>
      <c r="L778">
        <f t="shared" si="12"/>
        <v>2752.34</v>
      </c>
    </row>
    <row r="779" spans="1:12" x14ac:dyDescent="0.3">
      <c r="A779" t="s">
        <v>2319</v>
      </c>
      <c r="B779" t="s">
        <v>2320</v>
      </c>
      <c r="C779" t="s">
        <v>2019</v>
      </c>
      <c r="D779" t="s">
        <v>311</v>
      </c>
      <c r="E779" t="s">
        <v>34</v>
      </c>
      <c r="F779" t="s">
        <v>17</v>
      </c>
      <c r="G779" t="s">
        <v>68</v>
      </c>
      <c r="H779">
        <v>10</v>
      </c>
      <c r="I779">
        <v>3260.82</v>
      </c>
      <c r="J779" t="s">
        <v>50</v>
      </c>
      <c r="K779" t="s">
        <v>51</v>
      </c>
      <c r="L779">
        <f t="shared" si="12"/>
        <v>32608.2</v>
      </c>
    </row>
    <row r="780" spans="1:12" x14ac:dyDescent="0.3">
      <c r="A780" t="s">
        <v>2321</v>
      </c>
      <c r="B780" t="s">
        <v>1373</v>
      </c>
      <c r="C780" t="s">
        <v>2322</v>
      </c>
      <c r="D780" t="s">
        <v>114</v>
      </c>
      <c r="E780" t="s">
        <v>62</v>
      </c>
      <c r="F780" t="s">
        <v>26</v>
      </c>
      <c r="G780" t="s">
        <v>27</v>
      </c>
      <c r="H780">
        <v>8</v>
      </c>
      <c r="I780">
        <v>2818.61</v>
      </c>
      <c r="J780" t="s">
        <v>50</v>
      </c>
      <c r="K780" t="s">
        <v>43</v>
      </c>
      <c r="L780">
        <f t="shared" si="12"/>
        <v>22548.880000000001</v>
      </c>
    </row>
    <row r="781" spans="1:12" x14ac:dyDescent="0.3">
      <c r="A781" t="s">
        <v>2323</v>
      </c>
      <c r="B781" t="s">
        <v>287</v>
      </c>
      <c r="C781" t="s">
        <v>2164</v>
      </c>
      <c r="D781" t="s">
        <v>2324</v>
      </c>
      <c r="E781" t="s">
        <v>104</v>
      </c>
      <c r="F781" t="s">
        <v>17</v>
      </c>
      <c r="G781" t="s">
        <v>35</v>
      </c>
      <c r="H781">
        <v>3</v>
      </c>
      <c r="I781">
        <v>462.48</v>
      </c>
      <c r="J781" t="s">
        <v>28</v>
      </c>
      <c r="K781" t="s">
        <v>51</v>
      </c>
      <c r="L781">
        <f t="shared" si="12"/>
        <v>1387.44</v>
      </c>
    </row>
    <row r="782" spans="1:12" x14ac:dyDescent="0.3">
      <c r="A782" t="s">
        <v>2325</v>
      </c>
      <c r="B782" t="s">
        <v>742</v>
      </c>
      <c r="C782" t="s">
        <v>2326</v>
      </c>
      <c r="D782" t="s">
        <v>1248</v>
      </c>
      <c r="E782" t="s">
        <v>16</v>
      </c>
      <c r="F782" t="s">
        <v>48</v>
      </c>
      <c r="G782" t="s">
        <v>110</v>
      </c>
      <c r="H782">
        <v>2</v>
      </c>
      <c r="I782">
        <v>369.48</v>
      </c>
      <c r="J782" t="s">
        <v>28</v>
      </c>
      <c r="K782" t="s">
        <v>83</v>
      </c>
      <c r="L782">
        <f t="shared" si="12"/>
        <v>738.96</v>
      </c>
    </row>
    <row r="783" spans="1:12" x14ac:dyDescent="0.3">
      <c r="A783" t="s">
        <v>2327</v>
      </c>
      <c r="B783" t="s">
        <v>672</v>
      </c>
      <c r="C783" t="s">
        <v>643</v>
      </c>
      <c r="D783" t="s">
        <v>1979</v>
      </c>
      <c r="E783" t="s">
        <v>16</v>
      </c>
      <c r="F783" t="s">
        <v>77</v>
      </c>
      <c r="G783" t="s">
        <v>105</v>
      </c>
      <c r="H783">
        <v>8</v>
      </c>
      <c r="I783">
        <v>4817.51</v>
      </c>
      <c r="J783" t="s">
        <v>19</v>
      </c>
      <c r="K783" t="s">
        <v>43</v>
      </c>
      <c r="L783">
        <f t="shared" si="12"/>
        <v>38540.080000000002</v>
      </c>
    </row>
    <row r="784" spans="1:12" x14ac:dyDescent="0.3">
      <c r="A784" t="s">
        <v>2328</v>
      </c>
      <c r="B784" t="s">
        <v>2329</v>
      </c>
      <c r="C784" t="s">
        <v>1492</v>
      </c>
      <c r="D784" t="s">
        <v>2184</v>
      </c>
      <c r="E784" t="s">
        <v>16</v>
      </c>
      <c r="F784" t="s">
        <v>48</v>
      </c>
      <c r="G784" t="s">
        <v>57</v>
      </c>
      <c r="H784">
        <v>1</v>
      </c>
      <c r="I784">
        <v>4387.54</v>
      </c>
      <c r="J784" t="s">
        <v>42</v>
      </c>
      <c r="K784" t="s">
        <v>29</v>
      </c>
      <c r="L784">
        <f t="shared" si="12"/>
        <v>4387.54</v>
      </c>
    </row>
    <row r="785" spans="1:12" x14ac:dyDescent="0.3">
      <c r="A785" t="s">
        <v>2330</v>
      </c>
      <c r="B785" t="s">
        <v>1660</v>
      </c>
      <c r="C785" t="s">
        <v>2331</v>
      </c>
      <c r="D785" t="s">
        <v>2332</v>
      </c>
      <c r="E785" t="s">
        <v>25</v>
      </c>
      <c r="F785" t="s">
        <v>48</v>
      </c>
      <c r="G785" t="s">
        <v>63</v>
      </c>
      <c r="H785">
        <v>6</v>
      </c>
      <c r="I785">
        <v>2367.65</v>
      </c>
      <c r="J785" t="s">
        <v>50</v>
      </c>
      <c r="K785" t="s">
        <v>83</v>
      </c>
      <c r="L785">
        <f t="shared" si="12"/>
        <v>14205.900000000001</v>
      </c>
    </row>
    <row r="786" spans="1:12" x14ac:dyDescent="0.3">
      <c r="A786" t="s">
        <v>2333</v>
      </c>
      <c r="B786" t="s">
        <v>2049</v>
      </c>
      <c r="C786" t="s">
        <v>1076</v>
      </c>
      <c r="D786" t="s">
        <v>2334</v>
      </c>
      <c r="E786" t="s">
        <v>34</v>
      </c>
      <c r="F786" t="s">
        <v>48</v>
      </c>
      <c r="G786" t="s">
        <v>49</v>
      </c>
      <c r="H786">
        <v>8</v>
      </c>
      <c r="I786">
        <v>1947.55</v>
      </c>
      <c r="J786" t="s">
        <v>50</v>
      </c>
      <c r="K786" t="s">
        <v>36</v>
      </c>
      <c r="L786">
        <f t="shared" si="12"/>
        <v>15580.4</v>
      </c>
    </row>
    <row r="787" spans="1:12" x14ac:dyDescent="0.3">
      <c r="A787" t="s">
        <v>2335</v>
      </c>
      <c r="B787" t="s">
        <v>2336</v>
      </c>
      <c r="C787" t="s">
        <v>2337</v>
      </c>
      <c r="D787" t="s">
        <v>1071</v>
      </c>
      <c r="E787" t="s">
        <v>16</v>
      </c>
      <c r="F787" t="s">
        <v>48</v>
      </c>
      <c r="G787" t="s">
        <v>110</v>
      </c>
      <c r="H787">
        <v>8</v>
      </c>
      <c r="I787">
        <v>4304.1000000000004</v>
      </c>
      <c r="J787" t="s">
        <v>50</v>
      </c>
      <c r="K787" t="s">
        <v>36</v>
      </c>
      <c r="L787">
        <f t="shared" si="12"/>
        <v>34432.800000000003</v>
      </c>
    </row>
    <row r="788" spans="1:12" x14ac:dyDescent="0.3">
      <c r="A788" t="s">
        <v>2338</v>
      </c>
      <c r="B788" t="s">
        <v>2339</v>
      </c>
      <c r="C788" t="s">
        <v>2340</v>
      </c>
      <c r="D788" t="s">
        <v>514</v>
      </c>
      <c r="E788" t="s">
        <v>25</v>
      </c>
      <c r="F788" t="s">
        <v>26</v>
      </c>
      <c r="G788" t="s">
        <v>115</v>
      </c>
      <c r="H788">
        <v>7</v>
      </c>
      <c r="I788">
        <v>1913.93</v>
      </c>
      <c r="J788" t="s">
        <v>19</v>
      </c>
      <c r="K788" t="s">
        <v>29</v>
      </c>
      <c r="L788">
        <f t="shared" si="12"/>
        <v>13397.51</v>
      </c>
    </row>
    <row r="789" spans="1:12" x14ac:dyDescent="0.3">
      <c r="A789" t="s">
        <v>2341</v>
      </c>
      <c r="B789" t="s">
        <v>1113</v>
      </c>
      <c r="C789" t="s">
        <v>1477</v>
      </c>
      <c r="D789" t="s">
        <v>2342</v>
      </c>
      <c r="E789" t="s">
        <v>104</v>
      </c>
      <c r="F789" t="s">
        <v>17</v>
      </c>
      <c r="G789" t="s">
        <v>188</v>
      </c>
      <c r="H789">
        <v>8</v>
      </c>
      <c r="I789">
        <v>868.12</v>
      </c>
      <c r="J789" t="s">
        <v>19</v>
      </c>
      <c r="K789" t="s">
        <v>36</v>
      </c>
      <c r="L789">
        <f t="shared" si="12"/>
        <v>6944.96</v>
      </c>
    </row>
    <row r="790" spans="1:12" x14ac:dyDescent="0.3">
      <c r="A790" t="s">
        <v>2343</v>
      </c>
      <c r="B790" t="s">
        <v>1392</v>
      </c>
      <c r="C790" t="s">
        <v>2344</v>
      </c>
      <c r="D790" t="s">
        <v>387</v>
      </c>
      <c r="E790" t="s">
        <v>25</v>
      </c>
      <c r="F790" t="s">
        <v>77</v>
      </c>
      <c r="G790" t="s">
        <v>171</v>
      </c>
      <c r="H790">
        <v>7</v>
      </c>
      <c r="I790">
        <v>3731.49</v>
      </c>
      <c r="J790" t="s">
        <v>42</v>
      </c>
      <c r="K790" t="s">
        <v>83</v>
      </c>
      <c r="L790">
        <f t="shared" si="12"/>
        <v>26120.43</v>
      </c>
    </row>
    <row r="791" spans="1:12" x14ac:dyDescent="0.3">
      <c r="A791" t="s">
        <v>2345</v>
      </c>
      <c r="B791" t="s">
        <v>2346</v>
      </c>
      <c r="C791" t="s">
        <v>2347</v>
      </c>
      <c r="D791" t="s">
        <v>1438</v>
      </c>
      <c r="E791" t="s">
        <v>34</v>
      </c>
      <c r="F791" t="s">
        <v>77</v>
      </c>
      <c r="G791" t="s">
        <v>265</v>
      </c>
      <c r="H791">
        <v>6</v>
      </c>
      <c r="I791">
        <v>2304.06</v>
      </c>
      <c r="J791" t="s">
        <v>19</v>
      </c>
      <c r="K791" t="s">
        <v>51</v>
      </c>
      <c r="L791">
        <f t="shared" si="12"/>
        <v>13824.36</v>
      </c>
    </row>
    <row r="792" spans="1:12" x14ac:dyDescent="0.3">
      <c r="A792" t="s">
        <v>2348</v>
      </c>
      <c r="B792" t="s">
        <v>557</v>
      </c>
      <c r="C792" t="s">
        <v>2349</v>
      </c>
      <c r="D792" t="s">
        <v>2350</v>
      </c>
      <c r="E792" t="s">
        <v>62</v>
      </c>
      <c r="F792" t="s">
        <v>26</v>
      </c>
      <c r="G792" t="s">
        <v>166</v>
      </c>
      <c r="H792">
        <v>2</v>
      </c>
      <c r="I792">
        <v>336.46</v>
      </c>
      <c r="J792" t="s">
        <v>28</v>
      </c>
      <c r="K792" t="s">
        <v>83</v>
      </c>
      <c r="L792">
        <f t="shared" si="12"/>
        <v>672.92</v>
      </c>
    </row>
    <row r="793" spans="1:12" x14ac:dyDescent="0.3">
      <c r="A793" t="s">
        <v>2351</v>
      </c>
      <c r="B793" t="s">
        <v>2352</v>
      </c>
      <c r="C793" t="s">
        <v>2353</v>
      </c>
      <c r="D793" t="s">
        <v>1071</v>
      </c>
      <c r="E793" t="s">
        <v>104</v>
      </c>
      <c r="F793" t="s">
        <v>26</v>
      </c>
      <c r="G793" t="s">
        <v>296</v>
      </c>
      <c r="H793">
        <v>2</v>
      </c>
      <c r="I793">
        <v>4532.24</v>
      </c>
      <c r="J793" t="s">
        <v>28</v>
      </c>
      <c r="K793" t="s">
        <v>51</v>
      </c>
      <c r="L793">
        <f t="shared" si="12"/>
        <v>9064.48</v>
      </c>
    </row>
    <row r="794" spans="1:12" x14ac:dyDescent="0.3">
      <c r="A794" t="s">
        <v>2354</v>
      </c>
      <c r="B794" t="s">
        <v>2355</v>
      </c>
      <c r="C794" t="s">
        <v>2356</v>
      </c>
      <c r="D794" t="s">
        <v>2357</v>
      </c>
      <c r="E794" t="s">
        <v>95</v>
      </c>
      <c r="F794" t="s">
        <v>48</v>
      </c>
      <c r="G794" t="s">
        <v>63</v>
      </c>
      <c r="H794">
        <v>7</v>
      </c>
      <c r="I794">
        <v>1358.68</v>
      </c>
      <c r="J794" t="s">
        <v>19</v>
      </c>
      <c r="K794" t="s">
        <v>36</v>
      </c>
      <c r="L794">
        <f t="shared" si="12"/>
        <v>9510.76</v>
      </c>
    </row>
    <row r="795" spans="1:12" x14ac:dyDescent="0.3">
      <c r="A795" t="s">
        <v>2358</v>
      </c>
      <c r="B795" t="s">
        <v>2359</v>
      </c>
      <c r="C795" t="s">
        <v>1742</v>
      </c>
      <c r="D795" t="s">
        <v>55</v>
      </c>
      <c r="E795" t="s">
        <v>62</v>
      </c>
      <c r="F795" t="s">
        <v>48</v>
      </c>
      <c r="G795" t="s">
        <v>110</v>
      </c>
      <c r="H795">
        <v>5</v>
      </c>
      <c r="I795">
        <v>4119.12</v>
      </c>
      <c r="J795" t="s">
        <v>42</v>
      </c>
      <c r="K795" t="s">
        <v>51</v>
      </c>
      <c r="L795">
        <f t="shared" si="12"/>
        <v>20595.599999999999</v>
      </c>
    </row>
    <row r="796" spans="1:12" x14ac:dyDescent="0.3">
      <c r="A796" t="s">
        <v>2360</v>
      </c>
      <c r="B796" t="s">
        <v>1234</v>
      </c>
      <c r="C796" t="s">
        <v>2145</v>
      </c>
      <c r="D796" t="s">
        <v>1998</v>
      </c>
      <c r="E796" t="s">
        <v>128</v>
      </c>
      <c r="F796" t="s">
        <v>26</v>
      </c>
      <c r="G796" t="s">
        <v>208</v>
      </c>
      <c r="H796">
        <v>3</v>
      </c>
      <c r="I796">
        <v>3458.95</v>
      </c>
      <c r="J796" t="s">
        <v>50</v>
      </c>
      <c r="K796" t="s">
        <v>43</v>
      </c>
      <c r="L796">
        <f t="shared" si="12"/>
        <v>10376.849999999999</v>
      </c>
    </row>
    <row r="797" spans="1:12" x14ac:dyDescent="0.3">
      <c r="A797" t="s">
        <v>2361</v>
      </c>
      <c r="B797" t="s">
        <v>1161</v>
      </c>
      <c r="C797" t="s">
        <v>1963</v>
      </c>
      <c r="D797" t="s">
        <v>573</v>
      </c>
      <c r="E797" t="s">
        <v>56</v>
      </c>
      <c r="F797" t="s">
        <v>26</v>
      </c>
      <c r="G797" t="s">
        <v>115</v>
      </c>
      <c r="H797">
        <v>4</v>
      </c>
      <c r="I797">
        <v>535.25</v>
      </c>
      <c r="J797" t="s">
        <v>28</v>
      </c>
      <c r="K797" t="s">
        <v>43</v>
      </c>
      <c r="L797">
        <f t="shared" si="12"/>
        <v>2141</v>
      </c>
    </row>
    <row r="798" spans="1:12" x14ac:dyDescent="0.3">
      <c r="A798" t="s">
        <v>2362</v>
      </c>
      <c r="B798" t="s">
        <v>1491</v>
      </c>
      <c r="C798" t="s">
        <v>2363</v>
      </c>
      <c r="D798" t="s">
        <v>2364</v>
      </c>
      <c r="E798" t="s">
        <v>128</v>
      </c>
      <c r="F798" t="s">
        <v>77</v>
      </c>
      <c r="G798" t="s">
        <v>105</v>
      </c>
      <c r="H798">
        <v>3</v>
      </c>
      <c r="I798">
        <v>2732.19</v>
      </c>
      <c r="J798" t="s">
        <v>28</v>
      </c>
      <c r="K798" t="s">
        <v>83</v>
      </c>
      <c r="L798">
        <f t="shared" si="12"/>
        <v>8196.57</v>
      </c>
    </row>
    <row r="799" spans="1:12" x14ac:dyDescent="0.3">
      <c r="A799" t="s">
        <v>2365</v>
      </c>
      <c r="B799" t="s">
        <v>477</v>
      </c>
      <c r="C799" t="s">
        <v>2366</v>
      </c>
      <c r="D799" t="s">
        <v>2367</v>
      </c>
      <c r="E799" t="s">
        <v>62</v>
      </c>
      <c r="F799" t="s">
        <v>77</v>
      </c>
      <c r="G799" t="s">
        <v>78</v>
      </c>
      <c r="H799">
        <v>1</v>
      </c>
      <c r="I799">
        <v>1541.32</v>
      </c>
      <c r="J799" t="s">
        <v>50</v>
      </c>
      <c r="K799" t="s">
        <v>51</v>
      </c>
      <c r="L799">
        <f t="shared" si="12"/>
        <v>1541.32</v>
      </c>
    </row>
    <row r="800" spans="1:12" x14ac:dyDescent="0.3">
      <c r="A800" t="s">
        <v>2368</v>
      </c>
      <c r="B800" t="s">
        <v>347</v>
      </c>
      <c r="C800" t="s">
        <v>2369</v>
      </c>
      <c r="D800" t="s">
        <v>1063</v>
      </c>
      <c r="E800" t="s">
        <v>95</v>
      </c>
      <c r="F800" t="s">
        <v>77</v>
      </c>
      <c r="G800" t="s">
        <v>265</v>
      </c>
      <c r="H800">
        <v>5</v>
      </c>
      <c r="I800">
        <v>3561.44</v>
      </c>
      <c r="J800" t="s">
        <v>50</v>
      </c>
      <c r="K800" t="s">
        <v>43</v>
      </c>
      <c r="L800">
        <f t="shared" si="12"/>
        <v>17807.2</v>
      </c>
    </row>
    <row r="801" spans="1:12" x14ac:dyDescent="0.3">
      <c r="A801" t="s">
        <v>2370</v>
      </c>
      <c r="B801" t="s">
        <v>483</v>
      </c>
      <c r="C801" t="s">
        <v>2371</v>
      </c>
      <c r="D801" t="s">
        <v>1348</v>
      </c>
      <c r="E801" t="s">
        <v>16</v>
      </c>
      <c r="F801" t="s">
        <v>17</v>
      </c>
      <c r="G801" t="s">
        <v>18</v>
      </c>
      <c r="H801">
        <v>5</v>
      </c>
      <c r="I801">
        <v>1781.38</v>
      </c>
      <c r="J801" t="s">
        <v>50</v>
      </c>
      <c r="K801" t="s">
        <v>20</v>
      </c>
      <c r="L801">
        <f t="shared" si="12"/>
        <v>8906.9000000000015</v>
      </c>
    </row>
    <row r="802" spans="1:12" x14ac:dyDescent="0.3">
      <c r="A802" t="s">
        <v>2372</v>
      </c>
      <c r="B802" t="s">
        <v>1565</v>
      </c>
      <c r="C802" t="s">
        <v>2373</v>
      </c>
      <c r="D802" t="s">
        <v>1905</v>
      </c>
      <c r="E802" t="s">
        <v>95</v>
      </c>
      <c r="F802" t="s">
        <v>77</v>
      </c>
      <c r="G802" t="s">
        <v>105</v>
      </c>
      <c r="H802">
        <v>9</v>
      </c>
      <c r="I802">
        <v>224.14</v>
      </c>
      <c r="J802" t="s">
        <v>42</v>
      </c>
      <c r="K802" t="s">
        <v>83</v>
      </c>
      <c r="L802">
        <f t="shared" si="12"/>
        <v>2017.2599999999998</v>
      </c>
    </row>
    <row r="803" spans="1:12" x14ac:dyDescent="0.3">
      <c r="A803" t="s">
        <v>2374</v>
      </c>
      <c r="B803" t="s">
        <v>283</v>
      </c>
      <c r="C803" t="s">
        <v>2375</v>
      </c>
      <c r="D803" t="s">
        <v>2376</v>
      </c>
      <c r="E803" t="s">
        <v>128</v>
      </c>
      <c r="F803" t="s">
        <v>77</v>
      </c>
      <c r="G803" t="s">
        <v>265</v>
      </c>
      <c r="H803">
        <v>9</v>
      </c>
      <c r="I803">
        <v>646.64</v>
      </c>
      <c r="J803" t="s">
        <v>19</v>
      </c>
      <c r="K803" t="s">
        <v>83</v>
      </c>
      <c r="L803">
        <f t="shared" si="12"/>
        <v>5819.76</v>
      </c>
    </row>
    <row r="804" spans="1:12" x14ac:dyDescent="0.3">
      <c r="A804" t="s">
        <v>2377</v>
      </c>
      <c r="B804" t="s">
        <v>2378</v>
      </c>
      <c r="C804" t="s">
        <v>2299</v>
      </c>
      <c r="D804" t="s">
        <v>2379</v>
      </c>
      <c r="E804" t="s">
        <v>16</v>
      </c>
      <c r="F804" t="s">
        <v>48</v>
      </c>
      <c r="G804" t="s">
        <v>179</v>
      </c>
      <c r="H804">
        <v>8</v>
      </c>
      <c r="I804">
        <v>2247.13</v>
      </c>
      <c r="J804" t="s">
        <v>42</v>
      </c>
      <c r="K804" t="s">
        <v>51</v>
      </c>
      <c r="L804">
        <f t="shared" si="12"/>
        <v>17977.04</v>
      </c>
    </row>
    <row r="805" spans="1:12" x14ac:dyDescent="0.3">
      <c r="A805" t="s">
        <v>2380</v>
      </c>
      <c r="B805" t="s">
        <v>911</v>
      </c>
      <c r="C805" t="s">
        <v>1557</v>
      </c>
      <c r="D805" t="s">
        <v>15</v>
      </c>
      <c r="E805" t="s">
        <v>25</v>
      </c>
      <c r="F805" t="s">
        <v>48</v>
      </c>
      <c r="G805" t="s">
        <v>63</v>
      </c>
      <c r="H805">
        <v>4</v>
      </c>
      <c r="I805">
        <v>1721.27</v>
      </c>
      <c r="J805" t="s">
        <v>50</v>
      </c>
      <c r="K805" t="s">
        <v>43</v>
      </c>
      <c r="L805">
        <f t="shared" si="12"/>
        <v>6885.08</v>
      </c>
    </row>
    <row r="806" spans="1:12" x14ac:dyDescent="0.3">
      <c r="A806" t="s">
        <v>2381</v>
      </c>
      <c r="B806" t="s">
        <v>2382</v>
      </c>
      <c r="C806" t="s">
        <v>2383</v>
      </c>
      <c r="D806" t="s">
        <v>2384</v>
      </c>
      <c r="E806" t="s">
        <v>34</v>
      </c>
      <c r="F806" t="s">
        <v>48</v>
      </c>
      <c r="G806" t="s">
        <v>110</v>
      </c>
      <c r="H806">
        <v>2</v>
      </c>
      <c r="I806">
        <v>390.61</v>
      </c>
      <c r="J806" t="s">
        <v>28</v>
      </c>
      <c r="K806" t="s">
        <v>29</v>
      </c>
      <c r="L806">
        <f t="shared" si="12"/>
        <v>781.22</v>
      </c>
    </row>
    <row r="807" spans="1:12" x14ac:dyDescent="0.3">
      <c r="A807" t="s">
        <v>2385</v>
      </c>
      <c r="B807" t="s">
        <v>426</v>
      </c>
      <c r="C807" t="s">
        <v>2386</v>
      </c>
      <c r="D807" t="s">
        <v>2387</v>
      </c>
      <c r="E807" t="s">
        <v>62</v>
      </c>
      <c r="F807" t="s">
        <v>77</v>
      </c>
      <c r="G807" t="s">
        <v>105</v>
      </c>
      <c r="H807">
        <v>9</v>
      </c>
      <c r="I807">
        <v>4442.3500000000004</v>
      </c>
      <c r="J807" t="s">
        <v>19</v>
      </c>
      <c r="K807" t="s">
        <v>83</v>
      </c>
      <c r="L807">
        <f t="shared" si="12"/>
        <v>39981.15</v>
      </c>
    </row>
    <row r="808" spans="1:12" x14ac:dyDescent="0.3">
      <c r="A808" t="s">
        <v>2388</v>
      </c>
      <c r="B808" t="s">
        <v>877</v>
      </c>
      <c r="C808" t="s">
        <v>206</v>
      </c>
      <c r="D808" t="s">
        <v>2389</v>
      </c>
      <c r="E808" t="s">
        <v>95</v>
      </c>
      <c r="F808" t="s">
        <v>26</v>
      </c>
      <c r="G808" t="s">
        <v>115</v>
      </c>
      <c r="H808">
        <v>10</v>
      </c>
      <c r="I808">
        <v>1783.6</v>
      </c>
      <c r="J808" t="s">
        <v>19</v>
      </c>
      <c r="K808" t="s">
        <v>83</v>
      </c>
      <c r="L808">
        <f t="shared" si="12"/>
        <v>17836</v>
      </c>
    </row>
    <row r="809" spans="1:12" x14ac:dyDescent="0.3">
      <c r="A809" t="s">
        <v>2390</v>
      </c>
      <c r="B809" t="s">
        <v>844</v>
      </c>
      <c r="C809" t="s">
        <v>651</v>
      </c>
      <c r="D809" t="s">
        <v>2391</v>
      </c>
      <c r="E809" t="s">
        <v>104</v>
      </c>
      <c r="F809" t="s">
        <v>77</v>
      </c>
      <c r="G809" t="s">
        <v>171</v>
      </c>
      <c r="H809">
        <v>1</v>
      </c>
      <c r="I809">
        <v>1677.72</v>
      </c>
      <c r="J809" t="s">
        <v>28</v>
      </c>
      <c r="K809" t="s">
        <v>43</v>
      </c>
      <c r="L809">
        <f t="shared" si="12"/>
        <v>1677.72</v>
      </c>
    </row>
    <row r="810" spans="1:12" x14ac:dyDescent="0.3">
      <c r="A810" t="s">
        <v>2392</v>
      </c>
      <c r="B810" t="s">
        <v>2252</v>
      </c>
      <c r="C810" t="s">
        <v>925</v>
      </c>
      <c r="D810" t="s">
        <v>2393</v>
      </c>
      <c r="E810" t="s">
        <v>34</v>
      </c>
      <c r="F810" t="s">
        <v>26</v>
      </c>
      <c r="G810" t="s">
        <v>27</v>
      </c>
      <c r="H810">
        <v>7</v>
      </c>
      <c r="I810">
        <v>487.8</v>
      </c>
      <c r="J810" t="s">
        <v>42</v>
      </c>
      <c r="K810" t="s">
        <v>83</v>
      </c>
      <c r="L810">
        <f t="shared" si="12"/>
        <v>3414.6</v>
      </c>
    </row>
    <row r="811" spans="1:12" x14ac:dyDescent="0.3">
      <c r="A811" t="s">
        <v>2394</v>
      </c>
      <c r="B811" t="s">
        <v>2395</v>
      </c>
      <c r="C811" t="s">
        <v>2396</v>
      </c>
      <c r="D811" t="s">
        <v>455</v>
      </c>
      <c r="E811" t="s">
        <v>95</v>
      </c>
      <c r="F811" t="s">
        <v>48</v>
      </c>
      <c r="G811" t="s">
        <v>179</v>
      </c>
      <c r="H811">
        <v>1</v>
      </c>
      <c r="I811">
        <v>4341.3500000000004</v>
      </c>
      <c r="J811" t="s">
        <v>28</v>
      </c>
      <c r="K811" t="s">
        <v>29</v>
      </c>
      <c r="L811">
        <f t="shared" si="12"/>
        <v>4341.3500000000004</v>
      </c>
    </row>
    <row r="812" spans="1:12" x14ac:dyDescent="0.3">
      <c r="A812" t="s">
        <v>2397</v>
      </c>
      <c r="B812" t="s">
        <v>1032</v>
      </c>
      <c r="C812" t="s">
        <v>259</v>
      </c>
      <c r="D812" t="s">
        <v>666</v>
      </c>
      <c r="E812" t="s">
        <v>25</v>
      </c>
      <c r="F812" t="s">
        <v>77</v>
      </c>
      <c r="G812" t="s">
        <v>78</v>
      </c>
      <c r="H812">
        <v>5</v>
      </c>
      <c r="I812">
        <v>4513.88</v>
      </c>
      <c r="J812" t="s">
        <v>42</v>
      </c>
      <c r="K812" t="s">
        <v>51</v>
      </c>
      <c r="L812">
        <f t="shared" si="12"/>
        <v>22569.4</v>
      </c>
    </row>
    <row r="813" spans="1:12" x14ac:dyDescent="0.3">
      <c r="A813" t="s">
        <v>2398</v>
      </c>
      <c r="B813" t="s">
        <v>1039</v>
      </c>
      <c r="C813" t="s">
        <v>2291</v>
      </c>
      <c r="D813" t="s">
        <v>2399</v>
      </c>
      <c r="E813" t="s">
        <v>56</v>
      </c>
      <c r="F813" t="s">
        <v>26</v>
      </c>
      <c r="G813" t="s">
        <v>208</v>
      </c>
      <c r="H813">
        <v>4</v>
      </c>
      <c r="I813">
        <v>4064</v>
      </c>
      <c r="J813" t="s">
        <v>19</v>
      </c>
      <c r="K813" t="s">
        <v>20</v>
      </c>
      <c r="L813">
        <f t="shared" si="12"/>
        <v>16256</v>
      </c>
    </row>
    <row r="814" spans="1:12" x14ac:dyDescent="0.3">
      <c r="A814" t="s">
        <v>2400</v>
      </c>
      <c r="B814" t="s">
        <v>2273</v>
      </c>
      <c r="C814" t="s">
        <v>2401</v>
      </c>
      <c r="D814" t="s">
        <v>2402</v>
      </c>
      <c r="E814" t="s">
        <v>128</v>
      </c>
      <c r="F814" t="s">
        <v>17</v>
      </c>
      <c r="G814" t="s">
        <v>18</v>
      </c>
      <c r="H814">
        <v>9</v>
      </c>
      <c r="I814">
        <v>690.4</v>
      </c>
      <c r="J814" t="s">
        <v>19</v>
      </c>
      <c r="K814" t="s">
        <v>20</v>
      </c>
      <c r="L814">
        <f t="shared" si="12"/>
        <v>6213.5999999999995</v>
      </c>
    </row>
    <row r="815" spans="1:12" x14ac:dyDescent="0.3">
      <c r="A815" t="s">
        <v>2403</v>
      </c>
      <c r="B815" t="s">
        <v>112</v>
      </c>
      <c r="C815" t="s">
        <v>2404</v>
      </c>
      <c r="D815" t="s">
        <v>2405</v>
      </c>
      <c r="E815" t="s">
        <v>62</v>
      </c>
      <c r="F815" t="s">
        <v>17</v>
      </c>
      <c r="G815" t="s">
        <v>35</v>
      </c>
      <c r="H815">
        <v>8</v>
      </c>
      <c r="I815">
        <v>3628.25</v>
      </c>
      <c r="J815" t="s">
        <v>19</v>
      </c>
      <c r="K815" t="s">
        <v>51</v>
      </c>
      <c r="L815">
        <f t="shared" si="12"/>
        <v>29026</v>
      </c>
    </row>
    <row r="816" spans="1:12" x14ac:dyDescent="0.3">
      <c r="A816" t="s">
        <v>2406</v>
      </c>
      <c r="B816" t="s">
        <v>101</v>
      </c>
      <c r="C816" t="s">
        <v>2407</v>
      </c>
      <c r="D816" t="s">
        <v>821</v>
      </c>
      <c r="E816" t="s">
        <v>16</v>
      </c>
      <c r="F816" t="s">
        <v>77</v>
      </c>
      <c r="G816" t="s">
        <v>265</v>
      </c>
      <c r="H816">
        <v>1</v>
      </c>
      <c r="I816">
        <v>354.72</v>
      </c>
      <c r="J816" t="s">
        <v>28</v>
      </c>
      <c r="K816" t="s">
        <v>83</v>
      </c>
      <c r="L816">
        <f t="shared" si="12"/>
        <v>354.72</v>
      </c>
    </row>
    <row r="817" spans="1:12" x14ac:dyDescent="0.3">
      <c r="A817" t="s">
        <v>2408</v>
      </c>
      <c r="B817" t="s">
        <v>1556</v>
      </c>
      <c r="C817" t="s">
        <v>2409</v>
      </c>
      <c r="D817" t="s">
        <v>2410</v>
      </c>
      <c r="E817" t="s">
        <v>34</v>
      </c>
      <c r="F817" t="s">
        <v>17</v>
      </c>
      <c r="G817" t="s">
        <v>18</v>
      </c>
      <c r="H817">
        <v>10</v>
      </c>
      <c r="I817">
        <v>3966.62</v>
      </c>
      <c r="J817" t="s">
        <v>19</v>
      </c>
      <c r="K817" t="s">
        <v>43</v>
      </c>
      <c r="L817">
        <f t="shared" si="12"/>
        <v>39666.199999999997</v>
      </c>
    </row>
    <row r="818" spans="1:12" x14ac:dyDescent="0.3">
      <c r="A818" t="s">
        <v>2411</v>
      </c>
      <c r="B818" t="s">
        <v>1165</v>
      </c>
      <c r="C818" t="s">
        <v>2412</v>
      </c>
      <c r="D818" t="s">
        <v>2199</v>
      </c>
      <c r="E818" t="s">
        <v>95</v>
      </c>
      <c r="F818" t="s">
        <v>77</v>
      </c>
      <c r="G818" t="s">
        <v>265</v>
      </c>
      <c r="H818">
        <v>6</v>
      </c>
      <c r="I818">
        <v>3418.97</v>
      </c>
      <c r="J818" t="s">
        <v>28</v>
      </c>
      <c r="K818" t="s">
        <v>36</v>
      </c>
      <c r="L818">
        <f t="shared" si="12"/>
        <v>20513.82</v>
      </c>
    </row>
    <row r="819" spans="1:12" x14ac:dyDescent="0.3">
      <c r="A819" t="s">
        <v>2413</v>
      </c>
      <c r="B819" t="s">
        <v>2414</v>
      </c>
      <c r="C819" t="s">
        <v>182</v>
      </c>
      <c r="D819" t="s">
        <v>2415</v>
      </c>
      <c r="E819" t="s">
        <v>128</v>
      </c>
      <c r="F819" t="s">
        <v>48</v>
      </c>
      <c r="G819" t="s">
        <v>179</v>
      </c>
      <c r="H819">
        <v>3</v>
      </c>
      <c r="I819">
        <v>965.89</v>
      </c>
      <c r="J819" t="s">
        <v>50</v>
      </c>
      <c r="K819" t="s">
        <v>36</v>
      </c>
      <c r="L819">
        <f t="shared" si="12"/>
        <v>2897.67</v>
      </c>
    </row>
    <row r="820" spans="1:12" x14ac:dyDescent="0.3">
      <c r="A820" t="s">
        <v>2416</v>
      </c>
      <c r="B820" t="s">
        <v>728</v>
      </c>
      <c r="C820" t="s">
        <v>1184</v>
      </c>
      <c r="D820" t="s">
        <v>40</v>
      </c>
      <c r="E820" t="s">
        <v>95</v>
      </c>
      <c r="F820" t="s">
        <v>77</v>
      </c>
      <c r="G820" t="s">
        <v>123</v>
      </c>
      <c r="H820">
        <v>9</v>
      </c>
      <c r="I820">
        <v>1753.58</v>
      </c>
      <c r="J820" t="s">
        <v>28</v>
      </c>
      <c r="K820" t="s">
        <v>20</v>
      </c>
      <c r="L820">
        <f t="shared" si="12"/>
        <v>15782.22</v>
      </c>
    </row>
    <row r="821" spans="1:12" x14ac:dyDescent="0.3">
      <c r="A821" t="s">
        <v>2417</v>
      </c>
      <c r="B821" t="s">
        <v>1079</v>
      </c>
      <c r="C821" t="s">
        <v>2418</v>
      </c>
      <c r="D821" t="s">
        <v>1698</v>
      </c>
      <c r="E821" t="s">
        <v>16</v>
      </c>
      <c r="F821" t="s">
        <v>77</v>
      </c>
      <c r="G821" t="s">
        <v>171</v>
      </c>
      <c r="H821">
        <v>1</v>
      </c>
      <c r="I821">
        <v>4622.6499999999996</v>
      </c>
      <c r="J821" t="s">
        <v>42</v>
      </c>
      <c r="K821" t="s">
        <v>83</v>
      </c>
      <c r="L821">
        <f t="shared" si="12"/>
        <v>4622.6499999999996</v>
      </c>
    </row>
    <row r="822" spans="1:12" x14ac:dyDescent="0.3">
      <c r="A822" t="s">
        <v>2419</v>
      </c>
      <c r="B822" t="s">
        <v>639</v>
      </c>
      <c r="C822" t="s">
        <v>2420</v>
      </c>
      <c r="D822" t="s">
        <v>2421</v>
      </c>
      <c r="E822" t="s">
        <v>25</v>
      </c>
      <c r="F822" t="s">
        <v>26</v>
      </c>
      <c r="G822" t="s">
        <v>166</v>
      </c>
      <c r="H822">
        <v>5</v>
      </c>
      <c r="I822">
        <v>2583.02</v>
      </c>
      <c r="J822" t="s">
        <v>50</v>
      </c>
      <c r="K822" t="s">
        <v>36</v>
      </c>
      <c r="L822">
        <f t="shared" si="12"/>
        <v>12915.1</v>
      </c>
    </row>
    <row r="823" spans="1:12" x14ac:dyDescent="0.3">
      <c r="A823" t="s">
        <v>2422</v>
      </c>
      <c r="B823" t="s">
        <v>2423</v>
      </c>
      <c r="C823" t="s">
        <v>1808</v>
      </c>
      <c r="D823" t="s">
        <v>2424</v>
      </c>
      <c r="E823" t="s">
        <v>128</v>
      </c>
      <c r="F823" t="s">
        <v>48</v>
      </c>
      <c r="G823" t="s">
        <v>49</v>
      </c>
      <c r="H823">
        <v>1</v>
      </c>
      <c r="I823">
        <v>2756.33</v>
      </c>
      <c r="J823" t="s">
        <v>50</v>
      </c>
      <c r="K823" t="s">
        <v>36</v>
      </c>
      <c r="L823">
        <f t="shared" si="12"/>
        <v>2756.33</v>
      </c>
    </row>
    <row r="824" spans="1:12" x14ac:dyDescent="0.3">
      <c r="A824" t="s">
        <v>2425</v>
      </c>
      <c r="B824" t="s">
        <v>1759</v>
      </c>
      <c r="C824" t="s">
        <v>2426</v>
      </c>
      <c r="D824" t="s">
        <v>2289</v>
      </c>
      <c r="E824" t="s">
        <v>34</v>
      </c>
      <c r="F824" t="s">
        <v>17</v>
      </c>
      <c r="G824" t="s">
        <v>35</v>
      </c>
      <c r="H824">
        <v>7</v>
      </c>
      <c r="I824">
        <v>932.6</v>
      </c>
      <c r="J824" t="s">
        <v>19</v>
      </c>
      <c r="K824" t="s">
        <v>36</v>
      </c>
      <c r="L824">
        <f t="shared" si="12"/>
        <v>6528.2</v>
      </c>
    </row>
    <row r="825" spans="1:12" x14ac:dyDescent="0.3">
      <c r="A825" t="s">
        <v>2427</v>
      </c>
      <c r="B825" t="s">
        <v>1334</v>
      </c>
      <c r="C825" t="s">
        <v>223</v>
      </c>
      <c r="D825" t="s">
        <v>303</v>
      </c>
      <c r="E825" t="s">
        <v>25</v>
      </c>
      <c r="F825" t="s">
        <v>48</v>
      </c>
      <c r="G825" t="s">
        <v>110</v>
      </c>
      <c r="H825">
        <v>8</v>
      </c>
      <c r="I825">
        <v>664.82</v>
      </c>
      <c r="J825" t="s">
        <v>19</v>
      </c>
      <c r="K825" t="s">
        <v>29</v>
      </c>
      <c r="L825">
        <f t="shared" si="12"/>
        <v>5318.56</v>
      </c>
    </row>
    <row r="826" spans="1:12" x14ac:dyDescent="0.3">
      <c r="A826" t="s">
        <v>2428</v>
      </c>
      <c r="B826" t="s">
        <v>1209</v>
      </c>
      <c r="C826" t="s">
        <v>558</v>
      </c>
      <c r="D826" t="s">
        <v>2429</v>
      </c>
      <c r="E826" t="s">
        <v>56</v>
      </c>
      <c r="F826" t="s">
        <v>26</v>
      </c>
      <c r="G826" t="s">
        <v>296</v>
      </c>
      <c r="H826">
        <v>8</v>
      </c>
      <c r="I826">
        <v>4872.67</v>
      </c>
      <c r="J826" t="s">
        <v>42</v>
      </c>
      <c r="K826" t="s">
        <v>43</v>
      </c>
      <c r="L826">
        <f t="shared" si="12"/>
        <v>38981.360000000001</v>
      </c>
    </row>
    <row r="827" spans="1:12" x14ac:dyDescent="0.3">
      <c r="A827" t="s">
        <v>2430</v>
      </c>
      <c r="B827" t="s">
        <v>2155</v>
      </c>
      <c r="C827" t="s">
        <v>1395</v>
      </c>
      <c r="D827" t="s">
        <v>2278</v>
      </c>
      <c r="E827" t="s">
        <v>62</v>
      </c>
      <c r="F827" t="s">
        <v>17</v>
      </c>
      <c r="G827" t="s">
        <v>188</v>
      </c>
      <c r="H827">
        <v>5</v>
      </c>
      <c r="I827">
        <v>621</v>
      </c>
      <c r="J827" t="s">
        <v>42</v>
      </c>
      <c r="K827" t="s">
        <v>29</v>
      </c>
      <c r="L827">
        <f t="shared" si="12"/>
        <v>3105</v>
      </c>
    </row>
    <row r="828" spans="1:12" x14ac:dyDescent="0.3">
      <c r="A828" t="s">
        <v>2431</v>
      </c>
      <c r="B828" t="s">
        <v>218</v>
      </c>
      <c r="C828" t="s">
        <v>321</v>
      </c>
      <c r="D828" t="s">
        <v>252</v>
      </c>
      <c r="E828" t="s">
        <v>128</v>
      </c>
      <c r="F828" t="s">
        <v>17</v>
      </c>
      <c r="G828" t="s">
        <v>68</v>
      </c>
      <c r="H828">
        <v>7</v>
      </c>
      <c r="I828">
        <v>3388.81</v>
      </c>
      <c r="J828" t="s">
        <v>42</v>
      </c>
      <c r="K828" t="s">
        <v>36</v>
      </c>
      <c r="L828">
        <f t="shared" si="12"/>
        <v>23721.67</v>
      </c>
    </row>
    <row r="829" spans="1:12" x14ac:dyDescent="0.3">
      <c r="A829" t="s">
        <v>2432</v>
      </c>
      <c r="B829" t="s">
        <v>2433</v>
      </c>
      <c r="C829" t="s">
        <v>356</v>
      </c>
      <c r="D829" t="s">
        <v>2434</v>
      </c>
      <c r="E829" t="s">
        <v>16</v>
      </c>
      <c r="F829" t="s">
        <v>17</v>
      </c>
      <c r="G829" t="s">
        <v>41</v>
      </c>
      <c r="H829">
        <v>3</v>
      </c>
      <c r="I829">
        <v>2349.42</v>
      </c>
      <c r="J829" t="s">
        <v>28</v>
      </c>
      <c r="K829" t="s">
        <v>43</v>
      </c>
      <c r="L829">
        <f t="shared" si="12"/>
        <v>7048.26</v>
      </c>
    </row>
    <row r="830" spans="1:12" x14ac:dyDescent="0.3">
      <c r="A830" t="s">
        <v>2435</v>
      </c>
      <c r="B830" t="s">
        <v>2296</v>
      </c>
      <c r="C830" t="s">
        <v>2436</v>
      </c>
      <c r="D830" t="s">
        <v>806</v>
      </c>
      <c r="E830" t="s">
        <v>25</v>
      </c>
      <c r="F830" t="s">
        <v>17</v>
      </c>
      <c r="G830" t="s">
        <v>35</v>
      </c>
      <c r="H830">
        <v>1</v>
      </c>
      <c r="I830">
        <v>819.16</v>
      </c>
      <c r="J830" t="s">
        <v>42</v>
      </c>
      <c r="K830" t="s">
        <v>51</v>
      </c>
      <c r="L830">
        <f t="shared" si="12"/>
        <v>819.16</v>
      </c>
    </row>
    <row r="831" spans="1:12" x14ac:dyDescent="0.3">
      <c r="A831" t="s">
        <v>2437</v>
      </c>
      <c r="B831" t="s">
        <v>2298</v>
      </c>
      <c r="C831" t="s">
        <v>2438</v>
      </c>
      <c r="D831" t="s">
        <v>2439</v>
      </c>
      <c r="E831" t="s">
        <v>95</v>
      </c>
      <c r="F831" t="s">
        <v>77</v>
      </c>
      <c r="G831" t="s">
        <v>105</v>
      </c>
      <c r="H831">
        <v>6</v>
      </c>
      <c r="I831">
        <v>2999.74</v>
      </c>
      <c r="J831" t="s">
        <v>28</v>
      </c>
      <c r="K831" t="s">
        <v>83</v>
      </c>
      <c r="L831">
        <f t="shared" si="12"/>
        <v>17998.439999999999</v>
      </c>
    </row>
    <row r="832" spans="1:12" x14ac:dyDescent="0.3">
      <c r="A832" t="s">
        <v>2440</v>
      </c>
      <c r="B832" t="s">
        <v>2441</v>
      </c>
      <c r="C832" t="s">
        <v>2442</v>
      </c>
      <c r="D832" t="s">
        <v>2443</v>
      </c>
      <c r="E832" t="s">
        <v>25</v>
      </c>
      <c r="F832" t="s">
        <v>26</v>
      </c>
      <c r="G832" t="s">
        <v>296</v>
      </c>
      <c r="H832">
        <v>2</v>
      </c>
      <c r="I832">
        <v>3353.22</v>
      </c>
      <c r="J832" t="s">
        <v>42</v>
      </c>
      <c r="K832" t="s">
        <v>20</v>
      </c>
      <c r="L832">
        <f t="shared" si="12"/>
        <v>6706.44</v>
      </c>
    </row>
    <row r="833" spans="1:12" x14ac:dyDescent="0.3">
      <c r="A833" t="s">
        <v>2444</v>
      </c>
      <c r="B833" t="s">
        <v>2445</v>
      </c>
      <c r="C833" t="s">
        <v>423</v>
      </c>
      <c r="D833" t="s">
        <v>2446</v>
      </c>
      <c r="E833" t="s">
        <v>16</v>
      </c>
      <c r="F833" t="s">
        <v>26</v>
      </c>
      <c r="G833" t="s">
        <v>296</v>
      </c>
      <c r="H833">
        <v>1</v>
      </c>
      <c r="I833">
        <v>4309.3999999999996</v>
      </c>
      <c r="J833" t="s">
        <v>50</v>
      </c>
      <c r="K833" t="s">
        <v>43</v>
      </c>
      <c r="L833">
        <f t="shared" si="12"/>
        <v>4309.3999999999996</v>
      </c>
    </row>
    <row r="834" spans="1:12" x14ac:dyDescent="0.3">
      <c r="A834" t="s">
        <v>2447</v>
      </c>
      <c r="B834" t="s">
        <v>2448</v>
      </c>
      <c r="C834" t="s">
        <v>2253</v>
      </c>
      <c r="D834" t="s">
        <v>2393</v>
      </c>
      <c r="E834" t="s">
        <v>56</v>
      </c>
      <c r="F834" t="s">
        <v>48</v>
      </c>
      <c r="G834" t="s">
        <v>57</v>
      </c>
      <c r="H834">
        <v>3</v>
      </c>
      <c r="I834">
        <v>4359.1899999999996</v>
      </c>
      <c r="J834" t="s">
        <v>28</v>
      </c>
      <c r="K834" t="s">
        <v>51</v>
      </c>
      <c r="L834">
        <f t="shared" si="12"/>
        <v>13077.57</v>
      </c>
    </row>
    <row r="835" spans="1:12" x14ac:dyDescent="0.3">
      <c r="A835" t="s">
        <v>2449</v>
      </c>
      <c r="B835" t="s">
        <v>226</v>
      </c>
      <c r="C835" t="s">
        <v>2450</v>
      </c>
      <c r="D835" t="s">
        <v>2451</v>
      </c>
      <c r="E835" t="s">
        <v>128</v>
      </c>
      <c r="F835" t="s">
        <v>26</v>
      </c>
      <c r="G835" t="s">
        <v>296</v>
      </c>
      <c r="H835">
        <v>8</v>
      </c>
      <c r="I835">
        <v>2077.02</v>
      </c>
      <c r="J835" t="s">
        <v>19</v>
      </c>
      <c r="K835" t="s">
        <v>36</v>
      </c>
      <c r="L835">
        <f t="shared" ref="L835:L898" si="13">H835*I835</f>
        <v>16616.16</v>
      </c>
    </row>
    <row r="836" spans="1:12" x14ac:dyDescent="0.3">
      <c r="A836" t="s">
        <v>2452</v>
      </c>
      <c r="B836" t="s">
        <v>1113</v>
      </c>
      <c r="C836" t="s">
        <v>2453</v>
      </c>
      <c r="D836" t="s">
        <v>2454</v>
      </c>
      <c r="E836" t="s">
        <v>25</v>
      </c>
      <c r="F836" t="s">
        <v>77</v>
      </c>
      <c r="G836" t="s">
        <v>78</v>
      </c>
      <c r="H836">
        <v>1</v>
      </c>
      <c r="I836">
        <v>2615.48</v>
      </c>
      <c r="J836" t="s">
        <v>19</v>
      </c>
      <c r="K836" t="s">
        <v>43</v>
      </c>
      <c r="L836">
        <f t="shared" si="13"/>
        <v>2615.48</v>
      </c>
    </row>
    <row r="837" spans="1:12" x14ac:dyDescent="0.3">
      <c r="A837" t="s">
        <v>2455</v>
      </c>
      <c r="B837" t="s">
        <v>401</v>
      </c>
      <c r="C837" t="s">
        <v>1742</v>
      </c>
      <c r="D837" t="s">
        <v>2456</v>
      </c>
      <c r="E837" t="s">
        <v>128</v>
      </c>
      <c r="F837" t="s">
        <v>77</v>
      </c>
      <c r="G837" t="s">
        <v>171</v>
      </c>
      <c r="H837">
        <v>6</v>
      </c>
      <c r="I837">
        <v>4254.71</v>
      </c>
      <c r="J837" t="s">
        <v>28</v>
      </c>
      <c r="K837" t="s">
        <v>83</v>
      </c>
      <c r="L837">
        <f t="shared" si="13"/>
        <v>25528.260000000002</v>
      </c>
    </row>
    <row r="838" spans="1:12" x14ac:dyDescent="0.3">
      <c r="A838" t="s">
        <v>2457</v>
      </c>
      <c r="B838" t="s">
        <v>2458</v>
      </c>
      <c r="C838" t="s">
        <v>427</v>
      </c>
      <c r="D838" t="s">
        <v>341</v>
      </c>
      <c r="E838" t="s">
        <v>62</v>
      </c>
      <c r="F838" t="s">
        <v>17</v>
      </c>
      <c r="G838" t="s">
        <v>188</v>
      </c>
      <c r="H838">
        <v>5</v>
      </c>
      <c r="I838">
        <v>2028.6</v>
      </c>
      <c r="J838" t="s">
        <v>50</v>
      </c>
      <c r="K838" t="s">
        <v>20</v>
      </c>
      <c r="L838">
        <f t="shared" si="13"/>
        <v>10143</v>
      </c>
    </row>
    <row r="839" spans="1:12" x14ac:dyDescent="0.3">
      <c r="A839" t="s">
        <v>2459</v>
      </c>
      <c r="B839" t="s">
        <v>2460</v>
      </c>
      <c r="C839" t="s">
        <v>2248</v>
      </c>
      <c r="D839" t="s">
        <v>2461</v>
      </c>
      <c r="E839" t="s">
        <v>34</v>
      </c>
      <c r="F839" t="s">
        <v>17</v>
      </c>
      <c r="G839" t="s">
        <v>35</v>
      </c>
      <c r="H839">
        <v>2</v>
      </c>
      <c r="I839">
        <v>2187.27</v>
      </c>
      <c r="J839" t="s">
        <v>50</v>
      </c>
      <c r="K839" t="s">
        <v>83</v>
      </c>
      <c r="L839">
        <f t="shared" si="13"/>
        <v>4374.54</v>
      </c>
    </row>
    <row r="840" spans="1:12" x14ac:dyDescent="0.3">
      <c r="A840" t="s">
        <v>2462</v>
      </c>
      <c r="B840" t="s">
        <v>2463</v>
      </c>
      <c r="C840" t="s">
        <v>2464</v>
      </c>
      <c r="D840" t="s">
        <v>2465</v>
      </c>
      <c r="E840" t="s">
        <v>16</v>
      </c>
      <c r="F840" t="s">
        <v>77</v>
      </c>
      <c r="G840" t="s">
        <v>78</v>
      </c>
      <c r="H840">
        <v>2</v>
      </c>
      <c r="I840">
        <v>943.37</v>
      </c>
      <c r="J840" t="s">
        <v>19</v>
      </c>
      <c r="K840" t="s">
        <v>43</v>
      </c>
      <c r="L840">
        <f t="shared" si="13"/>
        <v>1886.74</v>
      </c>
    </row>
    <row r="841" spans="1:12" x14ac:dyDescent="0.3">
      <c r="A841" t="s">
        <v>2466</v>
      </c>
      <c r="B841" t="s">
        <v>946</v>
      </c>
      <c r="C841" t="s">
        <v>1661</v>
      </c>
      <c r="D841" t="s">
        <v>2467</v>
      </c>
      <c r="E841" t="s">
        <v>56</v>
      </c>
      <c r="F841" t="s">
        <v>48</v>
      </c>
      <c r="G841" t="s">
        <v>57</v>
      </c>
      <c r="H841">
        <v>1</v>
      </c>
      <c r="I841">
        <v>1750.03</v>
      </c>
      <c r="J841" t="s">
        <v>28</v>
      </c>
      <c r="K841" t="s">
        <v>43</v>
      </c>
      <c r="L841">
        <f t="shared" si="13"/>
        <v>1750.03</v>
      </c>
    </row>
    <row r="842" spans="1:12" x14ac:dyDescent="0.3">
      <c r="A842" t="s">
        <v>2468</v>
      </c>
      <c r="B842" t="s">
        <v>1147</v>
      </c>
      <c r="C842" t="s">
        <v>1431</v>
      </c>
      <c r="D842" t="s">
        <v>2402</v>
      </c>
      <c r="E842" t="s">
        <v>56</v>
      </c>
      <c r="F842" t="s">
        <v>48</v>
      </c>
      <c r="G842" t="s">
        <v>57</v>
      </c>
      <c r="H842">
        <v>1</v>
      </c>
      <c r="I842">
        <v>4185.99</v>
      </c>
      <c r="J842" t="s">
        <v>19</v>
      </c>
      <c r="K842" t="s">
        <v>51</v>
      </c>
      <c r="L842">
        <f t="shared" si="13"/>
        <v>4185.99</v>
      </c>
    </row>
    <row r="843" spans="1:12" x14ac:dyDescent="0.3">
      <c r="A843" t="s">
        <v>2469</v>
      </c>
      <c r="B843" t="s">
        <v>433</v>
      </c>
      <c r="C843" t="s">
        <v>2470</v>
      </c>
      <c r="D843" t="s">
        <v>2334</v>
      </c>
      <c r="E843" t="s">
        <v>104</v>
      </c>
      <c r="F843" t="s">
        <v>48</v>
      </c>
      <c r="G843" t="s">
        <v>63</v>
      </c>
      <c r="H843">
        <v>8</v>
      </c>
      <c r="I843">
        <v>4018.37</v>
      </c>
      <c r="J843" t="s">
        <v>19</v>
      </c>
      <c r="K843" t="s">
        <v>51</v>
      </c>
      <c r="L843">
        <f t="shared" si="13"/>
        <v>32146.959999999999</v>
      </c>
    </row>
    <row r="844" spans="1:12" x14ac:dyDescent="0.3">
      <c r="A844" t="s">
        <v>2471</v>
      </c>
      <c r="B844" t="s">
        <v>1867</v>
      </c>
      <c r="C844" t="s">
        <v>2472</v>
      </c>
      <c r="D844" t="s">
        <v>299</v>
      </c>
      <c r="E844" t="s">
        <v>34</v>
      </c>
      <c r="F844" t="s">
        <v>77</v>
      </c>
      <c r="G844" t="s">
        <v>171</v>
      </c>
      <c r="H844">
        <v>3</v>
      </c>
      <c r="I844">
        <v>1406.18</v>
      </c>
      <c r="J844" t="s">
        <v>50</v>
      </c>
      <c r="K844" t="s">
        <v>43</v>
      </c>
      <c r="L844">
        <f t="shared" si="13"/>
        <v>4218.54</v>
      </c>
    </row>
    <row r="845" spans="1:12" x14ac:dyDescent="0.3">
      <c r="A845" t="s">
        <v>2473</v>
      </c>
      <c r="B845" t="s">
        <v>2052</v>
      </c>
      <c r="C845" t="s">
        <v>1389</v>
      </c>
      <c r="D845" t="s">
        <v>2474</v>
      </c>
      <c r="E845" t="s">
        <v>34</v>
      </c>
      <c r="F845" t="s">
        <v>26</v>
      </c>
      <c r="G845" t="s">
        <v>166</v>
      </c>
      <c r="H845">
        <v>10</v>
      </c>
      <c r="I845">
        <v>3034.68</v>
      </c>
      <c r="J845" t="s">
        <v>50</v>
      </c>
      <c r="K845" t="s">
        <v>83</v>
      </c>
      <c r="L845">
        <f t="shared" si="13"/>
        <v>30346.799999999999</v>
      </c>
    </row>
    <row r="846" spans="1:12" x14ac:dyDescent="0.3">
      <c r="A846" t="s">
        <v>2475</v>
      </c>
      <c r="B846" t="s">
        <v>181</v>
      </c>
      <c r="C846" t="s">
        <v>1223</v>
      </c>
      <c r="D846" t="s">
        <v>2476</v>
      </c>
      <c r="E846" t="s">
        <v>25</v>
      </c>
      <c r="F846" t="s">
        <v>48</v>
      </c>
      <c r="G846" t="s">
        <v>63</v>
      </c>
      <c r="H846">
        <v>5</v>
      </c>
      <c r="I846">
        <v>4039.15</v>
      </c>
      <c r="J846" t="s">
        <v>42</v>
      </c>
      <c r="K846" t="s">
        <v>29</v>
      </c>
      <c r="L846">
        <f t="shared" si="13"/>
        <v>20195.75</v>
      </c>
    </row>
    <row r="847" spans="1:12" x14ac:dyDescent="0.3">
      <c r="A847" t="s">
        <v>2477</v>
      </c>
      <c r="B847" t="s">
        <v>1462</v>
      </c>
      <c r="C847" t="s">
        <v>831</v>
      </c>
      <c r="D847" t="s">
        <v>2021</v>
      </c>
      <c r="E847" t="s">
        <v>16</v>
      </c>
      <c r="F847" t="s">
        <v>17</v>
      </c>
      <c r="G847" t="s">
        <v>188</v>
      </c>
      <c r="H847">
        <v>8</v>
      </c>
      <c r="I847">
        <v>1679.17</v>
      </c>
      <c r="J847" t="s">
        <v>28</v>
      </c>
      <c r="K847" t="s">
        <v>51</v>
      </c>
      <c r="L847">
        <f t="shared" si="13"/>
        <v>13433.36</v>
      </c>
    </row>
    <row r="848" spans="1:12" x14ac:dyDescent="0.3">
      <c r="A848" t="s">
        <v>2478</v>
      </c>
      <c r="B848" t="s">
        <v>2355</v>
      </c>
      <c r="C848" t="s">
        <v>2479</v>
      </c>
      <c r="D848" t="s">
        <v>2480</v>
      </c>
      <c r="E848" t="s">
        <v>16</v>
      </c>
      <c r="F848" t="s">
        <v>77</v>
      </c>
      <c r="G848" t="s">
        <v>265</v>
      </c>
      <c r="H848">
        <v>6</v>
      </c>
      <c r="I848">
        <v>3413.23</v>
      </c>
      <c r="J848" t="s">
        <v>19</v>
      </c>
      <c r="K848" t="s">
        <v>36</v>
      </c>
      <c r="L848">
        <f t="shared" si="13"/>
        <v>20479.38</v>
      </c>
    </row>
    <row r="849" spans="1:12" x14ac:dyDescent="0.3">
      <c r="A849" t="s">
        <v>2481</v>
      </c>
      <c r="B849" t="s">
        <v>134</v>
      </c>
      <c r="C849" t="s">
        <v>2482</v>
      </c>
      <c r="D849" t="s">
        <v>1129</v>
      </c>
      <c r="E849" t="s">
        <v>62</v>
      </c>
      <c r="F849" t="s">
        <v>77</v>
      </c>
      <c r="G849" t="s">
        <v>265</v>
      </c>
      <c r="H849">
        <v>1</v>
      </c>
      <c r="I849">
        <v>645.19000000000005</v>
      </c>
      <c r="J849" t="s">
        <v>19</v>
      </c>
      <c r="K849" t="s">
        <v>51</v>
      </c>
      <c r="L849">
        <f t="shared" si="13"/>
        <v>645.19000000000005</v>
      </c>
    </row>
    <row r="850" spans="1:12" x14ac:dyDescent="0.3">
      <c r="A850" t="s">
        <v>2483</v>
      </c>
      <c r="B850" t="s">
        <v>854</v>
      </c>
      <c r="C850" t="s">
        <v>2484</v>
      </c>
      <c r="D850" t="s">
        <v>838</v>
      </c>
      <c r="E850" t="s">
        <v>95</v>
      </c>
      <c r="F850" t="s">
        <v>26</v>
      </c>
      <c r="G850" t="s">
        <v>296</v>
      </c>
      <c r="H850">
        <v>8</v>
      </c>
      <c r="I850">
        <v>1669.81</v>
      </c>
      <c r="J850" t="s">
        <v>42</v>
      </c>
      <c r="K850" t="s">
        <v>43</v>
      </c>
      <c r="L850">
        <f t="shared" si="13"/>
        <v>13358.48</v>
      </c>
    </row>
    <row r="851" spans="1:12" x14ac:dyDescent="0.3">
      <c r="A851" t="s">
        <v>2485</v>
      </c>
      <c r="B851" t="s">
        <v>2486</v>
      </c>
      <c r="C851" t="s">
        <v>2487</v>
      </c>
      <c r="D851" t="s">
        <v>2173</v>
      </c>
      <c r="E851" t="s">
        <v>25</v>
      </c>
      <c r="F851" t="s">
        <v>26</v>
      </c>
      <c r="G851" t="s">
        <v>166</v>
      </c>
      <c r="H851">
        <v>9</v>
      </c>
      <c r="I851">
        <v>4137.8</v>
      </c>
      <c r="J851" t="s">
        <v>42</v>
      </c>
      <c r="K851" t="s">
        <v>83</v>
      </c>
      <c r="L851">
        <f t="shared" si="13"/>
        <v>37240.200000000004</v>
      </c>
    </row>
    <row r="852" spans="1:12" x14ac:dyDescent="0.3">
      <c r="A852" t="s">
        <v>2488</v>
      </c>
      <c r="B852" t="s">
        <v>2489</v>
      </c>
      <c r="C852" t="s">
        <v>23</v>
      </c>
      <c r="D852" t="s">
        <v>2490</v>
      </c>
      <c r="E852" t="s">
        <v>104</v>
      </c>
      <c r="F852" t="s">
        <v>48</v>
      </c>
      <c r="G852" t="s">
        <v>110</v>
      </c>
      <c r="H852">
        <v>1</v>
      </c>
      <c r="I852">
        <v>4067.74</v>
      </c>
      <c r="J852" t="s">
        <v>50</v>
      </c>
      <c r="K852" t="s">
        <v>29</v>
      </c>
      <c r="L852">
        <f t="shared" si="13"/>
        <v>4067.74</v>
      </c>
    </row>
    <row r="853" spans="1:12" x14ac:dyDescent="0.3">
      <c r="A853" t="s">
        <v>2491</v>
      </c>
      <c r="B853" t="s">
        <v>1169</v>
      </c>
      <c r="C853" t="s">
        <v>329</v>
      </c>
      <c r="D853" t="s">
        <v>666</v>
      </c>
      <c r="E853" t="s">
        <v>62</v>
      </c>
      <c r="F853" t="s">
        <v>26</v>
      </c>
      <c r="G853" t="s">
        <v>115</v>
      </c>
      <c r="H853">
        <v>1</v>
      </c>
      <c r="I853">
        <v>1761.33</v>
      </c>
      <c r="J853" t="s">
        <v>50</v>
      </c>
      <c r="K853" t="s">
        <v>43</v>
      </c>
      <c r="L853">
        <f t="shared" si="13"/>
        <v>1761.33</v>
      </c>
    </row>
    <row r="854" spans="1:12" x14ac:dyDescent="0.3">
      <c r="A854" t="s">
        <v>2492</v>
      </c>
      <c r="B854" t="s">
        <v>2493</v>
      </c>
      <c r="C854" t="s">
        <v>1327</v>
      </c>
      <c r="D854" t="s">
        <v>2332</v>
      </c>
      <c r="E854" t="s">
        <v>34</v>
      </c>
      <c r="F854" t="s">
        <v>77</v>
      </c>
      <c r="G854" t="s">
        <v>265</v>
      </c>
      <c r="H854">
        <v>1</v>
      </c>
      <c r="I854">
        <v>2112.69</v>
      </c>
      <c r="J854" t="s">
        <v>19</v>
      </c>
      <c r="K854" t="s">
        <v>51</v>
      </c>
      <c r="L854">
        <f t="shared" si="13"/>
        <v>2112.69</v>
      </c>
    </row>
    <row r="855" spans="1:12" x14ac:dyDescent="0.3">
      <c r="A855" t="s">
        <v>2494</v>
      </c>
      <c r="B855" t="s">
        <v>1153</v>
      </c>
      <c r="C855" t="s">
        <v>710</v>
      </c>
      <c r="D855" t="s">
        <v>2495</v>
      </c>
      <c r="E855" t="s">
        <v>62</v>
      </c>
      <c r="F855" t="s">
        <v>77</v>
      </c>
      <c r="G855" t="s">
        <v>105</v>
      </c>
      <c r="H855">
        <v>5</v>
      </c>
      <c r="I855">
        <v>2685.71</v>
      </c>
      <c r="J855" t="s">
        <v>50</v>
      </c>
      <c r="K855" t="s">
        <v>51</v>
      </c>
      <c r="L855">
        <f t="shared" si="13"/>
        <v>13428.55</v>
      </c>
    </row>
    <row r="856" spans="1:12" x14ac:dyDescent="0.3">
      <c r="A856" t="s">
        <v>2496</v>
      </c>
      <c r="B856" t="s">
        <v>1684</v>
      </c>
      <c r="C856" t="s">
        <v>2497</v>
      </c>
      <c r="D856" t="s">
        <v>888</v>
      </c>
      <c r="E856" t="s">
        <v>56</v>
      </c>
      <c r="F856" t="s">
        <v>26</v>
      </c>
      <c r="G856" t="s">
        <v>166</v>
      </c>
      <c r="H856">
        <v>7</v>
      </c>
      <c r="I856">
        <v>3379.38</v>
      </c>
      <c r="J856" t="s">
        <v>28</v>
      </c>
      <c r="K856" t="s">
        <v>43</v>
      </c>
      <c r="L856">
        <f t="shared" si="13"/>
        <v>23655.66</v>
      </c>
    </row>
    <row r="857" spans="1:12" x14ac:dyDescent="0.3">
      <c r="A857" t="s">
        <v>2498</v>
      </c>
      <c r="B857" t="s">
        <v>2026</v>
      </c>
      <c r="C857" t="s">
        <v>2499</v>
      </c>
      <c r="D857" t="s">
        <v>2500</v>
      </c>
      <c r="E857" t="s">
        <v>128</v>
      </c>
      <c r="F857" t="s">
        <v>77</v>
      </c>
      <c r="G857" t="s">
        <v>105</v>
      </c>
      <c r="H857">
        <v>5</v>
      </c>
      <c r="I857">
        <v>2455.94</v>
      </c>
      <c r="J857" t="s">
        <v>19</v>
      </c>
      <c r="K857" t="s">
        <v>51</v>
      </c>
      <c r="L857">
        <f t="shared" si="13"/>
        <v>12279.7</v>
      </c>
    </row>
    <row r="858" spans="1:12" x14ac:dyDescent="0.3">
      <c r="A858" t="s">
        <v>2501</v>
      </c>
      <c r="B858" t="s">
        <v>405</v>
      </c>
      <c r="C858" t="s">
        <v>787</v>
      </c>
      <c r="D858" t="s">
        <v>2391</v>
      </c>
      <c r="E858" t="s">
        <v>56</v>
      </c>
      <c r="F858" t="s">
        <v>77</v>
      </c>
      <c r="G858" t="s">
        <v>78</v>
      </c>
      <c r="H858">
        <v>9</v>
      </c>
      <c r="I858">
        <v>169.44</v>
      </c>
      <c r="J858" t="s">
        <v>19</v>
      </c>
      <c r="K858" t="s">
        <v>51</v>
      </c>
      <c r="L858">
        <f t="shared" si="13"/>
        <v>1524.96</v>
      </c>
    </row>
    <row r="859" spans="1:12" x14ac:dyDescent="0.3">
      <c r="A859" t="s">
        <v>2502</v>
      </c>
      <c r="B859" t="s">
        <v>445</v>
      </c>
      <c r="C859" t="s">
        <v>2503</v>
      </c>
      <c r="D859" t="s">
        <v>2504</v>
      </c>
      <c r="E859" t="s">
        <v>34</v>
      </c>
      <c r="F859" t="s">
        <v>77</v>
      </c>
      <c r="G859" t="s">
        <v>265</v>
      </c>
      <c r="H859">
        <v>3</v>
      </c>
      <c r="I859">
        <v>2525.38</v>
      </c>
      <c r="J859" t="s">
        <v>50</v>
      </c>
      <c r="K859" t="s">
        <v>83</v>
      </c>
      <c r="L859">
        <f t="shared" si="13"/>
        <v>7576.14</v>
      </c>
    </row>
    <row r="860" spans="1:12" x14ac:dyDescent="0.3">
      <c r="A860" t="s">
        <v>2505</v>
      </c>
      <c r="B860" t="s">
        <v>13</v>
      </c>
      <c r="C860" t="s">
        <v>2506</v>
      </c>
      <c r="D860" t="s">
        <v>2278</v>
      </c>
      <c r="E860" t="s">
        <v>128</v>
      </c>
      <c r="F860" t="s">
        <v>77</v>
      </c>
      <c r="G860" t="s">
        <v>78</v>
      </c>
      <c r="H860">
        <v>6</v>
      </c>
      <c r="I860">
        <v>3564.39</v>
      </c>
      <c r="J860" t="s">
        <v>19</v>
      </c>
      <c r="K860" t="s">
        <v>83</v>
      </c>
      <c r="L860">
        <f t="shared" si="13"/>
        <v>21386.34</v>
      </c>
    </row>
    <row r="861" spans="1:12" x14ac:dyDescent="0.3">
      <c r="A861" t="s">
        <v>2507</v>
      </c>
      <c r="B861" t="s">
        <v>505</v>
      </c>
      <c r="C861" t="s">
        <v>1791</v>
      </c>
      <c r="D861" t="s">
        <v>1411</v>
      </c>
      <c r="E861" t="s">
        <v>104</v>
      </c>
      <c r="F861" t="s">
        <v>77</v>
      </c>
      <c r="G861" t="s">
        <v>171</v>
      </c>
      <c r="H861">
        <v>5</v>
      </c>
      <c r="I861">
        <v>487.8</v>
      </c>
      <c r="J861" t="s">
        <v>42</v>
      </c>
      <c r="K861" t="s">
        <v>20</v>
      </c>
      <c r="L861">
        <f t="shared" si="13"/>
        <v>2439</v>
      </c>
    </row>
    <row r="862" spans="1:12" x14ac:dyDescent="0.3">
      <c r="A862" t="s">
        <v>2508</v>
      </c>
      <c r="B862" t="s">
        <v>1952</v>
      </c>
      <c r="C862" t="s">
        <v>1291</v>
      </c>
      <c r="D862" t="s">
        <v>857</v>
      </c>
      <c r="E862" t="s">
        <v>56</v>
      </c>
      <c r="F862" t="s">
        <v>48</v>
      </c>
      <c r="G862" t="s">
        <v>110</v>
      </c>
      <c r="H862">
        <v>6</v>
      </c>
      <c r="I862">
        <v>301.35000000000002</v>
      </c>
      <c r="J862" t="s">
        <v>50</v>
      </c>
      <c r="K862" t="s">
        <v>51</v>
      </c>
      <c r="L862">
        <f t="shared" si="13"/>
        <v>1808.1000000000001</v>
      </c>
    </row>
    <row r="863" spans="1:12" x14ac:dyDescent="0.3">
      <c r="A863" t="s">
        <v>2509</v>
      </c>
      <c r="B863" t="s">
        <v>2510</v>
      </c>
      <c r="C863" t="s">
        <v>2511</v>
      </c>
      <c r="D863" t="s">
        <v>2512</v>
      </c>
      <c r="E863" t="s">
        <v>34</v>
      </c>
      <c r="F863" t="s">
        <v>26</v>
      </c>
      <c r="G863" t="s">
        <v>27</v>
      </c>
      <c r="H863">
        <v>10</v>
      </c>
      <c r="I863">
        <v>2294.81</v>
      </c>
      <c r="J863" t="s">
        <v>42</v>
      </c>
      <c r="K863" t="s">
        <v>43</v>
      </c>
      <c r="L863">
        <f t="shared" si="13"/>
        <v>22948.1</v>
      </c>
    </row>
    <row r="864" spans="1:12" x14ac:dyDescent="0.3">
      <c r="A864" t="s">
        <v>2513</v>
      </c>
      <c r="B864" t="s">
        <v>1965</v>
      </c>
      <c r="C864" t="s">
        <v>684</v>
      </c>
      <c r="D864" t="s">
        <v>2514</v>
      </c>
      <c r="E864" t="s">
        <v>25</v>
      </c>
      <c r="F864" t="s">
        <v>17</v>
      </c>
      <c r="G864" t="s">
        <v>41</v>
      </c>
      <c r="H864">
        <v>2</v>
      </c>
      <c r="I864">
        <v>2754.08</v>
      </c>
      <c r="J864" t="s">
        <v>42</v>
      </c>
      <c r="K864" t="s">
        <v>20</v>
      </c>
      <c r="L864">
        <f t="shared" si="13"/>
        <v>5508.16</v>
      </c>
    </row>
    <row r="865" spans="1:12" x14ac:dyDescent="0.3">
      <c r="A865" t="s">
        <v>2515</v>
      </c>
      <c r="B865" t="s">
        <v>1617</v>
      </c>
      <c r="C865" t="s">
        <v>2436</v>
      </c>
      <c r="D865" t="s">
        <v>1475</v>
      </c>
      <c r="E865" t="s">
        <v>62</v>
      </c>
      <c r="F865" t="s">
        <v>77</v>
      </c>
      <c r="G865" t="s">
        <v>171</v>
      </c>
      <c r="H865">
        <v>1</v>
      </c>
      <c r="I865">
        <v>3832.51</v>
      </c>
      <c r="J865" t="s">
        <v>50</v>
      </c>
      <c r="K865" t="s">
        <v>29</v>
      </c>
      <c r="L865">
        <f t="shared" si="13"/>
        <v>3832.51</v>
      </c>
    </row>
    <row r="866" spans="1:12" x14ac:dyDescent="0.3">
      <c r="A866" t="s">
        <v>2516</v>
      </c>
      <c r="B866" t="s">
        <v>1451</v>
      </c>
      <c r="C866" t="s">
        <v>186</v>
      </c>
      <c r="D866" t="s">
        <v>1266</v>
      </c>
      <c r="E866" t="s">
        <v>104</v>
      </c>
      <c r="F866" t="s">
        <v>17</v>
      </c>
      <c r="G866" t="s">
        <v>35</v>
      </c>
      <c r="H866">
        <v>1</v>
      </c>
      <c r="I866">
        <v>4737.3500000000004</v>
      </c>
      <c r="J866" t="s">
        <v>42</v>
      </c>
      <c r="K866" t="s">
        <v>36</v>
      </c>
      <c r="L866">
        <f t="shared" si="13"/>
        <v>4737.3500000000004</v>
      </c>
    </row>
    <row r="867" spans="1:12" x14ac:dyDescent="0.3">
      <c r="A867" t="s">
        <v>2517</v>
      </c>
      <c r="B867" t="s">
        <v>1807</v>
      </c>
      <c r="C867" t="s">
        <v>1710</v>
      </c>
      <c r="D867" t="s">
        <v>2518</v>
      </c>
      <c r="E867" t="s">
        <v>95</v>
      </c>
      <c r="F867" t="s">
        <v>26</v>
      </c>
      <c r="G867" t="s">
        <v>296</v>
      </c>
      <c r="H867">
        <v>2</v>
      </c>
      <c r="I867">
        <v>4153.57</v>
      </c>
      <c r="J867" t="s">
        <v>28</v>
      </c>
      <c r="K867" t="s">
        <v>83</v>
      </c>
      <c r="L867">
        <f t="shared" si="13"/>
        <v>8307.14</v>
      </c>
    </row>
    <row r="868" spans="1:12" x14ac:dyDescent="0.3">
      <c r="A868" t="s">
        <v>2519</v>
      </c>
      <c r="B868" t="s">
        <v>904</v>
      </c>
      <c r="C868" t="s">
        <v>1953</v>
      </c>
      <c r="D868" t="s">
        <v>2520</v>
      </c>
      <c r="E868" t="s">
        <v>62</v>
      </c>
      <c r="F868" t="s">
        <v>48</v>
      </c>
      <c r="G868" t="s">
        <v>110</v>
      </c>
      <c r="H868">
        <v>9</v>
      </c>
      <c r="I868">
        <v>594.88</v>
      </c>
      <c r="J868" t="s">
        <v>28</v>
      </c>
      <c r="K868" t="s">
        <v>20</v>
      </c>
      <c r="L868">
        <f t="shared" si="13"/>
        <v>5353.92</v>
      </c>
    </row>
    <row r="869" spans="1:12" x14ac:dyDescent="0.3">
      <c r="A869" t="s">
        <v>2521</v>
      </c>
      <c r="B869" t="s">
        <v>2522</v>
      </c>
      <c r="C869" t="s">
        <v>2349</v>
      </c>
      <c r="D869" t="s">
        <v>2523</v>
      </c>
      <c r="E869" t="s">
        <v>16</v>
      </c>
      <c r="F869" t="s">
        <v>17</v>
      </c>
      <c r="G869" t="s">
        <v>188</v>
      </c>
      <c r="H869">
        <v>4</v>
      </c>
      <c r="I869">
        <v>3761.64</v>
      </c>
      <c r="J869" t="s">
        <v>28</v>
      </c>
      <c r="K869" t="s">
        <v>43</v>
      </c>
      <c r="L869">
        <f t="shared" si="13"/>
        <v>15046.56</v>
      </c>
    </row>
    <row r="870" spans="1:12" x14ac:dyDescent="0.3">
      <c r="A870" t="s">
        <v>2524</v>
      </c>
      <c r="B870" t="s">
        <v>2525</v>
      </c>
      <c r="C870" t="s">
        <v>2526</v>
      </c>
      <c r="D870" t="s">
        <v>2527</v>
      </c>
      <c r="E870" t="s">
        <v>62</v>
      </c>
      <c r="F870" t="s">
        <v>48</v>
      </c>
      <c r="G870" t="s">
        <v>49</v>
      </c>
      <c r="H870">
        <v>1</v>
      </c>
      <c r="I870">
        <v>383.38</v>
      </c>
      <c r="J870" t="s">
        <v>42</v>
      </c>
      <c r="K870" t="s">
        <v>83</v>
      </c>
      <c r="L870">
        <f t="shared" si="13"/>
        <v>383.38</v>
      </c>
    </row>
    <row r="871" spans="1:12" x14ac:dyDescent="0.3">
      <c r="A871" t="s">
        <v>2528</v>
      </c>
      <c r="B871" t="s">
        <v>2529</v>
      </c>
      <c r="C871" t="s">
        <v>710</v>
      </c>
      <c r="D871" t="s">
        <v>1155</v>
      </c>
      <c r="E871" t="s">
        <v>128</v>
      </c>
      <c r="F871" t="s">
        <v>26</v>
      </c>
      <c r="G871" t="s">
        <v>296</v>
      </c>
      <c r="H871">
        <v>5</v>
      </c>
      <c r="I871">
        <v>4621.08</v>
      </c>
      <c r="J871" t="s">
        <v>50</v>
      </c>
      <c r="K871" t="s">
        <v>29</v>
      </c>
      <c r="L871">
        <f t="shared" si="13"/>
        <v>23105.4</v>
      </c>
    </row>
    <row r="872" spans="1:12" x14ac:dyDescent="0.3">
      <c r="A872" t="s">
        <v>2530</v>
      </c>
      <c r="B872" t="s">
        <v>1677</v>
      </c>
      <c r="C872" t="s">
        <v>2531</v>
      </c>
      <c r="D872" t="s">
        <v>2532</v>
      </c>
      <c r="E872" t="s">
        <v>128</v>
      </c>
      <c r="F872" t="s">
        <v>26</v>
      </c>
      <c r="G872" t="s">
        <v>27</v>
      </c>
      <c r="H872">
        <v>1</v>
      </c>
      <c r="I872">
        <v>2593.41</v>
      </c>
      <c r="J872" t="s">
        <v>19</v>
      </c>
      <c r="K872" t="s">
        <v>83</v>
      </c>
      <c r="L872">
        <f t="shared" si="13"/>
        <v>2593.41</v>
      </c>
    </row>
    <row r="873" spans="1:12" x14ac:dyDescent="0.3">
      <c r="A873" t="s">
        <v>2533</v>
      </c>
      <c r="B873" t="s">
        <v>324</v>
      </c>
      <c r="C873" t="s">
        <v>2534</v>
      </c>
      <c r="D873" t="s">
        <v>2535</v>
      </c>
      <c r="E873" t="s">
        <v>104</v>
      </c>
      <c r="F873" t="s">
        <v>48</v>
      </c>
      <c r="G873" t="s">
        <v>57</v>
      </c>
      <c r="H873">
        <v>3</v>
      </c>
      <c r="I873">
        <v>3903.05</v>
      </c>
      <c r="J873" t="s">
        <v>42</v>
      </c>
      <c r="K873" t="s">
        <v>36</v>
      </c>
      <c r="L873">
        <f t="shared" si="13"/>
        <v>11709.150000000001</v>
      </c>
    </row>
    <row r="874" spans="1:12" x14ac:dyDescent="0.3">
      <c r="A874" t="s">
        <v>2536</v>
      </c>
      <c r="B874" t="s">
        <v>2336</v>
      </c>
      <c r="C874" t="s">
        <v>98</v>
      </c>
      <c r="D874" t="s">
        <v>1099</v>
      </c>
      <c r="E874" t="s">
        <v>62</v>
      </c>
      <c r="F874" t="s">
        <v>48</v>
      </c>
      <c r="G874" t="s">
        <v>179</v>
      </c>
      <c r="H874">
        <v>2</v>
      </c>
      <c r="I874">
        <v>4643.03</v>
      </c>
      <c r="J874" t="s">
        <v>42</v>
      </c>
      <c r="K874" t="s">
        <v>20</v>
      </c>
      <c r="L874">
        <f t="shared" si="13"/>
        <v>9286.06</v>
      </c>
    </row>
    <row r="875" spans="1:12" x14ac:dyDescent="0.3">
      <c r="A875" t="s">
        <v>2537</v>
      </c>
      <c r="B875" t="s">
        <v>1334</v>
      </c>
      <c r="C875" t="s">
        <v>635</v>
      </c>
      <c r="D875" t="s">
        <v>888</v>
      </c>
      <c r="E875" t="s">
        <v>25</v>
      </c>
      <c r="F875" t="s">
        <v>77</v>
      </c>
      <c r="G875" t="s">
        <v>78</v>
      </c>
      <c r="H875">
        <v>6</v>
      </c>
      <c r="I875">
        <v>2234.13</v>
      </c>
      <c r="J875" t="s">
        <v>42</v>
      </c>
      <c r="K875" t="s">
        <v>51</v>
      </c>
      <c r="L875">
        <f t="shared" si="13"/>
        <v>13404.78</v>
      </c>
    </row>
    <row r="876" spans="1:12" x14ac:dyDescent="0.3">
      <c r="A876" t="s">
        <v>2538</v>
      </c>
      <c r="B876" t="s">
        <v>2539</v>
      </c>
      <c r="C876" t="s">
        <v>2540</v>
      </c>
      <c r="D876" t="s">
        <v>2541</v>
      </c>
      <c r="E876" t="s">
        <v>95</v>
      </c>
      <c r="F876" t="s">
        <v>77</v>
      </c>
      <c r="G876" t="s">
        <v>171</v>
      </c>
      <c r="H876">
        <v>5</v>
      </c>
      <c r="I876">
        <v>3650.8</v>
      </c>
      <c r="J876" t="s">
        <v>28</v>
      </c>
      <c r="K876" t="s">
        <v>36</v>
      </c>
      <c r="L876">
        <f t="shared" si="13"/>
        <v>18254</v>
      </c>
    </row>
    <row r="877" spans="1:12" x14ac:dyDescent="0.3">
      <c r="A877" t="s">
        <v>2542</v>
      </c>
      <c r="B877" t="s">
        <v>1280</v>
      </c>
      <c r="C877" t="s">
        <v>2543</v>
      </c>
      <c r="D877" t="s">
        <v>170</v>
      </c>
      <c r="E877" t="s">
        <v>56</v>
      </c>
      <c r="F877" t="s">
        <v>77</v>
      </c>
      <c r="G877" t="s">
        <v>105</v>
      </c>
      <c r="H877">
        <v>2</v>
      </c>
      <c r="I877">
        <v>4430.51</v>
      </c>
      <c r="J877" t="s">
        <v>50</v>
      </c>
      <c r="K877" t="s">
        <v>36</v>
      </c>
      <c r="L877">
        <f t="shared" si="13"/>
        <v>8861.02</v>
      </c>
    </row>
    <row r="878" spans="1:12" x14ac:dyDescent="0.3">
      <c r="A878" t="s">
        <v>2544</v>
      </c>
      <c r="B878" t="s">
        <v>1240</v>
      </c>
      <c r="C878" t="s">
        <v>2545</v>
      </c>
      <c r="D878" t="s">
        <v>936</v>
      </c>
      <c r="E878" t="s">
        <v>104</v>
      </c>
      <c r="F878" t="s">
        <v>26</v>
      </c>
      <c r="G878" t="s">
        <v>166</v>
      </c>
      <c r="H878">
        <v>4</v>
      </c>
      <c r="I878">
        <v>1650.39</v>
      </c>
      <c r="J878" t="s">
        <v>19</v>
      </c>
      <c r="K878" t="s">
        <v>43</v>
      </c>
      <c r="L878">
        <f t="shared" si="13"/>
        <v>6601.56</v>
      </c>
    </row>
    <row r="879" spans="1:12" x14ac:dyDescent="0.3">
      <c r="A879" t="s">
        <v>2546</v>
      </c>
      <c r="B879" t="s">
        <v>2547</v>
      </c>
      <c r="C879" t="s">
        <v>2277</v>
      </c>
      <c r="D879" t="s">
        <v>1238</v>
      </c>
      <c r="E879" t="s">
        <v>128</v>
      </c>
      <c r="F879" t="s">
        <v>26</v>
      </c>
      <c r="G879" t="s">
        <v>208</v>
      </c>
      <c r="H879">
        <v>3</v>
      </c>
      <c r="I879">
        <v>2419.11</v>
      </c>
      <c r="J879" t="s">
        <v>28</v>
      </c>
      <c r="K879" t="s">
        <v>20</v>
      </c>
      <c r="L879">
        <f t="shared" si="13"/>
        <v>7257.33</v>
      </c>
    </row>
    <row r="880" spans="1:12" x14ac:dyDescent="0.3">
      <c r="A880" t="s">
        <v>2548</v>
      </c>
      <c r="B880" t="s">
        <v>1712</v>
      </c>
      <c r="C880" t="s">
        <v>2549</v>
      </c>
      <c r="D880" t="s">
        <v>2429</v>
      </c>
      <c r="E880" t="s">
        <v>62</v>
      </c>
      <c r="F880" t="s">
        <v>48</v>
      </c>
      <c r="G880" t="s">
        <v>63</v>
      </c>
      <c r="H880">
        <v>4</v>
      </c>
      <c r="I880">
        <v>121.14</v>
      </c>
      <c r="J880" t="s">
        <v>50</v>
      </c>
      <c r="K880" t="s">
        <v>29</v>
      </c>
      <c r="L880">
        <f t="shared" si="13"/>
        <v>484.56</v>
      </c>
    </row>
    <row r="881" spans="1:12" x14ac:dyDescent="0.3">
      <c r="A881" t="s">
        <v>2550</v>
      </c>
      <c r="B881" t="s">
        <v>1392</v>
      </c>
      <c r="C881" t="s">
        <v>2180</v>
      </c>
      <c r="D881" t="s">
        <v>2551</v>
      </c>
      <c r="E881" t="s">
        <v>62</v>
      </c>
      <c r="F881" t="s">
        <v>26</v>
      </c>
      <c r="G881" t="s">
        <v>166</v>
      </c>
      <c r="H881">
        <v>6</v>
      </c>
      <c r="I881">
        <v>1999.74</v>
      </c>
      <c r="J881" t="s">
        <v>19</v>
      </c>
      <c r="K881" t="s">
        <v>29</v>
      </c>
      <c r="L881">
        <f t="shared" si="13"/>
        <v>11998.44</v>
      </c>
    </row>
    <row r="882" spans="1:12" x14ac:dyDescent="0.3">
      <c r="A882" t="s">
        <v>2552</v>
      </c>
      <c r="B882" t="s">
        <v>2553</v>
      </c>
      <c r="C882" t="s">
        <v>1101</v>
      </c>
      <c r="D882" t="s">
        <v>2324</v>
      </c>
      <c r="E882" t="s">
        <v>25</v>
      </c>
      <c r="F882" t="s">
        <v>17</v>
      </c>
      <c r="G882" t="s">
        <v>68</v>
      </c>
      <c r="H882">
        <v>8</v>
      </c>
      <c r="I882">
        <v>2373.44</v>
      </c>
      <c r="J882" t="s">
        <v>28</v>
      </c>
      <c r="K882" t="s">
        <v>43</v>
      </c>
      <c r="L882">
        <f t="shared" si="13"/>
        <v>18987.52</v>
      </c>
    </row>
    <row r="883" spans="1:12" x14ac:dyDescent="0.3">
      <c r="A883" t="s">
        <v>2554</v>
      </c>
      <c r="B883" t="s">
        <v>1822</v>
      </c>
      <c r="C883" t="s">
        <v>2555</v>
      </c>
      <c r="D883" t="s">
        <v>1889</v>
      </c>
      <c r="E883" t="s">
        <v>34</v>
      </c>
      <c r="F883" t="s">
        <v>77</v>
      </c>
      <c r="G883" t="s">
        <v>78</v>
      </c>
      <c r="H883">
        <v>7</v>
      </c>
      <c r="I883">
        <v>2511.46</v>
      </c>
      <c r="J883" t="s">
        <v>42</v>
      </c>
      <c r="K883" t="s">
        <v>20</v>
      </c>
      <c r="L883">
        <f t="shared" si="13"/>
        <v>17580.22</v>
      </c>
    </row>
    <row r="884" spans="1:12" x14ac:dyDescent="0.3">
      <c r="A884" t="s">
        <v>2556</v>
      </c>
      <c r="B884" t="s">
        <v>328</v>
      </c>
      <c r="C884" t="s">
        <v>2464</v>
      </c>
      <c r="D884" t="s">
        <v>2557</v>
      </c>
      <c r="E884" t="s">
        <v>128</v>
      </c>
      <c r="F884" t="s">
        <v>48</v>
      </c>
      <c r="G884" t="s">
        <v>49</v>
      </c>
      <c r="H884">
        <v>3</v>
      </c>
      <c r="I884">
        <v>494.23</v>
      </c>
      <c r="J884" t="s">
        <v>19</v>
      </c>
      <c r="K884" t="s">
        <v>36</v>
      </c>
      <c r="L884">
        <f t="shared" si="13"/>
        <v>1482.69</v>
      </c>
    </row>
    <row r="885" spans="1:12" x14ac:dyDescent="0.3">
      <c r="A885" t="s">
        <v>2558</v>
      </c>
      <c r="B885" t="s">
        <v>1660</v>
      </c>
      <c r="C885" t="s">
        <v>2305</v>
      </c>
      <c r="D885" t="s">
        <v>1533</v>
      </c>
      <c r="E885" t="s">
        <v>95</v>
      </c>
      <c r="F885" t="s">
        <v>26</v>
      </c>
      <c r="G885" t="s">
        <v>115</v>
      </c>
      <c r="H885">
        <v>5</v>
      </c>
      <c r="I885">
        <v>1500.27</v>
      </c>
      <c r="J885" t="s">
        <v>19</v>
      </c>
      <c r="K885" t="s">
        <v>29</v>
      </c>
      <c r="L885">
        <f t="shared" si="13"/>
        <v>7501.35</v>
      </c>
    </row>
    <row r="886" spans="1:12" x14ac:dyDescent="0.3">
      <c r="A886" t="s">
        <v>2559</v>
      </c>
      <c r="B886" t="s">
        <v>1730</v>
      </c>
      <c r="C886" t="s">
        <v>2086</v>
      </c>
      <c r="D886" t="s">
        <v>1998</v>
      </c>
      <c r="E886" t="s">
        <v>25</v>
      </c>
      <c r="F886" t="s">
        <v>48</v>
      </c>
      <c r="G886" t="s">
        <v>63</v>
      </c>
      <c r="H886">
        <v>7</v>
      </c>
      <c r="I886">
        <v>2573.8000000000002</v>
      </c>
      <c r="J886" t="s">
        <v>28</v>
      </c>
      <c r="K886" t="s">
        <v>20</v>
      </c>
      <c r="L886">
        <f t="shared" si="13"/>
        <v>18016.600000000002</v>
      </c>
    </row>
    <row r="887" spans="1:12" x14ac:dyDescent="0.3">
      <c r="A887" t="s">
        <v>2560</v>
      </c>
      <c r="B887" t="s">
        <v>1301</v>
      </c>
      <c r="C887" t="s">
        <v>2561</v>
      </c>
      <c r="D887" t="s">
        <v>2562</v>
      </c>
      <c r="E887" t="s">
        <v>128</v>
      </c>
      <c r="F887" t="s">
        <v>26</v>
      </c>
      <c r="G887" t="s">
        <v>27</v>
      </c>
      <c r="H887">
        <v>9</v>
      </c>
      <c r="I887">
        <v>1895.85</v>
      </c>
      <c r="J887" t="s">
        <v>28</v>
      </c>
      <c r="K887" t="s">
        <v>36</v>
      </c>
      <c r="L887">
        <f t="shared" si="13"/>
        <v>17062.649999999998</v>
      </c>
    </row>
    <row r="888" spans="1:12" x14ac:dyDescent="0.3">
      <c r="A888" t="s">
        <v>2563</v>
      </c>
      <c r="B888" t="s">
        <v>664</v>
      </c>
      <c r="C888" t="s">
        <v>1614</v>
      </c>
      <c r="D888" t="s">
        <v>2564</v>
      </c>
      <c r="E888" t="s">
        <v>34</v>
      </c>
      <c r="F888" t="s">
        <v>17</v>
      </c>
      <c r="G888" t="s">
        <v>18</v>
      </c>
      <c r="H888">
        <v>7</v>
      </c>
      <c r="I888">
        <v>2082.17</v>
      </c>
      <c r="J888" t="s">
        <v>19</v>
      </c>
      <c r="K888" t="s">
        <v>83</v>
      </c>
      <c r="L888">
        <f t="shared" si="13"/>
        <v>14575.19</v>
      </c>
    </row>
    <row r="889" spans="1:12" x14ac:dyDescent="0.3">
      <c r="A889" t="s">
        <v>2565</v>
      </c>
      <c r="B889" t="s">
        <v>1362</v>
      </c>
      <c r="C889" t="s">
        <v>1941</v>
      </c>
      <c r="D889" t="s">
        <v>2566</v>
      </c>
      <c r="E889" t="s">
        <v>34</v>
      </c>
      <c r="F889" t="s">
        <v>26</v>
      </c>
      <c r="G889" t="s">
        <v>115</v>
      </c>
      <c r="H889">
        <v>2</v>
      </c>
      <c r="I889">
        <v>4431.1899999999996</v>
      </c>
      <c r="J889" t="s">
        <v>50</v>
      </c>
      <c r="K889" t="s">
        <v>29</v>
      </c>
      <c r="L889">
        <f t="shared" si="13"/>
        <v>8862.3799999999992</v>
      </c>
    </row>
    <row r="890" spans="1:12" x14ac:dyDescent="0.3">
      <c r="A890" t="s">
        <v>2567</v>
      </c>
      <c r="B890" t="s">
        <v>768</v>
      </c>
      <c r="C890" t="s">
        <v>434</v>
      </c>
      <c r="D890" t="s">
        <v>2568</v>
      </c>
      <c r="E890" t="s">
        <v>25</v>
      </c>
      <c r="F890" t="s">
        <v>77</v>
      </c>
      <c r="G890" t="s">
        <v>123</v>
      </c>
      <c r="H890">
        <v>10</v>
      </c>
      <c r="I890">
        <v>2982.89</v>
      </c>
      <c r="J890" t="s">
        <v>42</v>
      </c>
      <c r="K890" t="s">
        <v>43</v>
      </c>
      <c r="L890">
        <f t="shared" si="13"/>
        <v>29828.899999999998</v>
      </c>
    </row>
    <row r="891" spans="1:12" x14ac:dyDescent="0.3">
      <c r="A891" t="s">
        <v>2569</v>
      </c>
      <c r="B891" t="s">
        <v>89</v>
      </c>
      <c r="C891" t="s">
        <v>2248</v>
      </c>
      <c r="D891" t="s">
        <v>2570</v>
      </c>
      <c r="E891" t="s">
        <v>62</v>
      </c>
      <c r="F891" t="s">
        <v>26</v>
      </c>
      <c r="G891" t="s">
        <v>166</v>
      </c>
      <c r="H891">
        <v>9</v>
      </c>
      <c r="I891">
        <v>888.28</v>
      </c>
      <c r="J891" t="s">
        <v>19</v>
      </c>
      <c r="K891" t="s">
        <v>36</v>
      </c>
      <c r="L891">
        <f t="shared" si="13"/>
        <v>7994.5199999999995</v>
      </c>
    </row>
    <row r="892" spans="1:12" x14ac:dyDescent="0.3">
      <c r="A892" t="s">
        <v>2571</v>
      </c>
      <c r="B892" t="s">
        <v>1587</v>
      </c>
      <c r="C892" t="s">
        <v>32</v>
      </c>
      <c r="D892" t="s">
        <v>2572</v>
      </c>
      <c r="E892" t="s">
        <v>62</v>
      </c>
      <c r="F892" t="s">
        <v>77</v>
      </c>
      <c r="G892" t="s">
        <v>105</v>
      </c>
      <c r="H892">
        <v>2</v>
      </c>
      <c r="I892">
        <v>4075.83</v>
      </c>
      <c r="J892" t="s">
        <v>19</v>
      </c>
      <c r="K892" t="s">
        <v>20</v>
      </c>
      <c r="L892">
        <f t="shared" si="13"/>
        <v>8151.66</v>
      </c>
    </row>
    <row r="893" spans="1:12" x14ac:dyDescent="0.3">
      <c r="A893" t="s">
        <v>2573</v>
      </c>
      <c r="B893" t="s">
        <v>1578</v>
      </c>
      <c r="C893" t="s">
        <v>1738</v>
      </c>
      <c r="D893" t="s">
        <v>714</v>
      </c>
      <c r="E893" t="s">
        <v>104</v>
      </c>
      <c r="F893" t="s">
        <v>77</v>
      </c>
      <c r="G893" t="s">
        <v>265</v>
      </c>
      <c r="H893">
        <v>5</v>
      </c>
      <c r="I893">
        <v>643.28</v>
      </c>
      <c r="J893" t="s">
        <v>28</v>
      </c>
      <c r="K893" t="s">
        <v>83</v>
      </c>
      <c r="L893">
        <f t="shared" si="13"/>
        <v>3216.3999999999996</v>
      </c>
    </row>
    <row r="894" spans="1:12" x14ac:dyDescent="0.3">
      <c r="A894" t="s">
        <v>2574</v>
      </c>
      <c r="B894" t="s">
        <v>1204</v>
      </c>
      <c r="C894" t="s">
        <v>416</v>
      </c>
      <c r="D894" t="s">
        <v>806</v>
      </c>
      <c r="E894" t="s">
        <v>25</v>
      </c>
      <c r="F894" t="s">
        <v>48</v>
      </c>
      <c r="G894" t="s">
        <v>49</v>
      </c>
      <c r="H894">
        <v>9</v>
      </c>
      <c r="I894">
        <v>1259.29</v>
      </c>
      <c r="J894" t="s">
        <v>19</v>
      </c>
      <c r="K894" t="s">
        <v>29</v>
      </c>
      <c r="L894">
        <f t="shared" si="13"/>
        <v>11333.61</v>
      </c>
    </row>
    <row r="895" spans="1:12" x14ac:dyDescent="0.3">
      <c r="A895" t="s">
        <v>2575</v>
      </c>
      <c r="B895" t="s">
        <v>1650</v>
      </c>
      <c r="C895" t="s">
        <v>1566</v>
      </c>
      <c r="D895" t="s">
        <v>153</v>
      </c>
      <c r="E895" t="s">
        <v>34</v>
      </c>
      <c r="F895" t="s">
        <v>17</v>
      </c>
      <c r="G895" t="s">
        <v>188</v>
      </c>
      <c r="H895">
        <v>7</v>
      </c>
      <c r="I895">
        <v>1375.47</v>
      </c>
      <c r="J895" t="s">
        <v>19</v>
      </c>
      <c r="K895" t="s">
        <v>43</v>
      </c>
      <c r="L895">
        <f t="shared" si="13"/>
        <v>9628.2900000000009</v>
      </c>
    </row>
    <row r="896" spans="1:12" x14ac:dyDescent="0.3">
      <c r="A896" t="s">
        <v>2576</v>
      </c>
      <c r="B896" t="s">
        <v>1488</v>
      </c>
      <c r="C896" t="s">
        <v>539</v>
      </c>
      <c r="D896" t="s">
        <v>431</v>
      </c>
      <c r="E896" t="s">
        <v>34</v>
      </c>
      <c r="F896" t="s">
        <v>48</v>
      </c>
      <c r="G896" t="s">
        <v>57</v>
      </c>
      <c r="H896">
        <v>5</v>
      </c>
      <c r="I896">
        <v>1412.93</v>
      </c>
      <c r="J896" t="s">
        <v>42</v>
      </c>
      <c r="K896" t="s">
        <v>29</v>
      </c>
      <c r="L896">
        <f t="shared" si="13"/>
        <v>7064.6500000000005</v>
      </c>
    </row>
    <row r="897" spans="1:12" x14ac:dyDescent="0.3">
      <c r="A897" t="s">
        <v>2577</v>
      </c>
      <c r="B897" t="s">
        <v>2578</v>
      </c>
      <c r="C897" t="s">
        <v>2095</v>
      </c>
      <c r="D897" t="s">
        <v>2579</v>
      </c>
      <c r="E897" t="s">
        <v>25</v>
      </c>
      <c r="F897" t="s">
        <v>77</v>
      </c>
      <c r="G897" t="s">
        <v>123</v>
      </c>
      <c r="H897">
        <v>7</v>
      </c>
      <c r="I897">
        <v>1865.32</v>
      </c>
      <c r="J897" t="s">
        <v>42</v>
      </c>
      <c r="K897" t="s">
        <v>29</v>
      </c>
      <c r="L897">
        <f t="shared" si="13"/>
        <v>13057.24</v>
      </c>
    </row>
    <row r="898" spans="1:12" x14ac:dyDescent="0.3">
      <c r="A898" t="s">
        <v>2580</v>
      </c>
      <c r="B898" t="s">
        <v>589</v>
      </c>
      <c r="C898" t="s">
        <v>984</v>
      </c>
      <c r="D898" t="s">
        <v>514</v>
      </c>
      <c r="E898" t="s">
        <v>34</v>
      </c>
      <c r="F898" t="s">
        <v>26</v>
      </c>
      <c r="G898" t="s">
        <v>166</v>
      </c>
      <c r="H898">
        <v>6</v>
      </c>
      <c r="I898">
        <v>2257.69</v>
      </c>
      <c r="J898" t="s">
        <v>19</v>
      </c>
      <c r="K898" t="s">
        <v>51</v>
      </c>
      <c r="L898">
        <f t="shared" si="13"/>
        <v>13546.14</v>
      </c>
    </row>
    <row r="899" spans="1:12" x14ac:dyDescent="0.3">
      <c r="A899" t="s">
        <v>2581</v>
      </c>
      <c r="B899" t="s">
        <v>2582</v>
      </c>
      <c r="C899" t="s">
        <v>1498</v>
      </c>
      <c r="D899" t="s">
        <v>2583</v>
      </c>
      <c r="E899" t="s">
        <v>62</v>
      </c>
      <c r="F899" t="s">
        <v>17</v>
      </c>
      <c r="G899" t="s">
        <v>188</v>
      </c>
      <c r="H899">
        <v>1</v>
      </c>
      <c r="I899">
        <v>4704.32</v>
      </c>
      <c r="J899" t="s">
        <v>42</v>
      </c>
      <c r="K899" t="s">
        <v>51</v>
      </c>
      <c r="L899">
        <f t="shared" ref="L899:L962" si="14">H899*I899</f>
        <v>4704.32</v>
      </c>
    </row>
    <row r="900" spans="1:12" x14ac:dyDescent="0.3">
      <c r="A900" t="s">
        <v>2584</v>
      </c>
      <c r="B900" t="s">
        <v>1317</v>
      </c>
      <c r="C900" t="s">
        <v>2585</v>
      </c>
      <c r="D900" t="s">
        <v>2586</v>
      </c>
      <c r="E900" t="s">
        <v>56</v>
      </c>
      <c r="F900" t="s">
        <v>26</v>
      </c>
      <c r="G900" t="s">
        <v>27</v>
      </c>
      <c r="H900">
        <v>6</v>
      </c>
      <c r="I900">
        <v>2347.48</v>
      </c>
      <c r="J900" t="s">
        <v>19</v>
      </c>
      <c r="K900" t="s">
        <v>29</v>
      </c>
      <c r="L900">
        <f t="shared" si="14"/>
        <v>14084.880000000001</v>
      </c>
    </row>
    <row r="901" spans="1:12" x14ac:dyDescent="0.3">
      <c r="A901" t="s">
        <v>2587</v>
      </c>
      <c r="B901" t="s">
        <v>433</v>
      </c>
      <c r="C901" t="s">
        <v>2068</v>
      </c>
      <c r="D901" t="s">
        <v>548</v>
      </c>
      <c r="E901" t="s">
        <v>34</v>
      </c>
      <c r="F901" t="s">
        <v>77</v>
      </c>
      <c r="G901" t="s">
        <v>171</v>
      </c>
      <c r="H901">
        <v>4</v>
      </c>
      <c r="I901">
        <v>2971.74</v>
      </c>
      <c r="J901" t="s">
        <v>28</v>
      </c>
      <c r="K901" t="s">
        <v>51</v>
      </c>
      <c r="L901">
        <f t="shared" si="14"/>
        <v>11886.96</v>
      </c>
    </row>
    <row r="902" spans="1:12" x14ac:dyDescent="0.3">
      <c r="A902" t="s">
        <v>2588</v>
      </c>
      <c r="B902" t="s">
        <v>218</v>
      </c>
      <c r="C902" t="s">
        <v>1265</v>
      </c>
      <c r="D902" t="s">
        <v>1355</v>
      </c>
      <c r="E902" t="s">
        <v>25</v>
      </c>
      <c r="F902" t="s">
        <v>77</v>
      </c>
      <c r="G902" t="s">
        <v>171</v>
      </c>
      <c r="H902">
        <v>7</v>
      </c>
      <c r="I902">
        <v>2980.92</v>
      </c>
      <c r="J902" t="s">
        <v>19</v>
      </c>
      <c r="K902" t="s">
        <v>51</v>
      </c>
      <c r="L902">
        <f t="shared" si="14"/>
        <v>20866.440000000002</v>
      </c>
    </row>
    <row r="903" spans="1:12" x14ac:dyDescent="0.3">
      <c r="A903" t="s">
        <v>2589</v>
      </c>
      <c r="B903" t="s">
        <v>2590</v>
      </c>
      <c r="C903" t="s">
        <v>690</v>
      </c>
      <c r="D903" t="s">
        <v>2591</v>
      </c>
      <c r="E903" t="s">
        <v>56</v>
      </c>
      <c r="F903" t="s">
        <v>48</v>
      </c>
      <c r="G903" t="s">
        <v>179</v>
      </c>
      <c r="H903">
        <v>7</v>
      </c>
      <c r="I903">
        <v>1952.69</v>
      </c>
      <c r="J903" t="s">
        <v>28</v>
      </c>
      <c r="K903" t="s">
        <v>29</v>
      </c>
      <c r="L903">
        <f t="shared" si="14"/>
        <v>13668.83</v>
      </c>
    </row>
    <row r="904" spans="1:12" x14ac:dyDescent="0.3">
      <c r="A904" t="s">
        <v>2592</v>
      </c>
      <c r="B904" t="s">
        <v>1952</v>
      </c>
      <c r="C904" t="s">
        <v>2593</v>
      </c>
      <c r="D904" t="s">
        <v>1992</v>
      </c>
      <c r="E904" t="s">
        <v>104</v>
      </c>
      <c r="F904" t="s">
        <v>17</v>
      </c>
      <c r="G904" t="s">
        <v>41</v>
      </c>
      <c r="H904">
        <v>5</v>
      </c>
      <c r="I904">
        <v>122.68</v>
      </c>
      <c r="J904" t="s">
        <v>50</v>
      </c>
      <c r="K904" t="s">
        <v>43</v>
      </c>
      <c r="L904">
        <f t="shared" si="14"/>
        <v>613.40000000000009</v>
      </c>
    </row>
    <row r="905" spans="1:12" x14ac:dyDescent="0.3">
      <c r="A905" t="s">
        <v>2594</v>
      </c>
      <c r="B905" t="s">
        <v>2595</v>
      </c>
      <c r="C905" t="s">
        <v>1318</v>
      </c>
      <c r="D905" t="s">
        <v>2596</v>
      </c>
      <c r="E905" t="s">
        <v>62</v>
      </c>
      <c r="F905" t="s">
        <v>26</v>
      </c>
      <c r="G905" t="s">
        <v>208</v>
      </c>
      <c r="H905">
        <v>5</v>
      </c>
      <c r="I905">
        <v>2728.51</v>
      </c>
      <c r="J905" t="s">
        <v>28</v>
      </c>
      <c r="K905" t="s">
        <v>36</v>
      </c>
      <c r="L905">
        <f t="shared" si="14"/>
        <v>13642.550000000001</v>
      </c>
    </row>
    <row r="906" spans="1:12" x14ac:dyDescent="0.3">
      <c r="A906" t="s">
        <v>2597</v>
      </c>
      <c r="B906" t="s">
        <v>193</v>
      </c>
      <c r="C906" t="s">
        <v>2598</v>
      </c>
      <c r="D906" t="s">
        <v>2599</v>
      </c>
      <c r="E906" t="s">
        <v>56</v>
      </c>
      <c r="F906" t="s">
        <v>26</v>
      </c>
      <c r="G906" t="s">
        <v>296</v>
      </c>
      <c r="H906">
        <v>7</v>
      </c>
      <c r="I906">
        <v>4131.7700000000004</v>
      </c>
      <c r="J906" t="s">
        <v>50</v>
      </c>
      <c r="K906" t="s">
        <v>43</v>
      </c>
      <c r="L906">
        <f t="shared" si="14"/>
        <v>28922.390000000003</v>
      </c>
    </row>
    <row r="907" spans="1:12" x14ac:dyDescent="0.3">
      <c r="A907" t="s">
        <v>2600</v>
      </c>
      <c r="B907" t="s">
        <v>586</v>
      </c>
      <c r="C907" t="s">
        <v>2601</v>
      </c>
      <c r="D907" t="s">
        <v>1188</v>
      </c>
      <c r="E907" t="s">
        <v>25</v>
      </c>
      <c r="F907" t="s">
        <v>26</v>
      </c>
      <c r="G907" t="s">
        <v>115</v>
      </c>
      <c r="H907">
        <v>4</v>
      </c>
      <c r="I907">
        <v>4160.3999999999996</v>
      </c>
      <c r="J907" t="s">
        <v>28</v>
      </c>
      <c r="K907" t="s">
        <v>29</v>
      </c>
      <c r="L907">
        <f t="shared" si="14"/>
        <v>16641.599999999999</v>
      </c>
    </row>
    <row r="908" spans="1:12" x14ac:dyDescent="0.3">
      <c r="A908" t="s">
        <v>2602</v>
      </c>
      <c r="B908" t="s">
        <v>865</v>
      </c>
      <c r="C908" t="s">
        <v>1978</v>
      </c>
      <c r="D908" t="s">
        <v>1524</v>
      </c>
      <c r="E908" t="s">
        <v>56</v>
      </c>
      <c r="F908" t="s">
        <v>26</v>
      </c>
      <c r="G908" t="s">
        <v>208</v>
      </c>
      <c r="H908">
        <v>7</v>
      </c>
      <c r="I908">
        <v>2288.41</v>
      </c>
      <c r="J908" t="s">
        <v>19</v>
      </c>
      <c r="K908" t="s">
        <v>43</v>
      </c>
      <c r="L908">
        <f t="shared" si="14"/>
        <v>16018.869999999999</v>
      </c>
    </row>
    <row r="909" spans="1:12" x14ac:dyDescent="0.3">
      <c r="A909" t="s">
        <v>2603</v>
      </c>
      <c r="B909" t="s">
        <v>877</v>
      </c>
      <c r="C909" t="s">
        <v>2604</v>
      </c>
      <c r="D909" t="s">
        <v>281</v>
      </c>
      <c r="E909" t="s">
        <v>16</v>
      </c>
      <c r="F909" t="s">
        <v>26</v>
      </c>
      <c r="G909" t="s">
        <v>166</v>
      </c>
      <c r="H909">
        <v>4</v>
      </c>
      <c r="I909">
        <v>3745.52</v>
      </c>
      <c r="J909" t="s">
        <v>50</v>
      </c>
      <c r="K909" t="s">
        <v>51</v>
      </c>
      <c r="L909">
        <f t="shared" si="14"/>
        <v>14982.08</v>
      </c>
    </row>
    <row r="910" spans="1:12" x14ac:dyDescent="0.3">
      <c r="A910" t="s">
        <v>2605</v>
      </c>
      <c r="B910" t="s">
        <v>738</v>
      </c>
      <c r="C910" t="s">
        <v>2606</v>
      </c>
      <c r="D910" t="s">
        <v>1724</v>
      </c>
      <c r="E910" t="s">
        <v>34</v>
      </c>
      <c r="F910" t="s">
        <v>26</v>
      </c>
      <c r="G910" t="s">
        <v>296</v>
      </c>
      <c r="H910">
        <v>3</v>
      </c>
      <c r="I910">
        <v>3462.75</v>
      </c>
      <c r="J910" t="s">
        <v>42</v>
      </c>
      <c r="K910" t="s">
        <v>20</v>
      </c>
      <c r="L910">
        <f t="shared" si="14"/>
        <v>10388.25</v>
      </c>
    </row>
    <row r="911" spans="1:12" x14ac:dyDescent="0.3">
      <c r="A911" t="s">
        <v>2607</v>
      </c>
      <c r="B911" t="s">
        <v>869</v>
      </c>
      <c r="C911" t="s">
        <v>1481</v>
      </c>
      <c r="D911" t="s">
        <v>232</v>
      </c>
      <c r="E911" t="s">
        <v>104</v>
      </c>
      <c r="F911" t="s">
        <v>17</v>
      </c>
      <c r="G911" t="s">
        <v>68</v>
      </c>
      <c r="H911">
        <v>1</v>
      </c>
      <c r="I911">
        <v>2442.37</v>
      </c>
      <c r="J911" t="s">
        <v>28</v>
      </c>
      <c r="K911" t="s">
        <v>20</v>
      </c>
      <c r="L911">
        <f t="shared" si="14"/>
        <v>2442.37</v>
      </c>
    </row>
    <row r="912" spans="1:12" x14ac:dyDescent="0.3">
      <c r="A912" t="s">
        <v>2608</v>
      </c>
      <c r="B912" t="s">
        <v>1638</v>
      </c>
      <c r="C912" t="s">
        <v>2487</v>
      </c>
      <c r="D912" t="s">
        <v>1864</v>
      </c>
      <c r="E912" t="s">
        <v>56</v>
      </c>
      <c r="F912" t="s">
        <v>26</v>
      </c>
      <c r="G912" t="s">
        <v>296</v>
      </c>
      <c r="H912">
        <v>8</v>
      </c>
      <c r="I912">
        <v>3205.88</v>
      </c>
      <c r="J912" t="s">
        <v>42</v>
      </c>
      <c r="K912" t="s">
        <v>20</v>
      </c>
      <c r="L912">
        <f t="shared" si="14"/>
        <v>25647.040000000001</v>
      </c>
    </row>
    <row r="913" spans="1:12" x14ac:dyDescent="0.3">
      <c r="A913" t="s">
        <v>2609</v>
      </c>
      <c r="B913" t="s">
        <v>1484</v>
      </c>
      <c r="C913" t="s">
        <v>2610</v>
      </c>
      <c r="D913" t="s">
        <v>2611</v>
      </c>
      <c r="E913" t="s">
        <v>95</v>
      </c>
      <c r="F913" t="s">
        <v>48</v>
      </c>
      <c r="G913" t="s">
        <v>57</v>
      </c>
      <c r="H913">
        <v>4</v>
      </c>
      <c r="I913">
        <v>835.81</v>
      </c>
      <c r="J913" t="s">
        <v>19</v>
      </c>
      <c r="K913" t="s">
        <v>29</v>
      </c>
      <c r="L913">
        <f t="shared" si="14"/>
        <v>3343.24</v>
      </c>
    </row>
    <row r="914" spans="1:12" x14ac:dyDescent="0.3">
      <c r="A914" t="s">
        <v>2612</v>
      </c>
      <c r="B914" t="s">
        <v>1194</v>
      </c>
      <c r="C914" t="s">
        <v>1994</v>
      </c>
      <c r="D914" t="s">
        <v>334</v>
      </c>
      <c r="E914" t="s">
        <v>104</v>
      </c>
      <c r="F914" t="s">
        <v>48</v>
      </c>
      <c r="G914" t="s">
        <v>63</v>
      </c>
      <c r="H914">
        <v>4</v>
      </c>
      <c r="I914">
        <v>2472.67</v>
      </c>
      <c r="J914" t="s">
        <v>50</v>
      </c>
      <c r="K914" t="s">
        <v>29</v>
      </c>
      <c r="L914">
        <f t="shared" si="14"/>
        <v>9890.68</v>
      </c>
    </row>
    <row r="915" spans="1:12" x14ac:dyDescent="0.3">
      <c r="A915" t="s">
        <v>2613</v>
      </c>
      <c r="B915" t="s">
        <v>437</v>
      </c>
      <c r="C915" t="s">
        <v>2614</v>
      </c>
      <c r="D915" t="s">
        <v>912</v>
      </c>
      <c r="E915" t="s">
        <v>104</v>
      </c>
      <c r="F915" t="s">
        <v>17</v>
      </c>
      <c r="G915" t="s">
        <v>18</v>
      </c>
      <c r="H915">
        <v>1</v>
      </c>
      <c r="I915">
        <v>3151.59</v>
      </c>
      <c r="J915" t="s">
        <v>19</v>
      </c>
      <c r="K915" t="s">
        <v>20</v>
      </c>
      <c r="L915">
        <f t="shared" si="14"/>
        <v>3151.59</v>
      </c>
    </row>
    <row r="916" spans="1:12" x14ac:dyDescent="0.3">
      <c r="A916" t="s">
        <v>2615</v>
      </c>
      <c r="B916" t="s">
        <v>1633</v>
      </c>
      <c r="C916" t="s">
        <v>2616</v>
      </c>
      <c r="D916" t="s">
        <v>912</v>
      </c>
      <c r="E916" t="s">
        <v>16</v>
      </c>
      <c r="F916" t="s">
        <v>26</v>
      </c>
      <c r="G916" t="s">
        <v>208</v>
      </c>
      <c r="H916">
        <v>5</v>
      </c>
      <c r="I916">
        <v>1420.25</v>
      </c>
      <c r="J916" t="s">
        <v>42</v>
      </c>
      <c r="K916" t="s">
        <v>29</v>
      </c>
      <c r="L916">
        <f t="shared" si="14"/>
        <v>7101.25</v>
      </c>
    </row>
    <row r="917" spans="1:12" x14ac:dyDescent="0.3">
      <c r="A917" t="s">
        <v>2617</v>
      </c>
      <c r="B917" t="s">
        <v>2378</v>
      </c>
      <c r="C917" t="s">
        <v>1745</v>
      </c>
      <c r="D917" t="s">
        <v>1382</v>
      </c>
      <c r="E917" t="s">
        <v>62</v>
      </c>
      <c r="F917" t="s">
        <v>26</v>
      </c>
      <c r="G917" t="s">
        <v>296</v>
      </c>
      <c r="H917">
        <v>2</v>
      </c>
      <c r="I917">
        <v>1516.91</v>
      </c>
      <c r="J917" t="s">
        <v>28</v>
      </c>
      <c r="K917" t="s">
        <v>43</v>
      </c>
      <c r="L917">
        <f t="shared" si="14"/>
        <v>3033.82</v>
      </c>
    </row>
    <row r="918" spans="1:12" x14ac:dyDescent="0.3">
      <c r="A918" t="s">
        <v>2618</v>
      </c>
      <c r="B918" t="s">
        <v>254</v>
      </c>
      <c r="C918" t="s">
        <v>118</v>
      </c>
      <c r="D918" t="s">
        <v>2619</v>
      </c>
      <c r="E918" t="s">
        <v>128</v>
      </c>
      <c r="F918" t="s">
        <v>17</v>
      </c>
      <c r="G918" t="s">
        <v>188</v>
      </c>
      <c r="H918">
        <v>7</v>
      </c>
      <c r="I918">
        <v>3419.49</v>
      </c>
      <c r="J918" t="s">
        <v>42</v>
      </c>
      <c r="K918" t="s">
        <v>43</v>
      </c>
      <c r="L918">
        <f t="shared" si="14"/>
        <v>23936.43</v>
      </c>
    </row>
    <row r="919" spans="1:12" x14ac:dyDescent="0.3">
      <c r="A919" t="s">
        <v>2620</v>
      </c>
      <c r="B919" t="s">
        <v>2621</v>
      </c>
      <c r="C919" t="s">
        <v>2622</v>
      </c>
      <c r="D919" t="s">
        <v>2623</v>
      </c>
      <c r="E919" t="s">
        <v>16</v>
      </c>
      <c r="F919" t="s">
        <v>26</v>
      </c>
      <c r="G919" t="s">
        <v>208</v>
      </c>
      <c r="H919">
        <v>5</v>
      </c>
      <c r="I919">
        <v>3421.65</v>
      </c>
      <c r="J919" t="s">
        <v>19</v>
      </c>
      <c r="K919" t="s">
        <v>43</v>
      </c>
      <c r="L919">
        <f t="shared" si="14"/>
        <v>17108.25</v>
      </c>
    </row>
    <row r="920" spans="1:12" x14ac:dyDescent="0.3">
      <c r="A920" t="s">
        <v>2624</v>
      </c>
      <c r="B920" t="s">
        <v>2625</v>
      </c>
      <c r="C920" t="s">
        <v>909</v>
      </c>
      <c r="D920" t="s">
        <v>1411</v>
      </c>
      <c r="E920" t="s">
        <v>16</v>
      </c>
      <c r="F920" t="s">
        <v>77</v>
      </c>
      <c r="G920" t="s">
        <v>123</v>
      </c>
      <c r="H920">
        <v>3</v>
      </c>
      <c r="I920">
        <v>735.67</v>
      </c>
      <c r="J920" t="s">
        <v>28</v>
      </c>
      <c r="K920" t="s">
        <v>51</v>
      </c>
      <c r="L920">
        <f t="shared" si="14"/>
        <v>2207.0099999999998</v>
      </c>
    </row>
    <row r="921" spans="1:12" x14ac:dyDescent="0.3">
      <c r="A921" t="s">
        <v>2626</v>
      </c>
      <c r="B921" t="s">
        <v>542</v>
      </c>
      <c r="C921" t="s">
        <v>1799</v>
      </c>
      <c r="D921" t="s">
        <v>2421</v>
      </c>
      <c r="E921" t="s">
        <v>128</v>
      </c>
      <c r="F921" t="s">
        <v>77</v>
      </c>
      <c r="G921" t="s">
        <v>78</v>
      </c>
      <c r="H921">
        <v>5</v>
      </c>
      <c r="I921">
        <v>3313.24</v>
      </c>
      <c r="J921" t="s">
        <v>50</v>
      </c>
      <c r="K921" t="s">
        <v>20</v>
      </c>
      <c r="L921">
        <f t="shared" si="14"/>
        <v>16566.199999999997</v>
      </c>
    </row>
    <row r="922" spans="1:12" x14ac:dyDescent="0.3">
      <c r="A922" t="s">
        <v>2627</v>
      </c>
      <c r="B922" t="s">
        <v>2628</v>
      </c>
      <c r="C922" t="s">
        <v>1474</v>
      </c>
      <c r="D922" t="s">
        <v>2629</v>
      </c>
      <c r="E922" t="s">
        <v>25</v>
      </c>
      <c r="F922" t="s">
        <v>77</v>
      </c>
      <c r="G922" t="s">
        <v>123</v>
      </c>
      <c r="H922">
        <v>10</v>
      </c>
      <c r="I922">
        <v>1006.66</v>
      </c>
      <c r="J922" t="s">
        <v>19</v>
      </c>
      <c r="K922" t="s">
        <v>43</v>
      </c>
      <c r="L922">
        <f t="shared" si="14"/>
        <v>10066.6</v>
      </c>
    </row>
    <row r="923" spans="1:12" x14ac:dyDescent="0.3">
      <c r="A923" t="s">
        <v>2630</v>
      </c>
      <c r="B923" t="s">
        <v>823</v>
      </c>
      <c r="C923" t="s">
        <v>2014</v>
      </c>
      <c r="D923" t="s">
        <v>475</v>
      </c>
      <c r="E923" t="s">
        <v>25</v>
      </c>
      <c r="F923" t="s">
        <v>26</v>
      </c>
      <c r="G923" t="s">
        <v>166</v>
      </c>
      <c r="H923">
        <v>10</v>
      </c>
      <c r="I923">
        <v>2749.85</v>
      </c>
      <c r="J923" t="s">
        <v>19</v>
      </c>
      <c r="K923" t="s">
        <v>36</v>
      </c>
      <c r="L923">
        <f t="shared" si="14"/>
        <v>27498.5</v>
      </c>
    </row>
    <row r="924" spans="1:12" x14ac:dyDescent="0.3">
      <c r="A924" t="s">
        <v>2631</v>
      </c>
      <c r="B924" t="s">
        <v>654</v>
      </c>
      <c r="C924" t="s">
        <v>71</v>
      </c>
      <c r="D924" t="s">
        <v>2282</v>
      </c>
      <c r="E924" t="s">
        <v>128</v>
      </c>
      <c r="F924" t="s">
        <v>26</v>
      </c>
      <c r="G924" t="s">
        <v>166</v>
      </c>
      <c r="H924">
        <v>3</v>
      </c>
      <c r="I924">
        <v>4589.26</v>
      </c>
      <c r="J924" t="s">
        <v>50</v>
      </c>
      <c r="K924" t="s">
        <v>36</v>
      </c>
      <c r="L924">
        <f t="shared" si="14"/>
        <v>13767.78</v>
      </c>
    </row>
    <row r="925" spans="1:12" x14ac:dyDescent="0.3">
      <c r="A925" t="s">
        <v>2632</v>
      </c>
      <c r="B925" t="s">
        <v>1231</v>
      </c>
      <c r="C925" t="s">
        <v>1933</v>
      </c>
      <c r="D925" t="s">
        <v>2633</v>
      </c>
      <c r="E925" t="s">
        <v>16</v>
      </c>
      <c r="F925" t="s">
        <v>48</v>
      </c>
      <c r="G925" t="s">
        <v>57</v>
      </c>
      <c r="H925">
        <v>10</v>
      </c>
      <c r="I925">
        <v>4855.05</v>
      </c>
      <c r="J925" t="s">
        <v>19</v>
      </c>
      <c r="K925" t="s">
        <v>20</v>
      </c>
      <c r="L925">
        <f t="shared" si="14"/>
        <v>48550.5</v>
      </c>
    </row>
    <row r="926" spans="1:12" x14ac:dyDescent="0.3">
      <c r="A926" t="s">
        <v>2634</v>
      </c>
      <c r="B926" t="s">
        <v>1097</v>
      </c>
      <c r="C926" t="s">
        <v>1046</v>
      </c>
      <c r="D926" t="s">
        <v>2282</v>
      </c>
      <c r="E926" t="s">
        <v>25</v>
      </c>
      <c r="F926" t="s">
        <v>17</v>
      </c>
      <c r="G926" t="s">
        <v>41</v>
      </c>
      <c r="H926">
        <v>8</v>
      </c>
      <c r="I926">
        <v>3676.11</v>
      </c>
      <c r="J926" t="s">
        <v>42</v>
      </c>
      <c r="K926" t="s">
        <v>36</v>
      </c>
      <c r="L926">
        <f t="shared" si="14"/>
        <v>29408.880000000001</v>
      </c>
    </row>
    <row r="927" spans="1:12" x14ac:dyDescent="0.3">
      <c r="A927" t="s">
        <v>2635</v>
      </c>
      <c r="B927" t="s">
        <v>2261</v>
      </c>
      <c r="C927" t="s">
        <v>2636</v>
      </c>
      <c r="D927" t="s">
        <v>2637</v>
      </c>
      <c r="E927" t="s">
        <v>95</v>
      </c>
      <c r="F927" t="s">
        <v>17</v>
      </c>
      <c r="G927" t="s">
        <v>18</v>
      </c>
      <c r="H927">
        <v>7</v>
      </c>
      <c r="I927">
        <v>3700.34</v>
      </c>
      <c r="J927" t="s">
        <v>28</v>
      </c>
      <c r="K927" t="s">
        <v>51</v>
      </c>
      <c r="L927">
        <f t="shared" si="14"/>
        <v>25902.38</v>
      </c>
    </row>
    <row r="928" spans="1:12" x14ac:dyDescent="0.3">
      <c r="A928" t="s">
        <v>2638</v>
      </c>
      <c r="B928" t="s">
        <v>2525</v>
      </c>
      <c r="C928" t="s">
        <v>268</v>
      </c>
      <c r="D928" t="s">
        <v>55</v>
      </c>
      <c r="E928" t="s">
        <v>25</v>
      </c>
      <c r="F928" t="s">
        <v>48</v>
      </c>
      <c r="G928" t="s">
        <v>110</v>
      </c>
      <c r="H928">
        <v>5</v>
      </c>
      <c r="I928">
        <v>368.99</v>
      </c>
      <c r="J928" t="s">
        <v>42</v>
      </c>
      <c r="K928" t="s">
        <v>29</v>
      </c>
      <c r="L928">
        <f t="shared" si="14"/>
        <v>1844.95</v>
      </c>
    </row>
    <row r="929" spans="1:12" x14ac:dyDescent="0.3">
      <c r="A929" t="s">
        <v>2639</v>
      </c>
      <c r="B929" t="s">
        <v>336</v>
      </c>
      <c r="C929" t="s">
        <v>2484</v>
      </c>
      <c r="D929" t="s">
        <v>157</v>
      </c>
      <c r="E929" t="s">
        <v>62</v>
      </c>
      <c r="F929" t="s">
        <v>48</v>
      </c>
      <c r="G929" t="s">
        <v>57</v>
      </c>
      <c r="H929">
        <v>8</v>
      </c>
      <c r="I929">
        <v>332.71</v>
      </c>
      <c r="J929" t="s">
        <v>19</v>
      </c>
      <c r="K929" t="s">
        <v>36</v>
      </c>
      <c r="L929">
        <f t="shared" si="14"/>
        <v>2661.68</v>
      </c>
    </row>
    <row r="930" spans="1:12" x14ac:dyDescent="0.3">
      <c r="A930" t="s">
        <v>2640</v>
      </c>
      <c r="B930" t="s">
        <v>949</v>
      </c>
      <c r="C930" t="s">
        <v>554</v>
      </c>
      <c r="D930" t="s">
        <v>2641</v>
      </c>
      <c r="E930" t="s">
        <v>34</v>
      </c>
      <c r="F930" t="s">
        <v>48</v>
      </c>
      <c r="G930" t="s">
        <v>179</v>
      </c>
      <c r="H930">
        <v>3</v>
      </c>
      <c r="I930">
        <v>3380.12</v>
      </c>
      <c r="J930" t="s">
        <v>42</v>
      </c>
      <c r="K930" t="s">
        <v>36</v>
      </c>
      <c r="L930">
        <f t="shared" si="14"/>
        <v>10140.36</v>
      </c>
    </row>
    <row r="931" spans="1:12" x14ac:dyDescent="0.3">
      <c r="A931" t="s">
        <v>2642</v>
      </c>
      <c r="B931" t="s">
        <v>988</v>
      </c>
      <c r="C931" t="s">
        <v>1191</v>
      </c>
      <c r="D931" t="s">
        <v>228</v>
      </c>
      <c r="E931" t="s">
        <v>56</v>
      </c>
      <c r="F931" t="s">
        <v>17</v>
      </c>
      <c r="G931" t="s">
        <v>188</v>
      </c>
      <c r="H931">
        <v>5</v>
      </c>
      <c r="I931">
        <v>4093.59</v>
      </c>
      <c r="J931" t="s">
        <v>28</v>
      </c>
      <c r="K931" t="s">
        <v>36</v>
      </c>
      <c r="L931">
        <f t="shared" si="14"/>
        <v>20467.95</v>
      </c>
    </row>
    <row r="932" spans="1:12" x14ac:dyDescent="0.3">
      <c r="A932" t="s">
        <v>2643</v>
      </c>
      <c r="B932" t="s">
        <v>125</v>
      </c>
      <c r="C932" t="s">
        <v>2644</v>
      </c>
      <c r="D932" t="s">
        <v>1588</v>
      </c>
      <c r="E932" t="s">
        <v>62</v>
      </c>
      <c r="F932" t="s">
        <v>77</v>
      </c>
      <c r="G932" t="s">
        <v>123</v>
      </c>
      <c r="H932">
        <v>4</v>
      </c>
      <c r="I932">
        <v>2975.44</v>
      </c>
      <c r="J932" t="s">
        <v>19</v>
      </c>
      <c r="K932" t="s">
        <v>36</v>
      </c>
      <c r="L932">
        <f t="shared" si="14"/>
        <v>11901.76</v>
      </c>
    </row>
    <row r="933" spans="1:12" x14ac:dyDescent="0.3">
      <c r="A933" t="s">
        <v>2645</v>
      </c>
      <c r="B933" t="s">
        <v>1680</v>
      </c>
      <c r="C933" t="s">
        <v>2593</v>
      </c>
      <c r="D933" t="s">
        <v>2243</v>
      </c>
      <c r="E933" t="s">
        <v>95</v>
      </c>
      <c r="F933" t="s">
        <v>77</v>
      </c>
      <c r="G933" t="s">
        <v>171</v>
      </c>
      <c r="H933">
        <v>10</v>
      </c>
      <c r="I933">
        <v>2195.6</v>
      </c>
      <c r="J933" t="s">
        <v>19</v>
      </c>
      <c r="K933" t="s">
        <v>43</v>
      </c>
      <c r="L933">
        <f t="shared" si="14"/>
        <v>21956</v>
      </c>
    </row>
    <row r="934" spans="1:12" x14ac:dyDescent="0.3">
      <c r="A934" t="s">
        <v>2646</v>
      </c>
      <c r="B934" t="s">
        <v>1375</v>
      </c>
      <c r="C934" t="s">
        <v>890</v>
      </c>
      <c r="D934" t="s">
        <v>2647</v>
      </c>
      <c r="E934" t="s">
        <v>62</v>
      </c>
      <c r="F934" t="s">
        <v>17</v>
      </c>
      <c r="G934" t="s">
        <v>68</v>
      </c>
      <c r="H934">
        <v>7</v>
      </c>
      <c r="I934">
        <v>1754.21</v>
      </c>
      <c r="J934" t="s">
        <v>19</v>
      </c>
      <c r="K934" t="s">
        <v>36</v>
      </c>
      <c r="L934">
        <f t="shared" si="14"/>
        <v>12279.470000000001</v>
      </c>
    </row>
    <row r="935" spans="1:12" x14ac:dyDescent="0.3">
      <c r="A935" t="s">
        <v>2648</v>
      </c>
      <c r="B935" t="s">
        <v>1110</v>
      </c>
      <c r="C935" t="s">
        <v>2649</v>
      </c>
      <c r="D935" t="s">
        <v>1942</v>
      </c>
      <c r="E935" t="s">
        <v>56</v>
      </c>
      <c r="F935" t="s">
        <v>77</v>
      </c>
      <c r="G935" t="s">
        <v>171</v>
      </c>
      <c r="H935">
        <v>4</v>
      </c>
      <c r="I935">
        <v>4188.05</v>
      </c>
      <c r="J935" t="s">
        <v>50</v>
      </c>
      <c r="K935" t="s">
        <v>43</v>
      </c>
      <c r="L935">
        <f t="shared" si="14"/>
        <v>16752.2</v>
      </c>
    </row>
    <row r="936" spans="1:12" x14ac:dyDescent="0.3">
      <c r="A936" t="s">
        <v>2650</v>
      </c>
      <c r="B936" t="s">
        <v>1975</v>
      </c>
      <c r="C936" t="s">
        <v>2651</v>
      </c>
      <c r="D936" t="s">
        <v>1339</v>
      </c>
      <c r="E936" t="s">
        <v>25</v>
      </c>
      <c r="F936" t="s">
        <v>26</v>
      </c>
      <c r="G936" t="s">
        <v>296</v>
      </c>
      <c r="H936">
        <v>5</v>
      </c>
      <c r="I936">
        <v>2398.06</v>
      </c>
      <c r="J936" t="s">
        <v>50</v>
      </c>
      <c r="K936" t="s">
        <v>29</v>
      </c>
      <c r="L936">
        <f t="shared" si="14"/>
        <v>11990.3</v>
      </c>
    </row>
    <row r="937" spans="1:12" x14ac:dyDescent="0.3">
      <c r="A937" t="s">
        <v>2652</v>
      </c>
      <c r="B937" t="s">
        <v>1451</v>
      </c>
      <c r="C937" t="s">
        <v>1098</v>
      </c>
      <c r="D937" t="s">
        <v>315</v>
      </c>
      <c r="E937" t="s">
        <v>16</v>
      </c>
      <c r="F937" t="s">
        <v>17</v>
      </c>
      <c r="G937" t="s">
        <v>18</v>
      </c>
      <c r="H937">
        <v>5</v>
      </c>
      <c r="I937">
        <v>4782.3500000000004</v>
      </c>
      <c r="J937" t="s">
        <v>28</v>
      </c>
      <c r="K937" t="s">
        <v>36</v>
      </c>
      <c r="L937">
        <f t="shared" si="14"/>
        <v>23911.75</v>
      </c>
    </row>
    <row r="938" spans="1:12" x14ac:dyDescent="0.3">
      <c r="A938" t="s">
        <v>2653</v>
      </c>
      <c r="B938" t="s">
        <v>2654</v>
      </c>
      <c r="C938" t="s">
        <v>2655</v>
      </c>
      <c r="D938" t="s">
        <v>1924</v>
      </c>
      <c r="E938" t="s">
        <v>16</v>
      </c>
      <c r="F938" t="s">
        <v>26</v>
      </c>
      <c r="G938" t="s">
        <v>27</v>
      </c>
      <c r="H938">
        <v>9</v>
      </c>
      <c r="I938">
        <v>2719.07</v>
      </c>
      <c r="J938" t="s">
        <v>19</v>
      </c>
      <c r="K938" t="s">
        <v>20</v>
      </c>
      <c r="L938">
        <f t="shared" si="14"/>
        <v>24471.63</v>
      </c>
    </row>
    <row r="939" spans="1:12" x14ac:dyDescent="0.3">
      <c r="A939" t="s">
        <v>2656</v>
      </c>
      <c r="B939" t="s">
        <v>1234</v>
      </c>
      <c r="C939" t="s">
        <v>2585</v>
      </c>
      <c r="D939" t="s">
        <v>375</v>
      </c>
      <c r="E939" t="s">
        <v>25</v>
      </c>
      <c r="F939" t="s">
        <v>17</v>
      </c>
      <c r="G939" t="s">
        <v>35</v>
      </c>
      <c r="H939">
        <v>3</v>
      </c>
      <c r="I939">
        <v>2821.51</v>
      </c>
      <c r="J939" t="s">
        <v>42</v>
      </c>
      <c r="K939" t="s">
        <v>20</v>
      </c>
      <c r="L939">
        <f t="shared" si="14"/>
        <v>8464.5300000000007</v>
      </c>
    </row>
    <row r="940" spans="1:12" x14ac:dyDescent="0.3">
      <c r="A940" t="s">
        <v>2657</v>
      </c>
      <c r="B940" t="s">
        <v>2460</v>
      </c>
      <c r="C940" t="s">
        <v>1991</v>
      </c>
      <c r="D940" t="s">
        <v>1050</v>
      </c>
      <c r="E940" t="s">
        <v>56</v>
      </c>
      <c r="F940" t="s">
        <v>48</v>
      </c>
      <c r="G940" t="s">
        <v>49</v>
      </c>
      <c r="H940">
        <v>2</v>
      </c>
      <c r="I940">
        <v>4470.8</v>
      </c>
      <c r="J940" t="s">
        <v>50</v>
      </c>
      <c r="K940" t="s">
        <v>51</v>
      </c>
      <c r="L940">
        <f t="shared" si="14"/>
        <v>8941.6</v>
      </c>
    </row>
    <row r="941" spans="1:12" x14ac:dyDescent="0.3">
      <c r="A941" t="s">
        <v>2658</v>
      </c>
      <c r="B941" t="s">
        <v>2525</v>
      </c>
      <c r="C941" t="s">
        <v>1354</v>
      </c>
      <c r="D941" t="s">
        <v>224</v>
      </c>
      <c r="E941" t="s">
        <v>62</v>
      </c>
      <c r="F941" t="s">
        <v>48</v>
      </c>
      <c r="G941" t="s">
        <v>49</v>
      </c>
      <c r="H941">
        <v>8</v>
      </c>
      <c r="I941">
        <v>4483.8100000000004</v>
      </c>
      <c r="J941" t="s">
        <v>19</v>
      </c>
      <c r="K941" t="s">
        <v>83</v>
      </c>
      <c r="L941">
        <f t="shared" si="14"/>
        <v>35870.480000000003</v>
      </c>
    </row>
    <row r="942" spans="1:12" x14ac:dyDescent="0.3">
      <c r="A942" t="s">
        <v>2659</v>
      </c>
      <c r="B942" t="s">
        <v>1280</v>
      </c>
      <c r="C942" t="s">
        <v>1154</v>
      </c>
      <c r="D942" t="s">
        <v>2660</v>
      </c>
      <c r="E942" t="s">
        <v>34</v>
      </c>
      <c r="F942" t="s">
        <v>17</v>
      </c>
      <c r="G942" t="s">
        <v>41</v>
      </c>
      <c r="H942">
        <v>9</v>
      </c>
      <c r="I942">
        <v>4994.53</v>
      </c>
      <c r="J942" t="s">
        <v>42</v>
      </c>
      <c r="K942" t="s">
        <v>20</v>
      </c>
      <c r="L942">
        <f t="shared" si="14"/>
        <v>44950.77</v>
      </c>
    </row>
    <row r="943" spans="1:12" x14ac:dyDescent="0.3">
      <c r="A943" t="s">
        <v>2661</v>
      </c>
      <c r="B943" t="s">
        <v>794</v>
      </c>
      <c r="C943" t="s">
        <v>1664</v>
      </c>
      <c r="D943" t="s">
        <v>2389</v>
      </c>
      <c r="E943" t="s">
        <v>16</v>
      </c>
      <c r="F943" t="s">
        <v>26</v>
      </c>
      <c r="G943" t="s">
        <v>166</v>
      </c>
      <c r="H943">
        <v>1</v>
      </c>
      <c r="I943">
        <v>4264.5600000000004</v>
      </c>
      <c r="J943" t="s">
        <v>50</v>
      </c>
      <c r="K943" t="s">
        <v>36</v>
      </c>
      <c r="L943">
        <f t="shared" si="14"/>
        <v>4264.5600000000004</v>
      </c>
    </row>
    <row r="944" spans="1:12" x14ac:dyDescent="0.3">
      <c r="A944" t="s">
        <v>2662</v>
      </c>
      <c r="B944" t="s">
        <v>254</v>
      </c>
      <c r="C944" t="s">
        <v>348</v>
      </c>
      <c r="D944" t="s">
        <v>1992</v>
      </c>
      <c r="E944" t="s">
        <v>128</v>
      </c>
      <c r="F944" t="s">
        <v>77</v>
      </c>
      <c r="G944" t="s">
        <v>78</v>
      </c>
      <c r="H944">
        <v>3</v>
      </c>
      <c r="I944">
        <v>4592.92</v>
      </c>
      <c r="J944" t="s">
        <v>50</v>
      </c>
      <c r="K944" t="s">
        <v>83</v>
      </c>
      <c r="L944">
        <f t="shared" si="14"/>
        <v>13778.76</v>
      </c>
    </row>
    <row r="945" spans="1:12" x14ac:dyDescent="0.3">
      <c r="A945" t="s">
        <v>2663</v>
      </c>
      <c r="B945" t="s">
        <v>1645</v>
      </c>
      <c r="C945" t="s">
        <v>2229</v>
      </c>
      <c r="D945" t="s">
        <v>2237</v>
      </c>
      <c r="E945" t="s">
        <v>128</v>
      </c>
      <c r="F945" t="s">
        <v>26</v>
      </c>
      <c r="G945" t="s">
        <v>166</v>
      </c>
      <c r="H945">
        <v>8</v>
      </c>
      <c r="I945">
        <v>1248.24</v>
      </c>
      <c r="J945" t="s">
        <v>50</v>
      </c>
      <c r="K945" t="s">
        <v>43</v>
      </c>
      <c r="L945">
        <f t="shared" si="14"/>
        <v>9985.92</v>
      </c>
    </row>
    <row r="946" spans="1:12" x14ac:dyDescent="0.3">
      <c r="A946" t="s">
        <v>2664</v>
      </c>
      <c r="B946" t="s">
        <v>2665</v>
      </c>
      <c r="C946" t="s">
        <v>2666</v>
      </c>
      <c r="D946" t="s">
        <v>399</v>
      </c>
      <c r="E946" t="s">
        <v>16</v>
      </c>
      <c r="F946" t="s">
        <v>77</v>
      </c>
      <c r="G946" t="s">
        <v>171</v>
      </c>
      <c r="H946">
        <v>8</v>
      </c>
      <c r="I946">
        <v>4627.26</v>
      </c>
      <c r="J946" t="s">
        <v>50</v>
      </c>
      <c r="K946" t="s">
        <v>83</v>
      </c>
      <c r="L946">
        <f t="shared" si="14"/>
        <v>37018.080000000002</v>
      </c>
    </row>
    <row r="947" spans="1:12" x14ac:dyDescent="0.3">
      <c r="A947" t="s">
        <v>2667</v>
      </c>
      <c r="B947" t="s">
        <v>1222</v>
      </c>
      <c r="C947" t="s">
        <v>2668</v>
      </c>
      <c r="D947" t="s">
        <v>2669</v>
      </c>
      <c r="E947" t="s">
        <v>25</v>
      </c>
      <c r="F947" t="s">
        <v>77</v>
      </c>
      <c r="G947" t="s">
        <v>265</v>
      </c>
      <c r="H947">
        <v>3</v>
      </c>
      <c r="I947">
        <v>1975.56</v>
      </c>
      <c r="J947" t="s">
        <v>19</v>
      </c>
      <c r="K947" t="s">
        <v>83</v>
      </c>
      <c r="L947">
        <f t="shared" si="14"/>
        <v>5926.68</v>
      </c>
    </row>
    <row r="948" spans="1:12" x14ac:dyDescent="0.3">
      <c r="A948" t="s">
        <v>2670</v>
      </c>
      <c r="B948" t="s">
        <v>1626</v>
      </c>
      <c r="C948" t="s">
        <v>2450</v>
      </c>
      <c r="D948" t="s">
        <v>1496</v>
      </c>
      <c r="E948" t="s">
        <v>95</v>
      </c>
      <c r="F948" t="s">
        <v>26</v>
      </c>
      <c r="G948" t="s">
        <v>296</v>
      </c>
      <c r="H948">
        <v>4</v>
      </c>
      <c r="I948">
        <v>3588.63</v>
      </c>
      <c r="J948" t="s">
        <v>50</v>
      </c>
      <c r="K948" t="s">
        <v>20</v>
      </c>
      <c r="L948">
        <f t="shared" si="14"/>
        <v>14354.52</v>
      </c>
    </row>
    <row r="949" spans="1:12" x14ac:dyDescent="0.3">
      <c r="A949" t="s">
        <v>2671</v>
      </c>
      <c r="B949" t="s">
        <v>1981</v>
      </c>
      <c r="C949" t="s">
        <v>2033</v>
      </c>
      <c r="D949" t="s">
        <v>1595</v>
      </c>
      <c r="E949" t="s">
        <v>56</v>
      </c>
      <c r="F949" t="s">
        <v>48</v>
      </c>
      <c r="G949" t="s">
        <v>57</v>
      </c>
      <c r="H949">
        <v>9</v>
      </c>
      <c r="I949">
        <v>600.04</v>
      </c>
      <c r="J949" t="s">
        <v>42</v>
      </c>
      <c r="K949" t="s">
        <v>36</v>
      </c>
      <c r="L949">
        <f t="shared" si="14"/>
        <v>5400.36</v>
      </c>
    </row>
    <row r="950" spans="1:12" x14ac:dyDescent="0.3">
      <c r="A950" t="s">
        <v>2672</v>
      </c>
      <c r="B950" t="s">
        <v>59</v>
      </c>
      <c r="C950" t="s">
        <v>943</v>
      </c>
      <c r="D950" t="s">
        <v>1263</v>
      </c>
      <c r="E950" t="s">
        <v>25</v>
      </c>
      <c r="F950" t="s">
        <v>17</v>
      </c>
      <c r="G950" t="s">
        <v>188</v>
      </c>
      <c r="H950">
        <v>7</v>
      </c>
      <c r="I950">
        <v>3817.26</v>
      </c>
      <c r="J950" t="s">
        <v>42</v>
      </c>
      <c r="K950" t="s">
        <v>29</v>
      </c>
      <c r="L950">
        <f t="shared" si="14"/>
        <v>26720.82</v>
      </c>
    </row>
    <row r="951" spans="1:12" x14ac:dyDescent="0.3">
      <c r="A951" t="s">
        <v>2673</v>
      </c>
      <c r="B951" t="s">
        <v>1384</v>
      </c>
      <c r="C951" t="s">
        <v>1399</v>
      </c>
      <c r="D951" t="s">
        <v>2476</v>
      </c>
      <c r="E951" t="s">
        <v>62</v>
      </c>
      <c r="F951" t="s">
        <v>77</v>
      </c>
      <c r="G951" t="s">
        <v>123</v>
      </c>
      <c r="H951">
        <v>10</v>
      </c>
      <c r="I951">
        <v>1678.64</v>
      </c>
      <c r="J951" t="s">
        <v>19</v>
      </c>
      <c r="K951" t="s">
        <v>83</v>
      </c>
      <c r="L951">
        <f t="shared" si="14"/>
        <v>16786.400000000001</v>
      </c>
    </row>
    <row r="952" spans="1:12" x14ac:dyDescent="0.3">
      <c r="A952" t="s">
        <v>2674</v>
      </c>
      <c r="B952" t="s">
        <v>568</v>
      </c>
      <c r="C952" t="s">
        <v>2675</v>
      </c>
      <c r="D952" t="s">
        <v>1693</v>
      </c>
      <c r="E952" t="s">
        <v>104</v>
      </c>
      <c r="F952" t="s">
        <v>48</v>
      </c>
      <c r="G952" t="s">
        <v>49</v>
      </c>
      <c r="H952">
        <v>8</v>
      </c>
      <c r="I952">
        <v>3362.96</v>
      </c>
      <c r="J952" t="s">
        <v>42</v>
      </c>
      <c r="K952" t="s">
        <v>29</v>
      </c>
      <c r="L952">
        <f t="shared" si="14"/>
        <v>26903.68</v>
      </c>
    </row>
    <row r="953" spans="1:12" x14ac:dyDescent="0.3">
      <c r="A953" t="s">
        <v>2676</v>
      </c>
      <c r="B953" t="s">
        <v>1653</v>
      </c>
      <c r="C953" t="s">
        <v>2223</v>
      </c>
      <c r="D953" t="s">
        <v>906</v>
      </c>
      <c r="E953" t="s">
        <v>62</v>
      </c>
      <c r="F953" t="s">
        <v>48</v>
      </c>
      <c r="G953" t="s">
        <v>49</v>
      </c>
      <c r="H953">
        <v>3</v>
      </c>
      <c r="I953">
        <v>350.93</v>
      </c>
      <c r="J953" t="s">
        <v>50</v>
      </c>
      <c r="K953" t="s">
        <v>36</v>
      </c>
      <c r="L953">
        <f t="shared" si="14"/>
        <v>1052.79</v>
      </c>
    </row>
    <row r="954" spans="1:12" x14ac:dyDescent="0.3">
      <c r="A954" t="s">
        <v>2677</v>
      </c>
      <c r="B954" t="s">
        <v>738</v>
      </c>
      <c r="C954" t="s">
        <v>1154</v>
      </c>
      <c r="D954" t="s">
        <v>2007</v>
      </c>
      <c r="E954" t="s">
        <v>16</v>
      </c>
      <c r="F954" t="s">
        <v>48</v>
      </c>
      <c r="G954" t="s">
        <v>179</v>
      </c>
      <c r="H954">
        <v>3</v>
      </c>
      <c r="I954">
        <v>3916.21</v>
      </c>
      <c r="J954" t="s">
        <v>28</v>
      </c>
      <c r="K954" t="s">
        <v>43</v>
      </c>
      <c r="L954">
        <f t="shared" si="14"/>
        <v>11748.630000000001</v>
      </c>
    </row>
    <row r="955" spans="1:12" x14ac:dyDescent="0.3">
      <c r="A955" t="s">
        <v>2678</v>
      </c>
      <c r="B955" t="s">
        <v>1097</v>
      </c>
      <c r="C955" t="s">
        <v>2679</v>
      </c>
      <c r="D955" t="s">
        <v>573</v>
      </c>
      <c r="E955" t="s">
        <v>16</v>
      </c>
      <c r="F955" t="s">
        <v>26</v>
      </c>
      <c r="G955" t="s">
        <v>27</v>
      </c>
      <c r="H955">
        <v>4</v>
      </c>
      <c r="I955">
        <v>312.57</v>
      </c>
      <c r="J955" t="s">
        <v>19</v>
      </c>
      <c r="K955" t="s">
        <v>36</v>
      </c>
      <c r="L955">
        <f t="shared" si="14"/>
        <v>1250.28</v>
      </c>
    </row>
    <row r="956" spans="1:12" x14ac:dyDescent="0.3">
      <c r="A956" t="s">
        <v>2680</v>
      </c>
      <c r="B956" t="s">
        <v>1650</v>
      </c>
      <c r="C956" t="s">
        <v>2681</v>
      </c>
      <c r="D956" t="s">
        <v>922</v>
      </c>
      <c r="E956" t="s">
        <v>25</v>
      </c>
      <c r="F956" t="s">
        <v>17</v>
      </c>
      <c r="G956" t="s">
        <v>35</v>
      </c>
      <c r="H956">
        <v>2</v>
      </c>
      <c r="I956">
        <v>1612.02</v>
      </c>
      <c r="J956" t="s">
        <v>50</v>
      </c>
      <c r="K956" t="s">
        <v>36</v>
      </c>
      <c r="L956">
        <f t="shared" si="14"/>
        <v>3224.04</v>
      </c>
    </row>
    <row r="957" spans="1:12" x14ac:dyDescent="0.3">
      <c r="A957" t="s">
        <v>2682</v>
      </c>
      <c r="B957" t="s">
        <v>1759</v>
      </c>
      <c r="C957" t="s">
        <v>215</v>
      </c>
      <c r="D957" t="s">
        <v>766</v>
      </c>
      <c r="E957" t="s">
        <v>62</v>
      </c>
      <c r="F957" t="s">
        <v>48</v>
      </c>
      <c r="G957" t="s">
        <v>49</v>
      </c>
      <c r="H957">
        <v>3</v>
      </c>
      <c r="I957">
        <v>2169.9699999999998</v>
      </c>
      <c r="J957" t="s">
        <v>28</v>
      </c>
      <c r="K957" t="s">
        <v>36</v>
      </c>
      <c r="L957">
        <f t="shared" si="14"/>
        <v>6509.91</v>
      </c>
    </row>
    <row r="958" spans="1:12" x14ac:dyDescent="0.3">
      <c r="A958" t="s">
        <v>2683</v>
      </c>
      <c r="B958" t="s">
        <v>2486</v>
      </c>
      <c r="C958" t="s">
        <v>1787</v>
      </c>
      <c r="D958" t="s">
        <v>1827</v>
      </c>
      <c r="E958" t="s">
        <v>104</v>
      </c>
      <c r="F958" t="s">
        <v>26</v>
      </c>
      <c r="G958" t="s">
        <v>27</v>
      </c>
      <c r="H958">
        <v>7</v>
      </c>
      <c r="I958">
        <v>2649.27</v>
      </c>
      <c r="J958" t="s">
        <v>19</v>
      </c>
      <c r="K958" t="s">
        <v>36</v>
      </c>
      <c r="L958">
        <f t="shared" si="14"/>
        <v>18544.89</v>
      </c>
    </row>
    <row r="959" spans="1:12" x14ac:dyDescent="0.3">
      <c r="A959" t="s">
        <v>2684</v>
      </c>
      <c r="B959" t="s">
        <v>2685</v>
      </c>
      <c r="C959" t="s">
        <v>2686</v>
      </c>
      <c r="D959" t="s">
        <v>2687</v>
      </c>
      <c r="E959" t="s">
        <v>56</v>
      </c>
      <c r="F959" t="s">
        <v>26</v>
      </c>
      <c r="G959" t="s">
        <v>27</v>
      </c>
      <c r="H959">
        <v>2</v>
      </c>
      <c r="I959">
        <v>1543.26</v>
      </c>
      <c r="J959" t="s">
        <v>28</v>
      </c>
      <c r="K959" t="s">
        <v>36</v>
      </c>
      <c r="L959">
        <f t="shared" si="14"/>
        <v>3086.52</v>
      </c>
    </row>
    <row r="960" spans="1:12" x14ac:dyDescent="0.3">
      <c r="A960" t="s">
        <v>2688</v>
      </c>
      <c r="B960" t="s">
        <v>1093</v>
      </c>
      <c r="C960" t="s">
        <v>1542</v>
      </c>
      <c r="D960" t="s">
        <v>2689</v>
      </c>
      <c r="E960" t="s">
        <v>104</v>
      </c>
      <c r="F960" t="s">
        <v>48</v>
      </c>
      <c r="G960" t="s">
        <v>179</v>
      </c>
      <c r="H960">
        <v>7</v>
      </c>
      <c r="I960">
        <v>185.18</v>
      </c>
      <c r="J960" t="s">
        <v>50</v>
      </c>
      <c r="K960" t="s">
        <v>51</v>
      </c>
      <c r="L960">
        <f t="shared" si="14"/>
        <v>1296.26</v>
      </c>
    </row>
    <row r="961" spans="1:12" x14ac:dyDescent="0.3">
      <c r="A961" t="s">
        <v>2690</v>
      </c>
      <c r="B961" t="s">
        <v>2595</v>
      </c>
      <c r="C961" t="s">
        <v>2691</v>
      </c>
      <c r="D961" t="s">
        <v>2692</v>
      </c>
      <c r="E961" t="s">
        <v>104</v>
      </c>
      <c r="F961" t="s">
        <v>77</v>
      </c>
      <c r="G961" t="s">
        <v>105</v>
      </c>
      <c r="H961">
        <v>10</v>
      </c>
      <c r="I961">
        <v>4997.75</v>
      </c>
      <c r="J961" t="s">
        <v>19</v>
      </c>
      <c r="K961" t="s">
        <v>36</v>
      </c>
      <c r="L961">
        <f t="shared" si="14"/>
        <v>49977.5</v>
      </c>
    </row>
    <row r="962" spans="1:12" x14ac:dyDescent="0.3">
      <c r="A962" t="s">
        <v>2693</v>
      </c>
      <c r="B962" t="s">
        <v>1730</v>
      </c>
      <c r="C962" t="s">
        <v>1324</v>
      </c>
      <c r="D962" t="s">
        <v>2689</v>
      </c>
      <c r="E962" t="s">
        <v>56</v>
      </c>
      <c r="F962" t="s">
        <v>17</v>
      </c>
      <c r="G962" t="s">
        <v>18</v>
      </c>
      <c r="H962">
        <v>8</v>
      </c>
      <c r="I962">
        <v>1185.81</v>
      </c>
      <c r="J962" t="s">
        <v>19</v>
      </c>
      <c r="K962" t="s">
        <v>83</v>
      </c>
      <c r="L962">
        <f t="shared" si="14"/>
        <v>9486.48</v>
      </c>
    </row>
    <row r="963" spans="1:12" x14ac:dyDescent="0.3">
      <c r="A963" t="s">
        <v>2694</v>
      </c>
      <c r="B963" t="s">
        <v>117</v>
      </c>
      <c r="C963" t="s">
        <v>837</v>
      </c>
      <c r="D963" t="s">
        <v>2015</v>
      </c>
      <c r="E963" t="s">
        <v>16</v>
      </c>
      <c r="F963" t="s">
        <v>48</v>
      </c>
      <c r="G963" t="s">
        <v>179</v>
      </c>
      <c r="H963">
        <v>9</v>
      </c>
      <c r="I963">
        <v>2503.25</v>
      </c>
      <c r="J963" t="s">
        <v>50</v>
      </c>
      <c r="K963" t="s">
        <v>29</v>
      </c>
      <c r="L963">
        <f t="shared" ref="L963:L1001" si="15">H963*I963</f>
        <v>22529.25</v>
      </c>
    </row>
    <row r="964" spans="1:12" x14ac:dyDescent="0.3">
      <c r="A964" t="s">
        <v>2695</v>
      </c>
      <c r="B964" t="s">
        <v>2696</v>
      </c>
      <c r="C964" t="s">
        <v>2420</v>
      </c>
      <c r="D964" t="s">
        <v>2697</v>
      </c>
      <c r="E964" t="s">
        <v>95</v>
      </c>
      <c r="F964" t="s">
        <v>77</v>
      </c>
      <c r="G964" t="s">
        <v>78</v>
      </c>
      <c r="H964">
        <v>8</v>
      </c>
      <c r="I964">
        <v>2562.5500000000002</v>
      </c>
      <c r="J964" t="s">
        <v>42</v>
      </c>
      <c r="K964" t="s">
        <v>51</v>
      </c>
      <c r="L964">
        <f t="shared" si="15"/>
        <v>20500.400000000001</v>
      </c>
    </row>
    <row r="965" spans="1:12" x14ac:dyDescent="0.3">
      <c r="A965" t="s">
        <v>2698</v>
      </c>
      <c r="B965" t="s">
        <v>630</v>
      </c>
      <c r="C965" t="s">
        <v>2699</v>
      </c>
      <c r="D965" t="s">
        <v>345</v>
      </c>
      <c r="E965" t="s">
        <v>104</v>
      </c>
      <c r="F965" t="s">
        <v>17</v>
      </c>
      <c r="G965" t="s">
        <v>68</v>
      </c>
      <c r="H965">
        <v>8</v>
      </c>
      <c r="I965">
        <v>4245.08</v>
      </c>
      <c r="J965" t="s">
        <v>42</v>
      </c>
      <c r="K965" t="s">
        <v>51</v>
      </c>
      <c r="L965">
        <f t="shared" si="15"/>
        <v>33960.639999999999</v>
      </c>
    </row>
    <row r="966" spans="1:12" x14ac:dyDescent="0.3">
      <c r="A966" t="s">
        <v>2700</v>
      </c>
      <c r="B966" t="s">
        <v>197</v>
      </c>
      <c r="C966" t="s">
        <v>2701</v>
      </c>
      <c r="D966" t="s">
        <v>2702</v>
      </c>
      <c r="E966" t="s">
        <v>25</v>
      </c>
      <c r="F966" t="s">
        <v>17</v>
      </c>
      <c r="G966" t="s">
        <v>18</v>
      </c>
      <c r="H966">
        <v>1</v>
      </c>
      <c r="I966">
        <v>3538.36</v>
      </c>
      <c r="J966" t="s">
        <v>19</v>
      </c>
      <c r="K966" t="s">
        <v>51</v>
      </c>
      <c r="L966">
        <f t="shared" si="15"/>
        <v>3538.36</v>
      </c>
    </row>
    <row r="967" spans="1:12" x14ac:dyDescent="0.3">
      <c r="A967" t="s">
        <v>2703</v>
      </c>
      <c r="B967" t="s">
        <v>1437</v>
      </c>
      <c r="C967" t="s">
        <v>1598</v>
      </c>
      <c r="D967" t="s">
        <v>2704</v>
      </c>
      <c r="E967" t="s">
        <v>25</v>
      </c>
      <c r="F967" t="s">
        <v>77</v>
      </c>
      <c r="G967" t="s">
        <v>265</v>
      </c>
      <c r="H967">
        <v>9</v>
      </c>
      <c r="I967">
        <v>4621.58</v>
      </c>
      <c r="J967" t="s">
        <v>19</v>
      </c>
      <c r="K967" t="s">
        <v>29</v>
      </c>
      <c r="L967">
        <f t="shared" si="15"/>
        <v>41594.22</v>
      </c>
    </row>
    <row r="968" spans="1:12" x14ac:dyDescent="0.3">
      <c r="A968" t="s">
        <v>2705</v>
      </c>
      <c r="B968" t="s">
        <v>1552</v>
      </c>
      <c r="C968" t="s">
        <v>2061</v>
      </c>
      <c r="D968" t="s">
        <v>1145</v>
      </c>
      <c r="E968" t="s">
        <v>25</v>
      </c>
      <c r="F968" t="s">
        <v>77</v>
      </c>
      <c r="G968" t="s">
        <v>265</v>
      </c>
      <c r="H968">
        <v>10</v>
      </c>
      <c r="I968">
        <v>1544.53</v>
      </c>
      <c r="J968" t="s">
        <v>28</v>
      </c>
      <c r="K968" t="s">
        <v>29</v>
      </c>
      <c r="L968">
        <f t="shared" si="15"/>
        <v>15445.3</v>
      </c>
    </row>
    <row r="969" spans="1:12" x14ac:dyDescent="0.3">
      <c r="A969" t="s">
        <v>2706</v>
      </c>
      <c r="B969" t="s">
        <v>313</v>
      </c>
      <c r="C969" t="s">
        <v>2707</v>
      </c>
      <c r="D969" t="s">
        <v>1124</v>
      </c>
      <c r="E969" t="s">
        <v>104</v>
      </c>
      <c r="F969" t="s">
        <v>48</v>
      </c>
      <c r="G969" t="s">
        <v>49</v>
      </c>
      <c r="H969">
        <v>9</v>
      </c>
      <c r="I969">
        <v>4009.54</v>
      </c>
      <c r="J969" t="s">
        <v>42</v>
      </c>
      <c r="K969" t="s">
        <v>51</v>
      </c>
      <c r="L969">
        <f t="shared" si="15"/>
        <v>36085.86</v>
      </c>
    </row>
    <row r="970" spans="1:12" x14ac:dyDescent="0.3">
      <c r="A970" t="s">
        <v>2708</v>
      </c>
      <c r="B970" t="s">
        <v>1790</v>
      </c>
      <c r="C970" t="s">
        <v>2709</v>
      </c>
      <c r="D970" t="s">
        <v>1658</v>
      </c>
      <c r="E970" t="s">
        <v>95</v>
      </c>
      <c r="F970" t="s">
        <v>77</v>
      </c>
      <c r="G970" t="s">
        <v>78</v>
      </c>
      <c r="H970">
        <v>5</v>
      </c>
      <c r="I970">
        <v>3759.55</v>
      </c>
      <c r="J970" t="s">
        <v>50</v>
      </c>
      <c r="K970" t="s">
        <v>20</v>
      </c>
      <c r="L970">
        <f t="shared" si="15"/>
        <v>18797.75</v>
      </c>
    </row>
    <row r="971" spans="1:12" x14ac:dyDescent="0.3">
      <c r="A971" t="s">
        <v>2710</v>
      </c>
      <c r="B971" t="s">
        <v>893</v>
      </c>
      <c r="C971" t="s">
        <v>1111</v>
      </c>
      <c r="D971" t="s">
        <v>2711</v>
      </c>
      <c r="E971" t="s">
        <v>62</v>
      </c>
      <c r="F971" t="s">
        <v>26</v>
      </c>
      <c r="G971" t="s">
        <v>27</v>
      </c>
      <c r="H971">
        <v>7</v>
      </c>
      <c r="I971">
        <v>3506.08</v>
      </c>
      <c r="J971" t="s">
        <v>50</v>
      </c>
      <c r="K971" t="s">
        <v>43</v>
      </c>
      <c r="L971">
        <f t="shared" si="15"/>
        <v>24542.559999999998</v>
      </c>
    </row>
    <row r="972" spans="1:12" x14ac:dyDescent="0.3">
      <c r="A972" t="s">
        <v>2712</v>
      </c>
      <c r="B972" t="s">
        <v>1290</v>
      </c>
      <c r="C972" t="s">
        <v>1855</v>
      </c>
      <c r="D972" t="s">
        <v>2312</v>
      </c>
      <c r="E972" t="s">
        <v>128</v>
      </c>
      <c r="F972" t="s">
        <v>77</v>
      </c>
      <c r="G972" t="s">
        <v>265</v>
      </c>
      <c r="H972">
        <v>7</v>
      </c>
      <c r="I972">
        <v>956.73</v>
      </c>
      <c r="J972" t="s">
        <v>19</v>
      </c>
      <c r="K972" t="s">
        <v>83</v>
      </c>
      <c r="L972">
        <f t="shared" si="15"/>
        <v>6697.1100000000006</v>
      </c>
    </row>
    <row r="973" spans="1:12" x14ac:dyDescent="0.3">
      <c r="A973" t="s">
        <v>2713</v>
      </c>
      <c r="B973" t="s">
        <v>2197</v>
      </c>
      <c r="C973" t="s">
        <v>1568</v>
      </c>
      <c r="D973" t="s">
        <v>1013</v>
      </c>
      <c r="E973" t="s">
        <v>104</v>
      </c>
      <c r="F973" t="s">
        <v>48</v>
      </c>
      <c r="G973" t="s">
        <v>49</v>
      </c>
      <c r="H973">
        <v>8</v>
      </c>
      <c r="I973">
        <v>2592.39</v>
      </c>
      <c r="J973" t="s">
        <v>19</v>
      </c>
      <c r="K973" t="s">
        <v>20</v>
      </c>
      <c r="L973">
        <f t="shared" si="15"/>
        <v>20739.12</v>
      </c>
    </row>
    <row r="974" spans="1:12" x14ac:dyDescent="0.3">
      <c r="A974" t="s">
        <v>2714</v>
      </c>
      <c r="B974" t="s">
        <v>1686</v>
      </c>
      <c r="C974" t="s">
        <v>874</v>
      </c>
      <c r="D974" t="s">
        <v>2490</v>
      </c>
      <c r="E974" t="s">
        <v>56</v>
      </c>
      <c r="F974" t="s">
        <v>77</v>
      </c>
      <c r="G974" t="s">
        <v>265</v>
      </c>
      <c r="H974">
        <v>1</v>
      </c>
      <c r="I974">
        <v>2723.65</v>
      </c>
      <c r="J974" t="s">
        <v>42</v>
      </c>
      <c r="K974" t="s">
        <v>51</v>
      </c>
      <c r="L974">
        <f t="shared" si="15"/>
        <v>2723.65</v>
      </c>
    </row>
    <row r="975" spans="1:12" x14ac:dyDescent="0.3">
      <c r="A975" t="s">
        <v>2715</v>
      </c>
      <c r="B975" t="s">
        <v>2336</v>
      </c>
      <c r="C975" t="s">
        <v>2050</v>
      </c>
      <c r="D975" t="s">
        <v>2716</v>
      </c>
      <c r="E975" t="s">
        <v>95</v>
      </c>
      <c r="F975" t="s">
        <v>17</v>
      </c>
      <c r="G975" t="s">
        <v>18</v>
      </c>
      <c r="H975">
        <v>4</v>
      </c>
      <c r="I975">
        <v>3625.06</v>
      </c>
      <c r="J975" t="s">
        <v>42</v>
      </c>
      <c r="K975" t="s">
        <v>20</v>
      </c>
      <c r="L975">
        <f t="shared" si="15"/>
        <v>14500.24</v>
      </c>
    </row>
    <row r="976" spans="1:12" x14ac:dyDescent="0.3">
      <c r="A976" t="s">
        <v>2717</v>
      </c>
      <c r="B976" t="s">
        <v>197</v>
      </c>
      <c r="C976" t="s">
        <v>2236</v>
      </c>
      <c r="D976" t="s">
        <v>1085</v>
      </c>
      <c r="E976" t="s">
        <v>95</v>
      </c>
      <c r="F976" t="s">
        <v>48</v>
      </c>
      <c r="G976" t="s">
        <v>63</v>
      </c>
      <c r="H976">
        <v>1</v>
      </c>
      <c r="I976">
        <v>3046.43</v>
      </c>
      <c r="J976" t="s">
        <v>50</v>
      </c>
      <c r="K976" t="s">
        <v>43</v>
      </c>
      <c r="L976">
        <f t="shared" si="15"/>
        <v>3046.43</v>
      </c>
    </row>
    <row r="977" spans="1:12" x14ac:dyDescent="0.3">
      <c r="A977" t="s">
        <v>2718</v>
      </c>
      <c r="B977" t="s">
        <v>2719</v>
      </c>
      <c r="C977" t="s">
        <v>614</v>
      </c>
      <c r="D977" t="s">
        <v>2259</v>
      </c>
      <c r="E977" t="s">
        <v>56</v>
      </c>
      <c r="F977" t="s">
        <v>26</v>
      </c>
      <c r="G977" t="s">
        <v>27</v>
      </c>
      <c r="H977">
        <v>1</v>
      </c>
      <c r="I977">
        <v>2541.0100000000002</v>
      </c>
      <c r="J977" t="s">
        <v>50</v>
      </c>
      <c r="K977" t="s">
        <v>20</v>
      </c>
      <c r="L977">
        <f t="shared" si="15"/>
        <v>2541.0100000000002</v>
      </c>
    </row>
    <row r="978" spans="1:12" x14ac:dyDescent="0.3">
      <c r="A978" t="s">
        <v>2720</v>
      </c>
      <c r="B978" t="s">
        <v>1753</v>
      </c>
      <c r="C978" t="s">
        <v>2721</v>
      </c>
      <c r="D978" t="s">
        <v>2669</v>
      </c>
      <c r="E978" t="s">
        <v>95</v>
      </c>
      <c r="F978" t="s">
        <v>17</v>
      </c>
      <c r="G978" t="s">
        <v>188</v>
      </c>
      <c r="H978">
        <v>10</v>
      </c>
      <c r="I978">
        <v>3810.82</v>
      </c>
      <c r="J978" t="s">
        <v>28</v>
      </c>
      <c r="K978" t="s">
        <v>83</v>
      </c>
      <c r="L978">
        <f t="shared" si="15"/>
        <v>38108.200000000004</v>
      </c>
    </row>
    <row r="979" spans="1:12" x14ac:dyDescent="0.3">
      <c r="A979" t="s">
        <v>2722</v>
      </c>
      <c r="B979" t="s">
        <v>564</v>
      </c>
      <c r="C979" t="s">
        <v>2723</v>
      </c>
      <c r="D979" t="s">
        <v>379</v>
      </c>
      <c r="E979" t="s">
        <v>25</v>
      </c>
      <c r="F979" t="s">
        <v>77</v>
      </c>
      <c r="G979" t="s">
        <v>171</v>
      </c>
      <c r="H979">
        <v>9</v>
      </c>
      <c r="I979">
        <v>1643.41</v>
      </c>
      <c r="J979" t="s">
        <v>42</v>
      </c>
      <c r="K979" t="s">
        <v>20</v>
      </c>
      <c r="L979">
        <f t="shared" si="15"/>
        <v>14790.69</v>
      </c>
    </row>
    <row r="980" spans="1:12" x14ac:dyDescent="0.3">
      <c r="A980" t="s">
        <v>2724</v>
      </c>
      <c r="B980" t="s">
        <v>38</v>
      </c>
      <c r="C980" t="s">
        <v>817</v>
      </c>
      <c r="D980" t="s">
        <v>1493</v>
      </c>
      <c r="E980" t="s">
        <v>25</v>
      </c>
      <c r="F980" t="s">
        <v>26</v>
      </c>
      <c r="G980" t="s">
        <v>166</v>
      </c>
      <c r="H980">
        <v>9</v>
      </c>
      <c r="I980">
        <v>931.91</v>
      </c>
      <c r="J980" t="s">
        <v>28</v>
      </c>
      <c r="K980" t="s">
        <v>29</v>
      </c>
      <c r="L980">
        <f t="shared" si="15"/>
        <v>8387.19</v>
      </c>
    </row>
    <row r="981" spans="1:12" x14ac:dyDescent="0.3">
      <c r="A981" t="s">
        <v>2725</v>
      </c>
      <c r="B981" t="s">
        <v>898</v>
      </c>
      <c r="C981" t="s">
        <v>1681</v>
      </c>
      <c r="D981" t="s">
        <v>1435</v>
      </c>
      <c r="E981" t="s">
        <v>95</v>
      </c>
      <c r="F981" t="s">
        <v>77</v>
      </c>
      <c r="G981" t="s">
        <v>105</v>
      </c>
      <c r="H981">
        <v>9</v>
      </c>
      <c r="I981">
        <v>1869.27</v>
      </c>
      <c r="J981" t="s">
        <v>50</v>
      </c>
      <c r="K981" t="s">
        <v>20</v>
      </c>
      <c r="L981">
        <f t="shared" si="15"/>
        <v>16823.43</v>
      </c>
    </row>
    <row r="982" spans="1:12" x14ac:dyDescent="0.3">
      <c r="A982" t="s">
        <v>2726</v>
      </c>
      <c r="B982" t="s">
        <v>1261</v>
      </c>
      <c r="C982" t="s">
        <v>337</v>
      </c>
      <c r="D982" t="s">
        <v>1728</v>
      </c>
      <c r="E982" t="s">
        <v>128</v>
      </c>
      <c r="F982" t="s">
        <v>26</v>
      </c>
      <c r="G982" t="s">
        <v>208</v>
      </c>
      <c r="H982">
        <v>5</v>
      </c>
      <c r="I982">
        <v>2627.41</v>
      </c>
      <c r="J982" t="s">
        <v>50</v>
      </c>
      <c r="K982" t="s">
        <v>36</v>
      </c>
      <c r="L982">
        <f t="shared" si="15"/>
        <v>13137.05</v>
      </c>
    </row>
    <row r="983" spans="1:12" x14ac:dyDescent="0.3">
      <c r="A983" t="s">
        <v>2727</v>
      </c>
      <c r="B983" t="s">
        <v>1753</v>
      </c>
      <c r="C983" t="s">
        <v>2055</v>
      </c>
      <c r="D983" t="s">
        <v>2728</v>
      </c>
      <c r="E983" t="s">
        <v>25</v>
      </c>
      <c r="F983" t="s">
        <v>77</v>
      </c>
      <c r="G983" t="s">
        <v>265</v>
      </c>
      <c r="H983">
        <v>2</v>
      </c>
      <c r="I983">
        <v>1609.31</v>
      </c>
      <c r="J983" t="s">
        <v>28</v>
      </c>
      <c r="K983" t="s">
        <v>20</v>
      </c>
      <c r="L983">
        <f t="shared" si="15"/>
        <v>3218.62</v>
      </c>
    </row>
    <row r="984" spans="1:12" x14ac:dyDescent="0.3">
      <c r="A984" t="s">
        <v>2729</v>
      </c>
      <c r="B984" t="s">
        <v>1517</v>
      </c>
      <c r="C984" t="s">
        <v>1154</v>
      </c>
      <c r="D984" t="s">
        <v>666</v>
      </c>
      <c r="E984" t="s">
        <v>104</v>
      </c>
      <c r="F984" t="s">
        <v>48</v>
      </c>
      <c r="G984" t="s">
        <v>49</v>
      </c>
      <c r="H984">
        <v>2</v>
      </c>
      <c r="I984">
        <v>242.79</v>
      </c>
      <c r="J984" t="s">
        <v>19</v>
      </c>
      <c r="K984" t="s">
        <v>83</v>
      </c>
      <c r="L984">
        <f t="shared" si="15"/>
        <v>485.58</v>
      </c>
    </row>
    <row r="985" spans="1:12" x14ac:dyDescent="0.3">
      <c r="A985" t="s">
        <v>2730</v>
      </c>
      <c r="B985" t="s">
        <v>412</v>
      </c>
      <c r="C985" t="s">
        <v>2731</v>
      </c>
      <c r="D985" t="s">
        <v>2732</v>
      </c>
      <c r="E985" t="s">
        <v>62</v>
      </c>
      <c r="F985" t="s">
        <v>17</v>
      </c>
      <c r="G985" t="s">
        <v>18</v>
      </c>
      <c r="H985">
        <v>9</v>
      </c>
      <c r="I985">
        <v>4563.2700000000004</v>
      </c>
      <c r="J985" t="s">
        <v>42</v>
      </c>
      <c r="K985" t="s">
        <v>36</v>
      </c>
      <c r="L985">
        <f t="shared" si="15"/>
        <v>41069.430000000008</v>
      </c>
    </row>
    <row r="986" spans="1:12" x14ac:dyDescent="0.3">
      <c r="A986" t="s">
        <v>2733</v>
      </c>
      <c r="B986" t="s">
        <v>2628</v>
      </c>
      <c r="C986" t="s">
        <v>1542</v>
      </c>
      <c r="D986" t="s">
        <v>1466</v>
      </c>
      <c r="E986" t="s">
        <v>56</v>
      </c>
      <c r="F986" t="s">
        <v>26</v>
      </c>
      <c r="G986" t="s">
        <v>27</v>
      </c>
      <c r="H986">
        <v>4</v>
      </c>
      <c r="I986">
        <v>232.73</v>
      </c>
      <c r="J986" t="s">
        <v>42</v>
      </c>
      <c r="K986" t="s">
        <v>43</v>
      </c>
      <c r="L986">
        <f t="shared" si="15"/>
        <v>930.92</v>
      </c>
    </row>
    <row r="987" spans="1:12" x14ac:dyDescent="0.3">
      <c r="A987" t="s">
        <v>2734</v>
      </c>
      <c r="B987" t="s">
        <v>1680</v>
      </c>
      <c r="C987" t="s">
        <v>2340</v>
      </c>
      <c r="D987" t="s">
        <v>199</v>
      </c>
      <c r="E987" t="s">
        <v>128</v>
      </c>
      <c r="F987" t="s">
        <v>17</v>
      </c>
      <c r="G987" t="s">
        <v>41</v>
      </c>
      <c r="H987">
        <v>10</v>
      </c>
      <c r="I987">
        <v>2895.53</v>
      </c>
      <c r="J987" t="s">
        <v>42</v>
      </c>
      <c r="K987" t="s">
        <v>51</v>
      </c>
      <c r="L987">
        <f t="shared" si="15"/>
        <v>28955.300000000003</v>
      </c>
    </row>
    <row r="988" spans="1:12" x14ac:dyDescent="0.3">
      <c r="A988" t="s">
        <v>2735</v>
      </c>
      <c r="B988" t="s">
        <v>279</v>
      </c>
      <c r="C988" t="s">
        <v>2736</v>
      </c>
      <c r="D988" t="s">
        <v>2566</v>
      </c>
      <c r="E988" t="s">
        <v>16</v>
      </c>
      <c r="F988" t="s">
        <v>17</v>
      </c>
      <c r="G988" t="s">
        <v>188</v>
      </c>
      <c r="H988">
        <v>6</v>
      </c>
      <c r="I988">
        <v>1134.19</v>
      </c>
      <c r="J988" t="s">
        <v>50</v>
      </c>
      <c r="K988" t="s">
        <v>29</v>
      </c>
      <c r="L988">
        <f t="shared" si="15"/>
        <v>6805.14</v>
      </c>
    </row>
    <row r="989" spans="1:12" x14ac:dyDescent="0.3">
      <c r="A989" t="s">
        <v>2737</v>
      </c>
      <c r="B989" t="s">
        <v>2395</v>
      </c>
      <c r="C989" t="s">
        <v>815</v>
      </c>
      <c r="D989" t="s">
        <v>1414</v>
      </c>
      <c r="E989" t="s">
        <v>16</v>
      </c>
      <c r="F989" t="s">
        <v>26</v>
      </c>
      <c r="G989" t="s">
        <v>296</v>
      </c>
      <c r="H989">
        <v>5</v>
      </c>
      <c r="I989">
        <v>4435.34</v>
      </c>
      <c r="J989" t="s">
        <v>42</v>
      </c>
      <c r="K989" t="s">
        <v>43</v>
      </c>
      <c r="L989">
        <f t="shared" si="15"/>
        <v>22176.7</v>
      </c>
    </row>
    <row r="990" spans="1:12" x14ac:dyDescent="0.3">
      <c r="A990" t="s">
        <v>2738</v>
      </c>
      <c r="B990" t="s">
        <v>931</v>
      </c>
      <c r="C990" t="s">
        <v>2739</v>
      </c>
      <c r="D990" t="s">
        <v>315</v>
      </c>
      <c r="E990" t="s">
        <v>56</v>
      </c>
      <c r="F990" t="s">
        <v>26</v>
      </c>
      <c r="G990" t="s">
        <v>296</v>
      </c>
      <c r="H990">
        <v>1</v>
      </c>
      <c r="I990">
        <v>2222.11</v>
      </c>
      <c r="J990" t="s">
        <v>42</v>
      </c>
      <c r="K990" t="s">
        <v>43</v>
      </c>
      <c r="L990">
        <f t="shared" si="15"/>
        <v>2222.11</v>
      </c>
    </row>
    <row r="991" spans="1:12" x14ac:dyDescent="0.3">
      <c r="A991" t="s">
        <v>2740</v>
      </c>
      <c r="B991" t="s">
        <v>422</v>
      </c>
      <c r="C991" t="s">
        <v>2041</v>
      </c>
      <c r="D991" t="s">
        <v>2669</v>
      </c>
      <c r="E991" t="s">
        <v>104</v>
      </c>
      <c r="F991" t="s">
        <v>26</v>
      </c>
      <c r="G991" t="s">
        <v>115</v>
      </c>
      <c r="H991">
        <v>6</v>
      </c>
      <c r="I991">
        <v>1433.79</v>
      </c>
      <c r="J991" t="s">
        <v>42</v>
      </c>
      <c r="K991" t="s">
        <v>83</v>
      </c>
      <c r="L991">
        <f t="shared" si="15"/>
        <v>8602.74</v>
      </c>
    </row>
    <row r="992" spans="1:12" x14ac:dyDescent="0.3">
      <c r="A992" t="s">
        <v>2741</v>
      </c>
      <c r="B992" t="s">
        <v>141</v>
      </c>
      <c r="C992" t="s">
        <v>2373</v>
      </c>
      <c r="D992" t="s">
        <v>2742</v>
      </c>
      <c r="E992" t="s">
        <v>16</v>
      </c>
      <c r="F992" t="s">
        <v>26</v>
      </c>
      <c r="G992" t="s">
        <v>27</v>
      </c>
      <c r="H992">
        <v>3</v>
      </c>
      <c r="I992">
        <v>3304.3</v>
      </c>
      <c r="J992" t="s">
        <v>42</v>
      </c>
      <c r="K992" t="s">
        <v>29</v>
      </c>
      <c r="L992">
        <f t="shared" si="15"/>
        <v>9912.9000000000015</v>
      </c>
    </row>
    <row r="993" spans="1:12" x14ac:dyDescent="0.3">
      <c r="A993" t="s">
        <v>2743</v>
      </c>
      <c r="B993" t="s">
        <v>197</v>
      </c>
      <c r="C993" t="s">
        <v>2744</v>
      </c>
      <c r="D993" t="s">
        <v>2745</v>
      </c>
      <c r="E993" t="s">
        <v>62</v>
      </c>
      <c r="F993" t="s">
        <v>48</v>
      </c>
      <c r="G993" t="s">
        <v>63</v>
      </c>
      <c r="H993">
        <v>6</v>
      </c>
      <c r="I993">
        <v>1117.5</v>
      </c>
      <c r="J993" t="s">
        <v>50</v>
      </c>
      <c r="K993" t="s">
        <v>36</v>
      </c>
      <c r="L993">
        <f t="shared" si="15"/>
        <v>6705</v>
      </c>
    </row>
    <row r="994" spans="1:12" x14ac:dyDescent="0.3">
      <c r="A994" t="s">
        <v>2746</v>
      </c>
      <c r="B994" t="s">
        <v>1243</v>
      </c>
      <c r="C994" t="s">
        <v>498</v>
      </c>
      <c r="D994" t="s">
        <v>228</v>
      </c>
      <c r="E994" t="s">
        <v>16</v>
      </c>
      <c r="F994" t="s">
        <v>17</v>
      </c>
      <c r="G994" t="s">
        <v>35</v>
      </c>
      <c r="H994">
        <v>9</v>
      </c>
      <c r="I994">
        <v>2225.17</v>
      </c>
      <c r="J994" t="s">
        <v>50</v>
      </c>
      <c r="K994" t="s">
        <v>51</v>
      </c>
      <c r="L994">
        <f t="shared" si="15"/>
        <v>20026.53</v>
      </c>
    </row>
    <row r="995" spans="1:12" x14ac:dyDescent="0.3">
      <c r="A995" t="s">
        <v>2747</v>
      </c>
      <c r="B995" t="s">
        <v>2748</v>
      </c>
      <c r="C995" t="s">
        <v>194</v>
      </c>
      <c r="D995" t="s">
        <v>1914</v>
      </c>
      <c r="E995" t="s">
        <v>16</v>
      </c>
      <c r="F995" t="s">
        <v>26</v>
      </c>
      <c r="G995" t="s">
        <v>115</v>
      </c>
      <c r="H995">
        <v>6</v>
      </c>
      <c r="I995">
        <v>2015.79</v>
      </c>
      <c r="J995" t="s">
        <v>50</v>
      </c>
      <c r="K995" t="s">
        <v>51</v>
      </c>
      <c r="L995">
        <f t="shared" si="15"/>
        <v>12094.74</v>
      </c>
    </row>
    <row r="996" spans="1:12" x14ac:dyDescent="0.3">
      <c r="A996" t="s">
        <v>2749</v>
      </c>
      <c r="B996" t="s">
        <v>1530</v>
      </c>
      <c r="C996" t="s">
        <v>1324</v>
      </c>
      <c r="D996" t="s">
        <v>1077</v>
      </c>
      <c r="E996" t="s">
        <v>56</v>
      </c>
      <c r="F996" t="s">
        <v>77</v>
      </c>
      <c r="G996" t="s">
        <v>78</v>
      </c>
      <c r="H996">
        <v>3</v>
      </c>
      <c r="I996">
        <v>1319.16</v>
      </c>
      <c r="J996" t="s">
        <v>28</v>
      </c>
      <c r="K996" t="s">
        <v>83</v>
      </c>
      <c r="L996">
        <f t="shared" si="15"/>
        <v>3957.4800000000005</v>
      </c>
    </row>
    <row r="997" spans="1:12" x14ac:dyDescent="0.3">
      <c r="A997" t="s">
        <v>2750</v>
      </c>
      <c r="B997" t="s">
        <v>2336</v>
      </c>
      <c r="C997" t="s">
        <v>325</v>
      </c>
      <c r="D997" t="s">
        <v>2518</v>
      </c>
      <c r="E997" t="s">
        <v>128</v>
      </c>
      <c r="F997" t="s">
        <v>17</v>
      </c>
      <c r="G997" t="s">
        <v>41</v>
      </c>
      <c r="H997">
        <v>1</v>
      </c>
      <c r="I997">
        <v>1393.71</v>
      </c>
      <c r="J997" t="s">
        <v>19</v>
      </c>
      <c r="K997" t="s">
        <v>43</v>
      </c>
      <c r="L997">
        <f t="shared" si="15"/>
        <v>1393.71</v>
      </c>
    </row>
    <row r="998" spans="1:12" x14ac:dyDescent="0.3">
      <c r="A998" t="s">
        <v>2751</v>
      </c>
      <c r="B998" t="s">
        <v>725</v>
      </c>
      <c r="C998" t="s">
        <v>516</v>
      </c>
      <c r="D998" t="s">
        <v>2752</v>
      </c>
      <c r="E998" t="s">
        <v>16</v>
      </c>
      <c r="F998" t="s">
        <v>26</v>
      </c>
      <c r="G998" t="s">
        <v>27</v>
      </c>
      <c r="H998">
        <v>5</v>
      </c>
      <c r="I998">
        <v>632.55999999999995</v>
      </c>
      <c r="J998" t="s">
        <v>28</v>
      </c>
      <c r="K998" t="s">
        <v>51</v>
      </c>
      <c r="L998">
        <f t="shared" si="15"/>
        <v>3162.7999999999997</v>
      </c>
    </row>
    <row r="999" spans="1:12" x14ac:dyDescent="0.3">
      <c r="A999" t="s">
        <v>2753</v>
      </c>
      <c r="B999" t="s">
        <v>1384</v>
      </c>
      <c r="C999" t="s">
        <v>1410</v>
      </c>
      <c r="D999" t="s">
        <v>2564</v>
      </c>
      <c r="E999" t="s">
        <v>128</v>
      </c>
      <c r="F999" t="s">
        <v>17</v>
      </c>
      <c r="G999" t="s">
        <v>188</v>
      </c>
      <c r="H999">
        <v>9</v>
      </c>
      <c r="I999">
        <v>3510.34</v>
      </c>
      <c r="J999" t="s">
        <v>50</v>
      </c>
      <c r="K999" t="s">
        <v>20</v>
      </c>
      <c r="L999">
        <f t="shared" si="15"/>
        <v>31593.06</v>
      </c>
    </row>
    <row r="1000" spans="1:12" x14ac:dyDescent="0.3">
      <c r="A1000" t="s">
        <v>2754</v>
      </c>
      <c r="B1000" t="s">
        <v>613</v>
      </c>
      <c r="C1000" t="s">
        <v>1732</v>
      </c>
      <c r="D1000" t="s">
        <v>1134</v>
      </c>
      <c r="E1000" t="s">
        <v>95</v>
      </c>
      <c r="F1000" t="s">
        <v>26</v>
      </c>
      <c r="G1000" t="s">
        <v>208</v>
      </c>
      <c r="H1000">
        <v>8</v>
      </c>
      <c r="I1000">
        <v>2358.2800000000002</v>
      </c>
      <c r="J1000" t="s">
        <v>50</v>
      </c>
      <c r="K1000" t="s">
        <v>29</v>
      </c>
      <c r="L1000">
        <f t="shared" si="15"/>
        <v>18866.240000000002</v>
      </c>
    </row>
    <row r="1001" spans="1:12" x14ac:dyDescent="0.3">
      <c r="A1001" t="s">
        <v>2755</v>
      </c>
      <c r="B1001" t="s">
        <v>530</v>
      </c>
      <c r="C1001" t="s">
        <v>1000</v>
      </c>
      <c r="D1001" t="s">
        <v>2756</v>
      </c>
      <c r="E1001" t="s">
        <v>56</v>
      </c>
      <c r="F1001" t="s">
        <v>77</v>
      </c>
      <c r="G1001" t="s">
        <v>123</v>
      </c>
      <c r="H1001">
        <v>7</v>
      </c>
      <c r="I1001">
        <v>4191.55</v>
      </c>
      <c r="J1001" t="s">
        <v>19</v>
      </c>
      <c r="K1001" t="s">
        <v>20</v>
      </c>
      <c r="L1001">
        <f t="shared" si="15"/>
        <v>29340.850000000002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92F9-1CA9-479C-8CFD-BDB71958E29F}">
  <dimension ref="A1:ALM15"/>
  <sheetViews>
    <sheetView zoomScale="157" workbookViewId="0">
      <selection activeCell="B15" sqref="B15"/>
    </sheetView>
  </sheetViews>
  <sheetFormatPr defaultRowHeight="14.4" x14ac:dyDescent="0.3"/>
  <cols>
    <col min="1" max="1" width="11.88671875" bestFit="1" customWidth="1"/>
    <col min="2" max="1001" width="10.33203125" bestFit="1" customWidth="1"/>
  </cols>
  <sheetData>
    <row r="1" spans="1:1001" x14ac:dyDescent="0.3">
      <c r="A1" s="1" t="s">
        <v>0</v>
      </c>
      <c r="B1" t="s">
        <v>12</v>
      </c>
      <c r="C1" t="s">
        <v>21</v>
      </c>
      <c r="D1" t="s">
        <v>30</v>
      </c>
      <c r="E1" t="s">
        <v>37</v>
      </c>
      <c r="F1" t="s">
        <v>44</v>
      </c>
      <c r="G1" t="s">
        <v>52</v>
      </c>
      <c r="H1" t="s">
        <v>58</v>
      </c>
      <c r="I1" t="s">
        <v>64</v>
      </c>
      <c r="J1" t="s">
        <v>69</v>
      </c>
      <c r="K1" t="s">
        <v>73</v>
      </c>
      <c r="L1" t="s">
        <v>79</v>
      </c>
      <c r="M1" t="s">
        <v>84</v>
      </c>
      <c r="N1" t="s">
        <v>88</v>
      </c>
      <c r="O1" t="s">
        <v>92</v>
      </c>
      <c r="P1" t="s">
        <v>96</v>
      </c>
      <c r="Q1" t="s">
        <v>100</v>
      </c>
      <c r="R1" t="s">
        <v>106</v>
      </c>
      <c r="S1" t="s">
        <v>111</v>
      </c>
      <c r="T1" t="s">
        <v>116</v>
      </c>
      <c r="U1" t="s">
        <v>120</v>
      </c>
      <c r="V1" t="s">
        <v>124</v>
      </c>
      <c r="W1" t="s">
        <v>129</v>
      </c>
      <c r="X1" t="s">
        <v>133</v>
      </c>
      <c r="Y1" t="s">
        <v>136</v>
      </c>
      <c r="Z1" t="s">
        <v>140</v>
      </c>
      <c r="AA1" t="s">
        <v>143</v>
      </c>
      <c r="AB1" t="s">
        <v>147</v>
      </c>
      <c r="AC1" t="s">
        <v>150</v>
      </c>
      <c r="AD1" t="s">
        <v>154</v>
      </c>
      <c r="AE1" t="s">
        <v>158</v>
      </c>
      <c r="AF1" t="s">
        <v>162</v>
      </c>
      <c r="AG1" t="s">
        <v>167</v>
      </c>
      <c r="AH1" t="s">
        <v>172</v>
      </c>
      <c r="AI1" t="s">
        <v>175</v>
      </c>
      <c r="AJ1" t="s">
        <v>180</v>
      </c>
      <c r="AK1" t="s">
        <v>184</v>
      </c>
      <c r="AL1" t="s">
        <v>189</v>
      </c>
      <c r="AM1" t="s">
        <v>192</v>
      </c>
      <c r="AN1" t="s">
        <v>196</v>
      </c>
      <c r="AO1" t="s">
        <v>200</v>
      </c>
      <c r="AP1" t="s">
        <v>204</v>
      </c>
      <c r="AQ1" t="s">
        <v>209</v>
      </c>
      <c r="AR1" t="s">
        <v>213</v>
      </c>
      <c r="AS1" t="s">
        <v>217</v>
      </c>
      <c r="AT1" t="s">
        <v>221</v>
      </c>
      <c r="AU1" t="s">
        <v>225</v>
      </c>
      <c r="AV1" t="s">
        <v>229</v>
      </c>
      <c r="AW1" t="s">
        <v>233</v>
      </c>
      <c r="AX1" t="s">
        <v>237</v>
      </c>
      <c r="AY1" t="s">
        <v>241</v>
      </c>
      <c r="AZ1" t="s">
        <v>245</v>
      </c>
      <c r="BA1" t="s">
        <v>249</v>
      </c>
      <c r="BB1" t="s">
        <v>253</v>
      </c>
      <c r="BC1" t="s">
        <v>257</v>
      </c>
      <c r="BD1" t="s">
        <v>261</v>
      </c>
      <c r="BE1" t="s">
        <v>266</v>
      </c>
      <c r="BF1" t="s">
        <v>270</v>
      </c>
      <c r="BG1" t="s">
        <v>274</v>
      </c>
      <c r="BH1" t="s">
        <v>278</v>
      </c>
      <c r="BI1" t="s">
        <v>282</v>
      </c>
      <c r="BJ1" t="s">
        <v>286</v>
      </c>
      <c r="BK1" t="s">
        <v>290</v>
      </c>
      <c r="BL1" t="s">
        <v>294</v>
      </c>
      <c r="BM1" t="s">
        <v>297</v>
      </c>
      <c r="BN1" t="s">
        <v>300</v>
      </c>
      <c r="BO1" t="s">
        <v>304</v>
      </c>
      <c r="BP1" t="s">
        <v>308</v>
      </c>
      <c r="BQ1" t="s">
        <v>312</v>
      </c>
      <c r="BR1" t="s">
        <v>316</v>
      </c>
      <c r="BS1" t="s">
        <v>319</v>
      </c>
      <c r="BT1" t="s">
        <v>323</v>
      </c>
      <c r="BU1" t="s">
        <v>327</v>
      </c>
      <c r="BV1" t="s">
        <v>331</v>
      </c>
      <c r="BW1" t="s">
        <v>335</v>
      </c>
      <c r="BX1" t="s">
        <v>338</v>
      </c>
      <c r="BY1" t="s">
        <v>342</v>
      </c>
      <c r="BZ1" t="s">
        <v>346</v>
      </c>
      <c r="CA1" t="s">
        <v>350</v>
      </c>
      <c r="CB1" t="s">
        <v>354</v>
      </c>
      <c r="CC1" t="s">
        <v>358</v>
      </c>
      <c r="CD1" t="s">
        <v>362</v>
      </c>
      <c r="CE1" t="s">
        <v>365</v>
      </c>
      <c r="CF1" t="s">
        <v>369</v>
      </c>
      <c r="CG1" t="s">
        <v>373</v>
      </c>
      <c r="CH1" t="s">
        <v>376</v>
      </c>
      <c r="CI1" t="s">
        <v>380</v>
      </c>
      <c r="CJ1" t="s">
        <v>384</v>
      </c>
      <c r="CK1" t="s">
        <v>388</v>
      </c>
      <c r="CL1" t="s">
        <v>392</v>
      </c>
      <c r="CM1" t="s">
        <v>396</v>
      </c>
      <c r="CN1" t="s">
        <v>400</v>
      </c>
      <c r="CO1" t="s">
        <v>404</v>
      </c>
      <c r="CP1" t="s">
        <v>408</v>
      </c>
      <c r="CQ1" t="s">
        <v>411</v>
      </c>
      <c r="CR1" t="s">
        <v>414</v>
      </c>
      <c r="CS1" t="s">
        <v>418</v>
      </c>
      <c r="CT1" t="s">
        <v>421</v>
      </c>
      <c r="CU1" t="s">
        <v>425</v>
      </c>
      <c r="CV1" t="s">
        <v>429</v>
      </c>
      <c r="CW1" t="s">
        <v>432</v>
      </c>
      <c r="CX1" t="s">
        <v>436</v>
      </c>
      <c r="CY1" t="s">
        <v>440</v>
      </c>
      <c r="CZ1" t="s">
        <v>444</v>
      </c>
      <c r="DA1" t="s">
        <v>448</v>
      </c>
      <c r="DB1" t="s">
        <v>452</v>
      </c>
      <c r="DC1" t="s">
        <v>456</v>
      </c>
      <c r="DD1" t="s">
        <v>460</v>
      </c>
      <c r="DE1" t="s">
        <v>463</v>
      </c>
      <c r="DF1" t="s">
        <v>466</v>
      </c>
      <c r="DG1" t="s">
        <v>470</v>
      </c>
      <c r="DH1" t="s">
        <v>473</v>
      </c>
      <c r="DI1" t="s">
        <v>476</v>
      </c>
      <c r="DJ1" t="s">
        <v>480</v>
      </c>
      <c r="DK1" t="s">
        <v>482</v>
      </c>
      <c r="DL1" t="s">
        <v>485</v>
      </c>
      <c r="DM1" t="s">
        <v>489</v>
      </c>
      <c r="DN1" t="s">
        <v>493</v>
      </c>
      <c r="DO1" t="s">
        <v>497</v>
      </c>
      <c r="DP1" t="s">
        <v>500</v>
      </c>
      <c r="DQ1" t="s">
        <v>504</v>
      </c>
      <c r="DR1" t="s">
        <v>508</v>
      </c>
      <c r="DS1" t="s">
        <v>512</v>
      </c>
      <c r="DT1" t="s">
        <v>515</v>
      </c>
      <c r="DU1" t="s">
        <v>518</v>
      </c>
      <c r="DV1" t="s">
        <v>521</v>
      </c>
      <c r="DW1" t="s">
        <v>525</v>
      </c>
      <c r="DX1" t="s">
        <v>529</v>
      </c>
      <c r="DY1" t="s">
        <v>533</v>
      </c>
      <c r="DZ1" t="s">
        <v>537</v>
      </c>
      <c r="EA1" t="s">
        <v>541</v>
      </c>
      <c r="EB1" t="s">
        <v>545</v>
      </c>
      <c r="EC1" t="s">
        <v>549</v>
      </c>
      <c r="ED1" t="s">
        <v>553</v>
      </c>
      <c r="EE1" t="s">
        <v>556</v>
      </c>
      <c r="EF1" t="s">
        <v>560</v>
      </c>
      <c r="EG1" t="s">
        <v>563</v>
      </c>
      <c r="EH1" t="s">
        <v>566</v>
      </c>
      <c r="EI1" t="s">
        <v>567</v>
      </c>
      <c r="EJ1" t="s">
        <v>570</v>
      </c>
      <c r="EK1" t="s">
        <v>574</v>
      </c>
      <c r="EL1" t="s">
        <v>578</v>
      </c>
      <c r="EM1" t="s">
        <v>581</v>
      </c>
      <c r="EN1" t="s">
        <v>585</v>
      </c>
      <c r="EO1" t="s">
        <v>588</v>
      </c>
      <c r="EP1" t="s">
        <v>592</v>
      </c>
      <c r="EQ1" t="s">
        <v>596</v>
      </c>
      <c r="ER1" t="s">
        <v>600</v>
      </c>
      <c r="ES1" t="s">
        <v>604</v>
      </c>
      <c r="ET1" t="s">
        <v>608</v>
      </c>
      <c r="EU1" t="s">
        <v>612</v>
      </c>
      <c r="EV1" t="s">
        <v>615</v>
      </c>
      <c r="EW1" t="s">
        <v>619</v>
      </c>
      <c r="EX1" t="s">
        <v>622</v>
      </c>
      <c r="EY1" t="s">
        <v>625</v>
      </c>
      <c r="EZ1" t="s">
        <v>629</v>
      </c>
      <c r="FA1" t="s">
        <v>633</v>
      </c>
      <c r="FB1" t="s">
        <v>636</v>
      </c>
      <c r="FC1" t="s">
        <v>638</v>
      </c>
      <c r="FD1" t="s">
        <v>641</v>
      </c>
      <c r="FE1" t="s">
        <v>645</v>
      </c>
      <c r="FF1" t="s">
        <v>649</v>
      </c>
      <c r="FG1" t="s">
        <v>653</v>
      </c>
      <c r="FH1" t="s">
        <v>657</v>
      </c>
      <c r="FI1" t="s">
        <v>659</v>
      </c>
      <c r="FJ1" t="s">
        <v>663</v>
      </c>
      <c r="FK1" t="s">
        <v>667</v>
      </c>
      <c r="FL1" t="s">
        <v>671</v>
      </c>
      <c r="FM1" t="s">
        <v>675</v>
      </c>
      <c r="FN1" t="s">
        <v>679</v>
      </c>
      <c r="FO1" t="s">
        <v>682</v>
      </c>
      <c r="FP1" t="s">
        <v>686</v>
      </c>
      <c r="FQ1" t="s">
        <v>689</v>
      </c>
      <c r="FR1" t="s">
        <v>692</v>
      </c>
      <c r="FS1" t="s">
        <v>695</v>
      </c>
      <c r="FT1" t="s">
        <v>698</v>
      </c>
      <c r="FU1" t="s">
        <v>702</v>
      </c>
      <c r="FV1" t="s">
        <v>705</v>
      </c>
      <c r="FW1" t="s">
        <v>708</v>
      </c>
      <c r="FX1" t="s">
        <v>712</v>
      </c>
      <c r="FY1" t="s">
        <v>715</v>
      </c>
      <c r="FZ1" t="s">
        <v>719</v>
      </c>
      <c r="GA1" t="s">
        <v>722</v>
      </c>
      <c r="GB1" t="s">
        <v>724</v>
      </c>
      <c r="GC1" t="s">
        <v>727</v>
      </c>
      <c r="GD1" t="s">
        <v>730</v>
      </c>
      <c r="GE1" t="s">
        <v>734</v>
      </c>
      <c r="GF1" t="s">
        <v>737</v>
      </c>
      <c r="GG1" t="s">
        <v>741</v>
      </c>
      <c r="GH1" t="s">
        <v>745</v>
      </c>
      <c r="GI1" t="s">
        <v>749</v>
      </c>
      <c r="GJ1" t="s">
        <v>752</v>
      </c>
      <c r="GK1" t="s">
        <v>755</v>
      </c>
      <c r="GL1" t="s">
        <v>759</v>
      </c>
      <c r="GM1" t="s">
        <v>762</v>
      </c>
      <c r="GN1" t="s">
        <v>764</v>
      </c>
      <c r="GO1" t="s">
        <v>767</v>
      </c>
      <c r="GP1" t="s">
        <v>771</v>
      </c>
      <c r="GQ1" t="s">
        <v>772</v>
      </c>
      <c r="GR1" t="s">
        <v>776</v>
      </c>
      <c r="GS1" t="s">
        <v>779</v>
      </c>
      <c r="GT1" t="s">
        <v>783</v>
      </c>
      <c r="GU1" t="s">
        <v>786</v>
      </c>
      <c r="GV1" t="s">
        <v>789</v>
      </c>
      <c r="GW1" t="s">
        <v>793</v>
      </c>
      <c r="GX1" t="s">
        <v>797</v>
      </c>
      <c r="GY1" t="s">
        <v>799</v>
      </c>
      <c r="GZ1" t="s">
        <v>803</v>
      </c>
      <c r="HA1" t="s">
        <v>807</v>
      </c>
      <c r="HB1" t="s">
        <v>810</v>
      </c>
      <c r="HC1" t="s">
        <v>813</v>
      </c>
      <c r="HD1" t="s">
        <v>816</v>
      </c>
      <c r="HE1" t="s">
        <v>819</v>
      </c>
      <c r="HF1" t="s">
        <v>822</v>
      </c>
      <c r="HG1" t="s">
        <v>826</v>
      </c>
      <c r="HH1" t="s">
        <v>830</v>
      </c>
      <c r="HI1" t="s">
        <v>833</v>
      </c>
      <c r="HJ1" t="s">
        <v>836</v>
      </c>
      <c r="HK1" t="s">
        <v>839</v>
      </c>
      <c r="HL1" t="s">
        <v>843</v>
      </c>
      <c r="HM1" t="s">
        <v>847</v>
      </c>
      <c r="HN1" t="s">
        <v>850</v>
      </c>
      <c r="HO1" t="s">
        <v>853</v>
      </c>
      <c r="HP1" t="s">
        <v>855</v>
      </c>
      <c r="HQ1" t="s">
        <v>858</v>
      </c>
      <c r="HR1" t="s">
        <v>861</v>
      </c>
      <c r="HS1" t="s">
        <v>864</v>
      </c>
      <c r="HT1" t="s">
        <v>868</v>
      </c>
      <c r="HU1" t="s">
        <v>872</v>
      </c>
      <c r="HV1" t="s">
        <v>876</v>
      </c>
      <c r="HW1" t="s">
        <v>880</v>
      </c>
      <c r="HX1" t="s">
        <v>882</v>
      </c>
      <c r="HY1" t="s">
        <v>885</v>
      </c>
      <c r="HZ1" t="s">
        <v>889</v>
      </c>
      <c r="IA1" t="s">
        <v>892</v>
      </c>
      <c r="IB1" t="s">
        <v>894</v>
      </c>
      <c r="IC1" t="s">
        <v>897</v>
      </c>
      <c r="ID1" t="s">
        <v>901</v>
      </c>
      <c r="IE1" t="s">
        <v>903</v>
      </c>
      <c r="IF1" t="s">
        <v>907</v>
      </c>
      <c r="IG1" t="s">
        <v>910</v>
      </c>
      <c r="IH1" t="s">
        <v>913</v>
      </c>
      <c r="II1" t="s">
        <v>917</v>
      </c>
      <c r="IJ1" t="s">
        <v>920</v>
      </c>
      <c r="IK1" t="s">
        <v>923</v>
      </c>
      <c r="IL1" t="s">
        <v>927</v>
      </c>
      <c r="IM1" t="s">
        <v>930</v>
      </c>
      <c r="IN1" t="s">
        <v>934</v>
      </c>
      <c r="IO1" t="s">
        <v>937</v>
      </c>
      <c r="IP1" t="s">
        <v>941</v>
      </c>
      <c r="IQ1" t="s">
        <v>944</v>
      </c>
      <c r="IR1" t="s">
        <v>945</v>
      </c>
      <c r="IS1" t="s">
        <v>948</v>
      </c>
      <c r="IT1" t="s">
        <v>952</v>
      </c>
      <c r="IU1" t="s">
        <v>955</v>
      </c>
      <c r="IV1" t="s">
        <v>958</v>
      </c>
      <c r="IW1" t="s">
        <v>961</v>
      </c>
      <c r="IX1" t="s">
        <v>964</v>
      </c>
      <c r="IY1" t="s">
        <v>968</v>
      </c>
      <c r="IZ1" t="s">
        <v>971</v>
      </c>
      <c r="JA1" t="s">
        <v>973</v>
      </c>
      <c r="JB1" t="s">
        <v>977</v>
      </c>
      <c r="JC1" t="s">
        <v>980</v>
      </c>
      <c r="JD1" t="s">
        <v>983</v>
      </c>
      <c r="JE1" t="s">
        <v>985</v>
      </c>
      <c r="JF1" t="s">
        <v>987</v>
      </c>
      <c r="JG1" t="s">
        <v>990</v>
      </c>
      <c r="JH1" t="s">
        <v>994</v>
      </c>
      <c r="JI1" t="s">
        <v>995</v>
      </c>
      <c r="JJ1" t="s">
        <v>999</v>
      </c>
      <c r="JK1" t="s">
        <v>1002</v>
      </c>
      <c r="JL1" t="s">
        <v>1005</v>
      </c>
      <c r="JM1" t="s">
        <v>1008</v>
      </c>
      <c r="JN1" t="s">
        <v>1010</v>
      </c>
      <c r="JO1" t="s">
        <v>1014</v>
      </c>
      <c r="JP1" t="s">
        <v>1018</v>
      </c>
      <c r="JQ1" t="s">
        <v>1021</v>
      </c>
      <c r="JR1" t="s">
        <v>1024</v>
      </c>
      <c r="JS1" t="s">
        <v>1028</v>
      </c>
      <c r="JT1" t="s">
        <v>1030</v>
      </c>
      <c r="JU1" t="s">
        <v>1031</v>
      </c>
      <c r="JV1" t="s">
        <v>1035</v>
      </c>
      <c r="JW1" t="s">
        <v>1038</v>
      </c>
      <c r="JX1" t="s">
        <v>1042</v>
      </c>
      <c r="JY1" t="s">
        <v>1044</v>
      </c>
      <c r="JZ1" t="s">
        <v>1048</v>
      </c>
      <c r="KA1" t="s">
        <v>1051</v>
      </c>
      <c r="KB1" t="s">
        <v>1054</v>
      </c>
      <c r="KC1" t="s">
        <v>1057</v>
      </c>
      <c r="KD1" t="s">
        <v>1061</v>
      </c>
      <c r="KE1" t="s">
        <v>1064</v>
      </c>
      <c r="KF1" t="s">
        <v>1066</v>
      </c>
      <c r="KG1" t="s">
        <v>1069</v>
      </c>
      <c r="KH1" t="s">
        <v>1072</v>
      </c>
      <c r="KI1" t="s">
        <v>1074</v>
      </c>
      <c r="KJ1" t="s">
        <v>1078</v>
      </c>
      <c r="KK1" t="s">
        <v>1082</v>
      </c>
      <c r="KL1" t="s">
        <v>1083</v>
      </c>
      <c r="KM1" t="s">
        <v>1086</v>
      </c>
      <c r="KN1" t="s">
        <v>1089</v>
      </c>
      <c r="KO1" t="s">
        <v>1092</v>
      </c>
      <c r="KP1" t="s">
        <v>1096</v>
      </c>
      <c r="KQ1" t="s">
        <v>1100</v>
      </c>
      <c r="KR1" t="s">
        <v>1103</v>
      </c>
      <c r="KS1" t="s">
        <v>1104</v>
      </c>
      <c r="KT1" t="s">
        <v>1107</v>
      </c>
      <c r="KU1" t="s">
        <v>1109</v>
      </c>
      <c r="KV1" t="s">
        <v>1112</v>
      </c>
      <c r="KW1" t="s">
        <v>1115</v>
      </c>
      <c r="KX1" t="s">
        <v>1118</v>
      </c>
      <c r="KY1" t="s">
        <v>1122</v>
      </c>
      <c r="KZ1" t="s">
        <v>1125</v>
      </c>
      <c r="LA1" t="s">
        <v>1127</v>
      </c>
      <c r="LB1" t="s">
        <v>1130</v>
      </c>
      <c r="LC1" t="s">
        <v>1133</v>
      </c>
      <c r="LD1" t="s">
        <v>1135</v>
      </c>
      <c r="LE1" t="s">
        <v>1138</v>
      </c>
      <c r="LF1" t="s">
        <v>1141</v>
      </c>
      <c r="LG1" t="s">
        <v>1143</v>
      </c>
      <c r="LH1" t="s">
        <v>1146</v>
      </c>
      <c r="LI1" t="s">
        <v>1150</v>
      </c>
      <c r="LJ1" t="s">
        <v>1152</v>
      </c>
      <c r="LK1" t="s">
        <v>1156</v>
      </c>
      <c r="LL1" t="s">
        <v>1160</v>
      </c>
      <c r="LM1" t="s">
        <v>1164</v>
      </c>
      <c r="LN1" t="s">
        <v>1168</v>
      </c>
      <c r="LO1" t="s">
        <v>1172</v>
      </c>
      <c r="LP1" t="s">
        <v>1175</v>
      </c>
      <c r="LQ1" t="s">
        <v>1178</v>
      </c>
      <c r="LR1" t="s">
        <v>1180</v>
      </c>
      <c r="LS1" t="s">
        <v>1183</v>
      </c>
      <c r="LT1" t="s">
        <v>1185</v>
      </c>
      <c r="LU1" t="s">
        <v>1189</v>
      </c>
      <c r="LV1" t="s">
        <v>1193</v>
      </c>
      <c r="LW1" t="s">
        <v>1197</v>
      </c>
      <c r="LX1" t="s">
        <v>1200</v>
      </c>
      <c r="LY1" t="s">
        <v>1203</v>
      </c>
      <c r="LZ1" t="s">
        <v>1207</v>
      </c>
      <c r="MA1" t="s">
        <v>1208</v>
      </c>
      <c r="MB1" t="s">
        <v>1211</v>
      </c>
      <c r="MC1" t="s">
        <v>1214</v>
      </c>
      <c r="MD1" t="s">
        <v>1218</v>
      </c>
      <c r="ME1" t="s">
        <v>1221</v>
      </c>
      <c r="MF1" t="s">
        <v>1225</v>
      </c>
      <c r="MG1" t="s">
        <v>1227</v>
      </c>
      <c r="MH1" t="s">
        <v>1230</v>
      </c>
      <c r="MI1" t="s">
        <v>1233</v>
      </c>
      <c r="MJ1" t="s">
        <v>1236</v>
      </c>
      <c r="MK1" t="s">
        <v>1239</v>
      </c>
      <c r="ML1" t="s">
        <v>1242</v>
      </c>
      <c r="MM1" t="s">
        <v>1246</v>
      </c>
      <c r="MN1" t="s">
        <v>1249</v>
      </c>
      <c r="MO1" t="s">
        <v>1251</v>
      </c>
      <c r="MP1" t="s">
        <v>1255</v>
      </c>
      <c r="MQ1" t="s">
        <v>1257</v>
      </c>
      <c r="MR1" t="s">
        <v>1260</v>
      </c>
      <c r="MS1" t="s">
        <v>1264</v>
      </c>
      <c r="MT1" t="s">
        <v>1267</v>
      </c>
      <c r="MU1" t="s">
        <v>1270</v>
      </c>
      <c r="MV1" t="s">
        <v>1273</v>
      </c>
      <c r="MW1" t="s">
        <v>1277</v>
      </c>
      <c r="MX1" t="s">
        <v>1279</v>
      </c>
      <c r="MY1" t="s">
        <v>1283</v>
      </c>
      <c r="MZ1" t="s">
        <v>1285</v>
      </c>
      <c r="NA1" t="s">
        <v>1289</v>
      </c>
      <c r="NB1" t="s">
        <v>1293</v>
      </c>
      <c r="NC1" t="s">
        <v>1295</v>
      </c>
      <c r="ND1" t="s">
        <v>1298</v>
      </c>
      <c r="NE1" t="s">
        <v>1300</v>
      </c>
      <c r="NF1" t="s">
        <v>1304</v>
      </c>
      <c r="NG1" t="s">
        <v>1306</v>
      </c>
      <c r="NH1" t="s">
        <v>1309</v>
      </c>
      <c r="NI1" t="s">
        <v>1313</v>
      </c>
      <c r="NJ1" t="s">
        <v>1316</v>
      </c>
      <c r="NK1" t="s">
        <v>1319</v>
      </c>
      <c r="NL1" t="s">
        <v>1323</v>
      </c>
      <c r="NM1" t="s">
        <v>1326</v>
      </c>
      <c r="NN1" t="s">
        <v>1329</v>
      </c>
      <c r="NO1" t="s">
        <v>1333</v>
      </c>
      <c r="NP1" t="s">
        <v>1337</v>
      </c>
      <c r="NQ1" t="s">
        <v>1340</v>
      </c>
      <c r="NR1" t="s">
        <v>1343</v>
      </c>
      <c r="NS1" t="s">
        <v>1346</v>
      </c>
      <c r="NT1" t="s">
        <v>1349</v>
      </c>
      <c r="NU1" t="s">
        <v>1353</v>
      </c>
      <c r="NV1" t="s">
        <v>1356</v>
      </c>
      <c r="NW1" t="s">
        <v>1358</v>
      </c>
      <c r="NX1" t="s">
        <v>1361</v>
      </c>
      <c r="NY1" t="s">
        <v>1365</v>
      </c>
      <c r="NZ1" t="s">
        <v>1367</v>
      </c>
      <c r="OA1" t="s">
        <v>1368</v>
      </c>
      <c r="OB1" t="s">
        <v>1370</v>
      </c>
      <c r="OC1" t="s">
        <v>1372</v>
      </c>
      <c r="OD1" t="s">
        <v>1374</v>
      </c>
      <c r="OE1" t="s">
        <v>1377</v>
      </c>
      <c r="OF1" t="s">
        <v>1379</v>
      </c>
      <c r="OG1" t="s">
        <v>1383</v>
      </c>
      <c r="OH1" t="s">
        <v>1387</v>
      </c>
      <c r="OI1" t="s">
        <v>1391</v>
      </c>
      <c r="OJ1" t="s">
        <v>1393</v>
      </c>
      <c r="OK1" t="s">
        <v>1394</v>
      </c>
      <c r="OL1" t="s">
        <v>1397</v>
      </c>
      <c r="OM1" t="s">
        <v>1401</v>
      </c>
      <c r="ON1" t="s">
        <v>1403</v>
      </c>
      <c r="OO1" t="s">
        <v>1406</v>
      </c>
      <c r="OP1" t="s">
        <v>1409</v>
      </c>
      <c r="OQ1" t="s">
        <v>1412</v>
      </c>
      <c r="OR1" t="s">
        <v>1415</v>
      </c>
      <c r="OS1" t="s">
        <v>1419</v>
      </c>
      <c r="OT1" t="s">
        <v>1422</v>
      </c>
      <c r="OU1" t="s">
        <v>1425</v>
      </c>
      <c r="OV1" t="s">
        <v>1429</v>
      </c>
      <c r="OW1" t="s">
        <v>1433</v>
      </c>
      <c r="OX1" t="s">
        <v>1436</v>
      </c>
      <c r="OY1" t="s">
        <v>1439</v>
      </c>
      <c r="OZ1" t="s">
        <v>1442</v>
      </c>
      <c r="PA1" t="s">
        <v>1444</v>
      </c>
      <c r="PB1" t="s">
        <v>1448</v>
      </c>
      <c r="PC1" t="s">
        <v>1450</v>
      </c>
      <c r="PD1" t="s">
        <v>1454</v>
      </c>
      <c r="PE1" t="s">
        <v>1456</v>
      </c>
      <c r="PF1" t="s">
        <v>1459</v>
      </c>
      <c r="PG1" t="s">
        <v>1461</v>
      </c>
      <c r="PH1" t="s">
        <v>1464</v>
      </c>
      <c r="PI1" t="s">
        <v>1467</v>
      </c>
      <c r="PJ1" t="s">
        <v>1470</v>
      </c>
      <c r="PK1" t="s">
        <v>1472</v>
      </c>
      <c r="PL1" t="s">
        <v>1476</v>
      </c>
      <c r="PM1" t="s">
        <v>1479</v>
      </c>
      <c r="PN1" t="s">
        <v>1483</v>
      </c>
      <c r="PO1" t="s">
        <v>1485</v>
      </c>
      <c r="PP1" t="s">
        <v>1487</v>
      </c>
      <c r="PQ1" t="s">
        <v>1490</v>
      </c>
      <c r="PR1" t="s">
        <v>1494</v>
      </c>
      <c r="PS1" t="s">
        <v>1497</v>
      </c>
      <c r="PT1" t="s">
        <v>1500</v>
      </c>
      <c r="PU1" t="s">
        <v>1503</v>
      </c>
      <c r="PV1" t="s">
        <v>1506</v>
      </c>
      <c r="PW1" t="s">
        <v>1508</v>
      </c>
      <c r="PX1" t="s">
        <v>1510</v>
      </c>
      <c r="PY1" t="s">
        <v>1513</v>
      </c>
      <c r="PZ1" t="s">
        <v>1515</v>
      </c>
      <c r="QA1" t="s">
        <v>1516</v>
      </c>
      <c r="QB1" t="s">
        <v>1519</v>
      </c>
      <c r="QC1" t="s">
        <v>1521</v>
      </c>
      <c r="QD1" t="s">
        <v>1525</v>
      </c>
      <c r="QE1" t="s">
        <v>1527</v>
      </c>
      <c r="QF1" t="s">
        <v>1529</v>
      </c>
      <c r="QG1" t="s">
        <v>1532</v>
      </c>
      <c r="QH1" t="s">
        <v>1534</v>
      </c>
      <c r="QI1" t="s">
        <v>1536</v>
      </c>
      <c r="QJ1" t="s">
        <v>1540</v>
      </c>
      <c r="QK1" t="s">
        <v>1544</v>
      </c>
      <c r="QL1" t="s">
        <v>1545</v>
      </c>
      <c r="QM1" t="s">
        <v>1546</v>
      </c>
      <c r="QN1" t="s">
        <v>1548</v>
      </c>
      <c r="QO1" t="s">
        <v>1551</v>
      </c>
      <c r="QP1" t="s">
        <v>1555</v>
      </c>
      <c r="QQ1" t="s">
        <v>1559</v>
      </c>
      <c r="QR1" t="s">
        <v>1561</v>
      </c>
      <c r="QS1" t="s">
        <v>1564</v>
      </c>
      <c r="QT1" t="s">
        <v>1567</v>
      </c>
      <c r="QU1" t="s">
        <v>1570</v>
      </c>
      <c r="QV1" t="s">
        <v>1573</v>
      </c>
      <c r="QW1" t="s">
        <v>1575</v>
      </c>
      <c r="QX1" t="s">
        <v>1577</v>
      </c>
      <c r="QY1" t="s">
        <v>1580</v>
      </c>
      <c r="QZ1" t="s">
        <v>1581</v>
      </c>
      <c r="RA1" t="s">
        <v>1583</v>
      </c>
      <c r="RB1" t="s">
        <v>1586</v>
      </c>
      <c r="RC1" t="s">
        <v>1589</v>
      </c>
      <c r="RD1" t="s">
        <v>1592</v>
      </c>
      <c r="RE1" t="s">
        <v>1596</v>
      </c>
      <c r="RF1" t="s">
        <v>1600</v>
      </c>
      <c r="RG1" t="s">
        <v>1602</v>
      </c>
      <c r="RH1" t="s">
        <v>1604</v>
      </c>
      <c r="RI1" t="s">
        <v>1607</v>
      </c>
      <c r="RJ1" t="s">
        <v>1608</v>
      </c>
      <c r="RK1" t="s">
        <v>1611</v>
      </c>
      <c r="RL1" t="s">
        <v>1613</v>
      </c>
      <c r="RM1" t="s">
        <v>1616</v>
      </c>
      <c r="RN1" t="s">
        <v>1620</v>
      </c>
      <c r="RO1" t="s">
        <v>1622</v>
      </c>
      <c r="RP1" t="s">
        <v>1625</v>
      </c>
      <c r="RQ1" t="s">
        <v>1628</v>
      </c>
      <c r="RR1" t="s">
        <v>1632</v>
      </c>
      <c r="RS1" t="s">
        <v>1634</v>
      </c>
      <c r="RT1" t="s">
        <v>1637</v>
      </c>
      <c r="RU1" t="s">
        <v>1640</v>
      </c>
      <c r="RV1" t="s">
        <v>1642</v>
      </c>
      <c r="RW1" t="s">
        <v>1644</v>
      </c>
      <c r="RX1" t="s">
        <v>1647</v>
      </c>
      <c r="RY1" t="s">
        <v>1649</v>
      </c>
      <c r="RZ1" t="s">
        <v>1652</v>
      </c>
      <c r="SA1" t="s">
        <v>1656</v>
      </c>
      <c r="SB1" t="s">
        <v>1659</v>
      </c>
      <c r="SC1" t="s">
        <v>1663</v>
      </c>
      <c r="SD1" t="s">
        <v>1666</v>
      </c>
      <c r="SE1" t="s">
        <v>1670</v>
      </c>
      <c r="SF1" t="s">
        <v>1673</v>
      </c>
      <c r="SG1" t="s">
        <v>1676</v>
      </c>
      <c r="SH1" t="s">
        <v>1679</v>
      </c>
      <c r="SI1" t="s">
        <v>1682</v>
      </c>
      <c r="SJ1" t="s">
        <v>1683</v>
      </c>
      <c r="SK1" t="s">
        <v>1685</v>
      </c>
      <c r="SL1" t="s">
        <v>1689</v>
      </c>
      <c r="SM1" t="s">
        <v>1692</v>
      </c>
      <c r="SN1" t="s">
        <v>1694</v>
      </c>
      <c r="SO1" t="s">
        <v>1696</v>
      </c>
      <c r="SP1" t="s">
        <v>1699</v>
      </c>
      <c r="SQ1" t="s">
        <v>1700</v>
      </c>
      <c r="SR1" t="s">
        <v>1702</v>
      </c>
      <c r="SS1" t="s">
        <v>1705</v>
      </c>
      <c r="ST1" t="s">
        <v>1707</v>
      </c>
      <c r="SU1" t="s">
        <v>1709</v>
      </c>
      <c r="SV1" t="s">
        <v>1711</v>
      </c>
      <c r="SW1" t="s">
        <v>1713</v>
      </c>
      <c r="SX1" t="s">
        <v>1716</v>
      </c>
      <c r="SY1" t="s">
        <v>1720</v>
      </c>
      <c r="SZ1" t="s">
        <v>1722</v>
      </c>
      <c r="TA1" t="s">
        <v>1725</v>
      </c>
      <c r="TB1" t="s">
        <v>1726</v>
      </c>
      <c r="TC1" t="s">
        <v>1729</v>
      </c>
      <c r="TD1" t="s">
        <v>1731</v>
      </c>
      <c r="TE1" t="s">
        <v>1733</v>
      </c>
      <c r="TF1" t="s">
        <v>1734</v>
      </c>
      <c r="TG1" t="s">
        <v>1736</v>
      </c>
      <c r="TH1" t="s">
        <v>1740</v>
      </c>
      <c r="TI1" t="s">
        <v>1743</v>
      </c>
      <c r="TJ1" t="s">
        <v>1747</v>
      </c>
      <c r="TK1" t="s">
        <v>1749</v>
      </c>
      <c r="TL1" t="s">
        <v>1751</v>
      </c>
      <c r="TM1" t="s">
        <v>1752</v>
      </c>
      <c r="TN1" t="s">
        <v>1755</v>
      </c>
      <c r="TO1" t="s">
        <v>1758</v>
      </c>
      <c r="TP1" t="s">
        <v>1761</v>
      </c>
      <c r="TQ1" t="s">
        <v>1763</v>
      </c>
      <c r="TR1" t="s">
        <v>1765</v>
      </c>
      <c r="TS1" t="s">
        <v>1767</v>
      </c>
      <c r="TT1" t="s">
        <v>1769</v>
      </c>
      <c r="TU1" t="s">
        <v>1772</v>
      </c>
      <c r="TV1" t="s">
        <v>1773</v>
      </c>
      <c r="TW1" t="s">
        <v>1774</v>
      </c>
      <c r="TX1" t="s">
        <v>1778</v>
      </c>
      <c r="TY1" t="s">
        <v>1781</v>
      </c>
      <c r="TZ1" t="s">
        <v>1783</v>
      </c>
      <c r="UA1" t="s">
        <v>1786</v>
      </c>
      <c r="UB1" t="s">
        <v>1789</v>
      </c>
      <c r="UC1" t="s">
        <v>1792</v>
      </c>
      <c r="UD1" t="s">
        <v>1793</v>
      </c>
      <c r="UE1" t="s">
        <v>1797</v>
      </c>
      <c r="UF1" t="s">
        <v>1798</v>
      </c>
      <c r="UG1" t="s">
        <v>1801</v>
      </c>
      <c r="UH1" t="s">
        <v>1802</v>
      </c>
      <c r="UI1" t="s">
        <v>1804</v>
      </c>
      <c r="UJ1" t="s">
        <v>1806</v>
      </c>
      <c r="UK1" t="s">
        <v>1810</v>
      </c>
      <c r="UL1" t="s">
        <v>1813</v>
      </c>
      <c r="UM1" t="s">
        <v>1816</v>
      </c>
      <c r="UN1" t="s">
        <v>1818</v>
      </c>
      <c r="UO1" t="s">
        <v>1819</v>
      </c>
      <c r="UP1" t="s">
        <v>1821</v>
      </c>
      <c r="UQ1" t="s">
        <v>1824</v>
      </c>
      <c r="UR1" t="s">
        <v>1825</v>
      </c>
      <c r="US1" t="s">
        <v>1828</v>
      </c>
      <c r="UT1" t="s">
        <v>1830</v>
      </c>
      <c r="UU1" t="s">
        <v>1834</v>
      </c>
      <c r="UV1" t="s">
        <v>1835</v>
      </c>
      <c r="UW1" t="s">
        <v>1837</v>
      </c>
      <c r="UX1" t="s">
        <v>1840</v>
      </c>
      <c r="UY1" t="s">
        <v>1843</v>
      </c>
      <c r="UZ1" t="s">
        <v>1845</v>
      </c>
      <c r="VA1" t="s">
        <v>1846</v>
      </c>
      <c r="VB1" t="s">
        <v>1850</v>
      </c>
      <c r="VC1" t="s">
        <v>1852</v>
      </c>
      <c r="VD1" t="s">
        <v>1854</v>
      </c>
      <c r="VE1" t="s">
        <v>1857</v>
      </c>
      <c r="VF1" t="s">
        <v>1859</v>
      </c>
      <c r="VG1" t="s">
        <v>1862</v>
      </c>
      <c r="VH1" t="s">
        <v>1865</v>
      </c>
      <c r="VI1" t="s">
        <v>1866</v>
      </c>
      <c r="VJ1" t="s">
        <v>1870</v>
      </c>
      <c r="VK1" t="s">
        <v>1873</v>
      </c>
      <c r="VL1" t="s">
        <v>1875</v>
      </c>
      <c r="VM1" t="s">
        <v>1877</v>
      </c>
      <c r="VN1" t="s">
        <v>1880</v>
      </c>
      <c r="VO1" t="s">
        <v>1883</v>
      </c>
      <c r="VP1" t="s">
        <v>1886</v>
      </c>
      <c r="VQ1" t="s">
        <v>1887</v>
      </c>
      <c r="VR1" t="s">
        <v>1888</v>
      </c>
      <c r="VS1" t="s">
        <v>1890</v>
      </c>
      <c r="VT1" t="s">
        <v>1893</v>
      </c>
      <c r="VU1" t="s">
        <v>1896</v>
      </c>
      <c r="VV1" t="s">
        <v>1897</v>
      </c>
      <c r="VW1" t="s">
        <v>1900</v>
      </c>
      <c r="VX1" t="s">
        <v>1903</v>
      </c>
      <c r="VY1" t="s">
        <v>1906</v>
      </c>
      <c r="VZ1" t="s">
        <v>1909</v>
      </c>
      <c r="WA1" t="s">
        <v>1912</v>
      </c>
      <c r="WB1" t="s">
        <v>1915</v>
      </c>
      <c r="WC1" t="s">
        <v>1916</v>
      </c>
      <c r="WD1" t="s">
        <v>1918</v>
      </c>
      <c r="WE1" t="s">
        <v>1919</v>
      </c>
      <c r="WF1" t="s">
        <v>1921</v>
      </c>
      <c r="WG1" t="s">
        <v>1925</v>
      </c>
      <c r="WH1" t="s">
        <v>1927</v>
      </c>
      <c r="WI1" t="s">
        <v>1929</v>
      </c>
      <c r="WJ1" t="s">
        <v>1931</v>
      </c>
      <c r="WK1" t="s">
        <v>1932</v>
      </c>
      <c r="WL1" t="s">
        <v>1935</v>
      </c>
      <c r="WM1" t="s">
        <v>1939</v>
      </c>
      <c r="WN1" t="s">
        <v>1943</v>
      </c>
      <c r="WO1" t="s">
        <v>1945</v>
      </c>
      <c r="WP1" t="s">
        <v>1948</v>
      </c>
      <c r="WQ1" t="s">
        <v>1951</v>
      </c>
      <c r="WR1" t="s">
        <v>1954</v>
      </c>
      <c r="WS1" t="s">
        <v>1956</v>
      </c>
      <c r="WT1" t="s">
        <v>1958</v>
      </c>
      <c r="WU1" t="s">
        <v>1960</v>
      </c>
      <c r="WV1" t="s">
        <v>1962</v>
      </c>
      <c r="WW1" t="s">
        <v>1964</v>
      </c>
      <c r="WX1" t="s">
        <v>1967</v>
      </c>
      <c r="WY1" t="s">
        <v>1970</v>
      </c>
      <c r="WZ1" t="s">
        <v>1972</v>
      </c>
      <c r="XA1" t="s">
        <v>1974</v>
      </c>
      <c r="XB1" t="s">
        <v>1977</v>
      </c>
      <c r="XC1" t="s">
        <v>1980</v>
      </c>
      <c r="XD1" t="s">
        <v>1983</v>
      </c>
      <c r="XE1" t="s">
        <v>1985</v>
      </c>
      <c r="XF1" t="s">
        <v>1988</v>
      </c>
      <c r="XG1" t="s">
        <v>1989</v>
      </c>
      <c r="XH1" t="s">
        <v>1993</v>
      </c>
      <c r="XI1" t="s">
        <v>1996</v>
      </c>
      <c r="XJ1" t="s">
        <v>1999</v>
      </c>
      <c r="XK1" t="s">
        <v>2001</v>
      </c>
      <c r="XL1" t="s">
        <v>2004</v>
      </c>
      <c r="XM1" t="s">
        <v>2005</v>
      </c>
      <c r="XN1" t="s">
        <v>2008</v>
      </c>
      <c r="XO1" t="s">
        <v>2009</v>
      </c>
      <c r="XP1" t="s">
        <v>2011</v>
      </c>
      <c r="XQ1" t="s">
        <v>2012</v>
      </c>
      <c r="XR1" t="s">
        <v>2016</v>
      </c>
      <c r="XS1" t="s">
        <v>2018</v>
      </c>
      <c r="XT1" t="s">
        <v>2020</v>
      </c>
      <c r="XU1" t="s">
        <v>2022</v>
      </c>
      <c r="XV1" t="s">
        <v>2025</v>
      </c>
      <c r="XW1" t="s">
        <v>2028</v>
      </c>
      <c r="XX1" t="s">
        <v>2031</v>
      </c>
      <c r="XY1" t="s">
        <v>2032</v>
      </c>
      <c r="XZ1" t="s">
        <v>2034</v>
      </c>
      <c r="YA1" t="s">
        <v>2037</v>
      </c>
      <c r="YB1" t="s">
        <v>2040</v>
      </c>
      <c r="YC1" t="s">
        <v>2042</v>
      </c>
      <c r="YD1" t="s">
        <v>2046</v>
      </c>
      <c r="YE1" t="s">
        <v>2047</v>
      </c>
      <c r="YF1" t="s">
        <v>2048</v>
      </c>
      <c r="YG1" t="s">
        <v>2051</v>
      </c>
      <c r="YH1" t="s">
        <v>2054</v>
      </c>
      <c r="YI1" t="s">
        <v>2057</v>
      </c>
      <c r="YJ1" t="s">
        <v>2059</v>
      </c>
      <c r="YK1" t="s">
        <v>2060</v>
      </c>
      <c r="YL1" t="s">
        <v>2062</v>
      </c>
      <c r="YM1" t="s">
        <v>2065</v>
      </c>
      <c r="YN1" t="s">
        <v>2067</v>
      </c>
      <c r="YO1" t="s">
        <v>2070</v>
      </c>
      <c r="YP1" t="s">
        <v>2071</v>
      </c>
      <c r="YQ1" t="s">
        <v>2074</v>
      </c>
      <c r="YR1" t="s">
        <v>2077</v>
      </c>
      <c r="YS1" t="s">
        <v>2079</v>
      </c>
      <c r="YT1" t="s">
        <v>2082</v>
      </c>
      <c r="YU1" t="s">
        <v>2083</v>
      </c>
      <c r="YV1" t="s">
        <v>2085</v>
      </c>
      <c r="YW1" t="s">
        <v>2088</v>
      </c>
      <c r="YX1" t="s">
        <v>2091</v>
      </c>
      <c r="YY1" t="s">
        <v>2092</v>
      </c>
      <c r="YZ1" t="s">
        <v>2094</v>
      </c>
      <c r="ZA1" t="s">
        <v>2096</v>
      </c>
      <c r="ZB1" t="s">
        <v>2098</v>
      </c>
      <c r="ZC1" t="s">
        <v>2100</v>
      </c>
      <c r="ZD1" t="s">
        <v>2104</v>
      </c>
      <c r="ZE1" t="s">
        <v>2105</v>
      </c>
      <c r="ZF1" t="s">
        <v>2107</v>
      </c>
      <c r="ZG1" t="s">
        <v>2109</v>
      </c>
      <c r="ZH1" t="s">
        <v>2111</v>
      </c>
      <c r="ZI1" t="s">
        <v>2114</v>
      </c>
      <c r="ZJ1" t="s">
        <v>2117</v>
      </c>
      <c r="ZK1" t="s">
        <v>2120</v>
      </c>
      <c r="ZL1" t="s">
        <v>2123</v>
      </c>
      <c r="ZM1" t="s">
        <v>2126</v>
      </c>
      <c r="ZN1" t="s">
        <v>2128</v>
      </c>
      <c r="ZO1" t="s">
        <v>2130</v>
      </c>
      <c r="ZP1" t="s">
        <v>2132</v>
      </c>
      <c r="ZQ1" t="s">
        <v>2134</v>
      </c>
      <c r="ZR1" t="s">
        <v>2137</v>
      </c>
      <c r="ZS1" t="s">
        <v>2138</v>
      </c>
      <c r="ZT1" t="s">
        <v>2139</v>
      </c>
      <c r="ZU1" t="s">
        <v>2142</v>
      </c>
      <c r="ZV1" t="s">
        <v>2143</v>
      </c>
      <c r="ZW1" t="s">
        <v>2147</v>
      </c>
      <c r="ZX1" t="s">
        <v>2148</v>
      </c>
      <c r="ZY1" t="s">
        <v>2150</v>
      </c>
      <c r="ZZ1" t="s">
        <v>2154</v>
      </c>
      <c r="AAA1" t="s">
        <v>2156</v>
      </c>
      <c r="AAB1" t="s">
        <v>2157</v>
      </c>
      <c r="AAC1" t="s">
        <v>2160</v>
      </c>
      <c r="AAD1" t="s">
        <v>2161</v>
      </c>
      <c r="AAE1" t="s">
        <v>2163</v>
      </c>
      <c r="AAF1" t="s">
        <v>2166</v>
      </c>
      <c r="AAG1" t="s">
        <v>2169</v>
      </c>
      <c r="AAH1" t="s">
        <v>2171</v>
      </c>
      <c r="AAI1" t="s">
        <v>2174</v>
      </c>
      <c r="AAJ1" t="s">
        <v>2176</v>
      </c>
      <c r="AAK1" t="s">
        <v>2179</v>
      </c>
      <c r="AAL1" t="s">
        <v>2182</v>
      </c>
      <c r="AAM1" t="s">
        <v>2185</v>
      </c>
      <c r="AAN1" t="s">
        <v>2186</v>
      </c>
      <c r="AAO1" t="s">
        <v>2188</v>
      </c>
      <c r="AAP1" t="s">
        <v>2190</v>
      </c>
      <c r="AAQ1" t="s">
        <v>2191</v>
      </c>
      <c r="AAR1" t="s">
        <v>2193</v>
      </c>
      <c r="AAS1" t="s">
        <v>2196</v>
      </c>
      <c r="AAT1" t="s">
        <v>2198</v>
      </c>
      <c r="AAU1" t="s">
        <v>2200</v>
      </c>
      <c r="AAV1" t="s">
        <v>2202</v>
      </c>
      <c r="AAW1" t="s">
        <v>2204</v>
      </c>
      <c r="AAX1" t="s">
        <v>2206</v>
      </c>
      <c r="AAY1" t="s">
        <v>2209</v>
      </c>
      <c r="AAZ1" t="s">
        <v>2211</v>
      </c>
      <c r="ABA1" t="s">
        <v>2213</v>
      </c>
      <c r="ABB1" t="s">
        <v>2215</v>
      </c>
      <c r="ABC1" t="s">
        <v>2219</v>
      </c>
      <c r="ABD1" t="s">
        <v>2221</v>
      </c>
      <c r="ABE1" t="s">
        <v>2222</v>
      </c>
      <c r="ABF1" t="s">
        <v>2224</v>
      </c>
      <c r="ABG1" t="s">
        <v>2226</v>
      </c>
      <c r="ABH1" t="s">
        <v>2228</v>
      </c>
      <c r="ABI1" t="s">
        <v>2230</v>
      </c>
      <c r="ABJ1" t="s">
        <v>2232</v>
      </c>
      <c r="ABK1" t="s">
        <v>2233</v>
      </c>
      <c r="ABL1" t="s">
        <v>2235</v>
      </c>
      <c r="ABM1" t="s">
        <v>2238</v>
      </c>
      <c r="ABN1" t="s">
        <v>2241</v>
      </c>
      <c r="ABO1" t="s">
        <v>2244</v>
      </c>
      <c r="ABP1" t="s">
        <v>2247</v>
      </c>
      <c r="ABQ1" t="s">
        <v>2249</v>
      </c>
      <c r="ABR1" t="s">
        <v>2251</v>
      </c>
      <c r="ABS1" t="s">
        <v>2254</v>
      </c>
      <c r="ABT1" t="s">
        <v>2255</v>
      </c>
      <c r="ABU1" t="s">
        <v>2256</v>
      </c>
      <c r="ABV1" t="s">
        <v>2258</v>
      </c>
      <c r="ABW1" t="s">
        <v>2260</v>
      </c>
      <c r="ABX1" t="s">
        <v>2263</v>
      </c>
      <c r="ABY1" t="s">
        <v>2265</v>
      </c>
      <c r="ABZ1" t="s">
        <v>2266</v>
      </c>
      <c r="ACA1" t="s">
        <v>2268</v>
      </c>
      <c r="ACB1" t="s">
        <v>2269</v>
      </c>
      <c r="ACC1" t="s">
        <v>2272</v>
      </c>
      <c r="ACD1" t="s">
        <v>2275</v>
      </c>
      <c r="ACE1" t="s">
        <v>2279</v>
      </c>
      <c r="ACF1" t="s">
        <v>2280</v>
      </c>
      <c r="ACG1" t="s">
        <v>2281</v>
      </c>
      <c r="ACH1" t="s">
        <v>2283</v>
      </c>
      <c r="ACI1" t="s">
        <v>2286</v>
      </c>
      <c r="ACJ1" t="s">
        <v>2288</v>
      </c>
      <c r="ACK1" t="s">
        <v>2290</v>
      </c>
      <c r="ACL1" t="s">
        <v>2293</v>
      </c>
      <c r="ACM1" t="s">
        <v>2295</v>
      </c>
      <c r="ACN1" t="s">
        <v>2297</v>
      </c>
      <c r="ACO1" t="s">
        <v>2300</v>
      </c>
      <c r="ACP1" t="s">
        <v>2304</v>
      </c>
      <c r="ACQ1" t="s">
        <v>2306</v>
      </c>
      <c r="ACR1" t="s">
        <v>2308</v>
      </c>
      <c r="ACS1" t="s">
        <v>2309</v>
      </c>
      <c r="ACT1" t="s">
        <v>2310</v>
      </c>
      <c r="ACU1" t="s">
        <v>2313</v>
      </c>
      <c r="ACV1" t="s">
        <v>2315</v>
      </c>
      <c r="ACW1" t="s">
        <v>2317</v>
      </c>
      <c r="ACX1" t="s">
        <v>2318</v>
      </c>
      <c r="ACY1" t="s">
        <v>2319</v>
      </c>
      <c r="ACZ1" t="s">
        <v>2321</v>
      </c>
      <c r="ADA1" t="s">
        <v>2323</v>
      </c>
      <c r="ADB1" t="s">
        <v>2325</v>
      </c>
      <c r="ADC1" t="s">
        <v>2327</v>
      </c>
      <c r="ADD1" t="s">
        <v>2328</v>
      </c>
      <c r="ADE1" t="s">
        <v>2330</v>
      </c>
      <c r="ADF1" t="s">
        <v>2333</v>
      </c>
      <c r="ADG1" t="s">
        <v>2335</v>
      </c>
      <c r="ADH1" t="s">
        <v>2338</v>
      </c>
      <c r="ADI1" t="s">
        <v>2341</v>
      </c>
      <c r="ADJ1" t="s">
        <v>2343</v>
      </c>
      <c r="ADK1" t="s">
        <v>2345</v>
      </c>
      <c r="ADL1" t="s">
        <v>2348</v>
      </c>
      <c r="ADM1" t="s">
        <v>2351</v>
      </c>
      <c r="ADN1" t="s">
        <v>2354</v>
      </c>
      <c r="ADO1" t="s">
        <v>2358</v>
      </c>
      <c r="ADP1" t="s">
        <v>2360</v>
      </c>
      <c r="ADQ1" t="s">
        <v>2361</v>
      </c>
      <c r="ADR1" t="s">
        <v>2362</v>
      </c>
      <c r="ADS1" t="s">
        <v>2365</v>
      </c>
      <c r="ADT1" t="s">
        <v>2368</v>
      </c>
      <c r="ADU1" t="s">
        <v>2370</v>
      </c>
      <c r="ADV1" t="s">
        <v>2372</v>
      </c>
      <c r="ADW1" t="s">
        <v>2374</v>
      </c>
      <c r="ADX1" t="s">
        <v>2377</v>
      </c>
      <c r="ADY1" t="s">
        <v>2380</v>
      </c>
      <c r="ADZ1" t="s">
        <v>2381</v>
      </c>
      <c r="AEA1" t="s">
        <v>2385</v>
      </c>
      <c r="AEB1" t="s">
        <v>2388</v>
      </c>
      <c r="AEC1" t="s">
        <v>2390</v>
      </c>
      <c r="AED1" t="s">
        <v>2392</v>
      </c>
      <c r="AEE1" t="s">
        <v>2394</v>
      </c>
      <c r="AEF1" t="s">
        <v>2397</v>
      </c>
      <c r="AEG1" t="s">
        <v>2398</v>
      </c>
      <c r="AEH1" t="s">
        <v>2400</v>
      </c>
      <c r="AEI1" t="s">
        <v>2403</v>
      </c>
      <c r="AEJ1" t="s">
        <v>2406</v>
      </c>
      <c r="AEK1" t="s">
        <v>2408</v>
      </c>
      <c r="AEL1" t="s">
        <v>2411</v>
      </c>
      <c r="AEM1" t="s">
        <v>2413</v>
      </c>
      <c r="AEN1" t="s">
        <v>2416</v>
      </c>
      <c r="AEO1" t="s">
        <v>2417</v>
      </c>
      <c r="AEP1" t="s">
        <v>2419</v>
      </c>
      <c r="AEQ1" t="s">
        <v>2422</v>
      </c>
      <c r="AER1" t="s">
        <v>2425</v>
      </c>
      <c r="AES1" t="s">
        <v>2427</v>
      </c>
      <c r="AET1" t="s">
        <v>2428</v>
      </c>
      <c r="AEU1" t="s">
        <v>2430</v>
      </c>
      <c r="AEV1" t="s">
        <v>2431</v>
      </c>
      <c r="AEW1" t="s">
        <v>2432</v>
      </c>
      <c r="AEX1" t="s">
        <v>2435</v>
      </c>
      <c r="AEY1" t="s">
        <v>2437</v>
      </c>
      <c r="AEZ1" t="s">
        <v>2440</v>
      </c>
      <c r="AFA1" t="s">
        <v>2444</v>
      </c>
      <c r="AFB1" t="s">
        <v>2447</v>
      </c>
      <c r="AFC1" t="s">
        <v>2449</v>
      </c>
      <c r="AFD1" t="s">
        <v>2452</v>
      </c>
      <c r="AFE1" t="s">
        <v>2455</v>
      </c>
      <c r="AFF1" t="s">
        <v>2457</v>
      </c>
      <c r="AFG1" t="s">
        <v>2459</v>
      </c>
      <c r="AFH1" t="s">
        <v>2462</v>
      </c>
      <c r="AFI1" t="s">
        <v>2466</v>
      </c>
      <c r="AFJ1" t="s">
        <v>2468</v>
      </c>
      <c r="AFK1" t="s">
        <v>2469</v>
      </c>
      <c r="AFL1" t="s">
        <v>2471</v>
      </c>
      <c r="AFM1" t="s">
        <v>2473</v>
      </c>
      <c r="AFN1" t="s">
        <v>2475</v>
      </c>
      <c r="AFO1" t="s">
        <v>2477</v>
      </c>
      <c r="AFP1" t="s">
        <v>2478</v>
      </c>
      <c r="AFQ1" t="s">
        <v>2481</v>
      </c>
      <c r="AFR1" t="s">
        <v>2483</v>
      </c>
      <c r="AFS1" t="s">
        <v>2485</v>
      </c>
      <c r="AFT1" t="s">
        <v>2488</v>
      </c>
      <c r="AFU1" t="s">
        <v>2491</v>
      </c>
      <c r="AFV1" t="s">
        <v>2492</v>
      </c>
      <c r="AFW1" t="s">
        <v>2494</v>
      </c>
      <c r="AFX1" t="s">
        <v>2496</v>
      </c>
      <c r="AFY1" t="s">
        <v>2498</v>
      </c>
      <c r="AFZ1" t="s">
        <v>2501</v>
      </c>
      <c r="AGA1" t="s">
        <v>2502</v>
      </c>
      <c r="AGB1" t="s">
        <v>2505</v>
      </c>
      <c r="AGC1" t="s">
        <v>2507</v>
      </c>
      <c r="AGD1" t="s">
        <v>2508</v>
      </c>
      <c r="AGE1" t="s">
        <v>2509</v>
      </c>
      <c r="AGF1" t="s">
        <v>2513</v>
      </c>
      <c r="AGG1" t="s">
        <v>2515</v>
      </c>
      <c r="AGH1" t="s">
        <v>2516</v>
      </c>
      <c r="AGI1" t="s">
        <v>2517</v>
      </c>
      <c r="AGJ1" t="s">
        <v>2519</v>
      </c>
      <c r="AGK1" t="s">
        <v>2521</v>
      </c>
      <c r="AGL1" t="s">
        <v>2524</v>
      </c>
      <c r="AGM1" t="s">
        <v>2528</v>
      </c>
      <c r="AGN1" t="s">
        <v>2530</v>
      </c>
      <c r="AGO1" t="s">
        <v>2533</v>
      </c>
      <c r="AGP1" t="s">
        <v>2536</v>
      </c>
      <c r="AGQ1" t="s">
        <v>2537</v>
      </c>
      <c r="AGR1" t="s">
        <v>2538</v>
      </c>
      <c r="AGS1" t="s">
        <v>2542</v>
      </c>
      <c r="AGT1" t="s">
        <v>2544</v>
      </c>
      <c r="AGU1" t="s">
        <v>2546</v>
      </c>
      <c r="AGV1" t="s">
        <v>2548</v>
      </c>
      <c r="AGW1" t="s">
        <v>2550</v>
      </c>
      <c r="AGX1" t="s">
        <v>2552</v>
      </c>
      <c r="AGY1" t="s">
        <v>2554</v>
      </c>
      <c r="AGZ1" t="s">
        <v>2556</v>
      </c>
      <c r="AHA1" t="s">
        <v>2558</v>
      </c>
      <c r="AHB1" t="s">
        <v>2559</v>
      </c>
      <c r="AHC1" t="s">
        <v>2560</v>
      </c>
      <c r="AHD1" t="s">
        <v>2563</v>
      </c>
      <c r="AHE1" t="s">
        <v>2565</v>
      </c>
      <c r="AHF1" t="s">
        <v>2567</v>
      </c>
      <c r="AHG1" t="s">
        <v>2569</v>
      </c>
      <c r="AHH1" t="s">
        <v>2571</v>
      </c>
      <c r="AHI1" t="s">
        <v>2573</v>
      </c>
      <c r="AHJ1" t="s">
        <v>2574</v>
      </c>
      <c r="AHK1" t="s">
        <v>2575</v>
      </c>
      <c r="AHL1" t="s">
        <v>2576</v>
      </c>
      <c r="AHM1" t="s">
        <v>2577</v>
      </c>
      <c r="AHN1" t="s">
        <v>2580</v>
      </c>
      <c r="AHO1" t="s">
        <v>2581</v>
      </c>
      <c r="AHP1" t="s">
        <v>2584</v>
      </c>
      <c r="AHQ1" t="s">
        <v>2587</v>
      </c>
      <c r="AHR1" t="s">
        <v>2588</v>
      </c>
      <c r="AHS1" t="s">
        <v>2589</v>
      </c>
      <c r="AHT1" t="s">
        <v>2592</v>
      </c>
      <c r="AHU1" t="s">
        <v>2594</v>
      </c>
      <c r="AHV1" t="s">
        <v>2597</v>
      </c>
      <c r="AHW1" t="s">
        <v>2600</v>
      </c>
      <c r="AHX1" t="s">
        <v>2602</v>
      </c>
      <c r="AHY1" t="s">
        <v>2603</v>
      </c>
      <c r="AHZ1" t="s">
        <v>2605</v>
      </c>
      <c r="AIA1" t="s">
        <v>2607</v>
      </c>
      <c r="AIB1" t="s">
        <v>2608</v>
      </c>
      <c r="AIC1" t="s">
        <v>2609</v>
      </c>
      <c r="AID1" t="s">
        <v>2612</v>
      </c>
      <c r="AIE1" t="s">
        <v>2613</v>
      </c>
      <c r="AIF1" t="s">
        <v>2615</v>
      </c>
      <c r="AIG1" t="s">
        <v>2617</v>
      </c>
      <c r="AIH1" t="s">
        <v>2618</v>
      </c>
      <c r="AII1" t="s">
        <v>2620</v>
      </c>
      <c r="AIJ1" t="s">
        <v>2624</v>
      </c>
      <c r="AIK1" t="s">
        <v>2626</v>
      </c>
      <c r="AIL1" t="s">
        <v>2627</v>
      </c>
      <c r="AIM1" t="s">
        <v>2630</v>
      </c>
      <c r="AIN1" t="s">
        <v>2631</v>
      </c>
      <c r="AIO1" t="s">
        <v>2632</v>
      </c>
      <c r="AIP1" t="s">
        <v>2634</v>
      </c>
      <c r="AIQ1" t="s">
        <v>2635</v>
      </c>
      <c r="AIR1" t="s">
        <v>2638</v>
      </c>
      <c r="AIS1" t="s">
        <v>2639</v>
      </c>
      <c r="AIT1" t="s">
        <v>2640</v>
      </c>
      <c r="AIU1" t="s">
        <v>2642</v>
      </c>
      <c r="AIV1" t="s">
        <v>2643</v>
      </c>
      <c r="AIW1" t="s">
        <v>2645</v>
      </c>
      <c r="AIX1" t="s">
        <v>2646</v>
      </c>
      <c r="AIY1" t="s">
        <v>2648</v>
      </c>
      <c r="AIZ1" t="s">
        <v>2650</v>
      </c>
      <c r="AJA1" t="s">
        <v>2652</v>
      </c>
      <c r="AJB1" t="s">
        <v>2653</v>
      </c>
      <c r="AJC1" t="s">
        <v>2656</v>
      </c>
      <c r="AJD1" t="s">
        <v>2657</v>
      </c>
      <c r="AJE1" t="s">
        <v>2658</v>
      </c>
      <c r="AJF1" t="s">
        <v>2659</v>
      </c>
      <c r="AJG1" t="s">
        <v>2661</v>
      </c>
      <c r="AJH1" t="s">
        <v>2662</v>
      </c>
      <c r="AJI1" t="s">
        <v>2663</v>
      </c>
      <c r="AJJ1" t="s">
        <v>2664</v>
      </c>
      <c r="AJK1" t="s">
        <v>2667</v>
      </c>
      <c r="AJL1" t="s">
        <v>2670</v>
      </c>
      <c r="AJM1" t="s">
        <v>2671</v>
      </c>
      <c r="AJN1" t="s">
        <v>2672</v>
      </c>
      <c r="AJO1" t="s">
        <v>2673</v>
      </c>
      <c r="AJP1" t="s">
        <v>2674</v>
      </c>
      <c r="AJQ1" t="s">
        <v>2676</v>
      </c>
      <c r="AJR1" t="s">
        <v>2677</v>
      </c>
      <c r="AJS1" t="s">
        <v>2678</v>
      </c>
      <c r="AJT1" t="s">
        <v>2680</v>
      </c>
      <c r="AJU1" t="s">
        <v>2682</v>
      </c>
      <c r="AJV1" t="s">
        <v>2683</v>
      </c>
      <c r="AJW1" t="s">
        <v>2684</v>
      </c>
      <c r="AJX1" t="s">
        <v>2688</v>
      </c>
      <c r="AJY1" t="s">
        <v>2690</v>
      </c>
      <c r="AJZ1" t="s">
        <v>2693</v>
      </c>
      <c r="AKA1" t="s">
        <v>2694</v>
      </c>
      <c r="AKB1" t="s">
        <v>2695</v>
      </c>
      <c r="AKC1" t="s">
        <v>2698</v>
      </c>
      <c r="AKD1" t="s">
        <v>2700</v>
      </c>
      <c r="AKE1" t="s">
        <v>2703</v>
      </c>
      <c r="AKF1" t="s">
        <v>2705</v>
      </c>
      <c r="AKG1" t="s">
        <v>2706</v>
      </c>
      <c r="AKH1" t="s">
        <v>2708</v>
      </c>
      <c r="AKI1" t="s">
        <v>2710</v>
      </c>
      <c r="AKJ1" t="s">
        <v>2712</v>
      </c>
      <c r="AKK1" t="s">
        <v>2713</v>
      </c>
      <c r="AKL1" t="s">
        <v>2714</v>
      </c>
      <c r="AKM1" t="s">
        <v>2715</v>
      </c>
      <c r="AKN1" t="s">
        <v>2717</v>
      </c>
      <c r="AKO1" t="s">
        <v>2718</v>
      </c>
      <c r="AKP1" t="s">
        <v>2720</v>
      </c>
      <c r="AKQ1" t="s">
        <v>2722</v>
      </c>
      <c r="AKR1" t="s">
        <v>2724</v>
      </c>
      <c r="AKS1" t="s">
        <v>2725</v>
      </c>
      <c r="AKT1" t="s">
        <v>2726</v>
      </c>
      <c r="AKU1" t="s">
        <v>2727</v>
      </c>
      <c r="AKV1" t="s">
        <v>2729</v>
      </c>
      <c r="AKW1" t="s">
        <v>2730</v>
      </c>
      <c r="AKX1" t="s">
        <v>2733</v>
      </c>
      <c r="AKY1" t="s">
        <v>2734</v>
      </c>
      <c r="AKZ1" t="s">
        <v>2735</v>
      </c>
      <c r="ALA1" t="s">
        <v>2737</v>
      </c>
      <c r="ALB1" t="s">
        <v>2738</v>
      </c>
      <c r="ALC1" t="s">
        <v>2740</v>
      </c>
      <c r="ALD1" t="s">
        <v>2741</v>
      </c>
      <c r="ALE1" t="s">
        <v>2743</v>
      </c>
      <c r="ALF1" t="s">
        <v>2746</v>
      </c>
      <c r="ALG1" t="s">
        <v>2747</v>
      </c>
      <c r="ALH1" t="s">
        <v>2749</v>
      </c>
      <c r="ALI1" t="s">
        <v>2750</v>
      </c>
      <c r="ALJ1" t="s">
        <v>2751</v>
      </c>
      <c r="ALK1" t="s">
        <v>2753</v>
      </c>
      <c r="ALL1" t="s">
        <v>2754</v>
      </c>
      <c r="ALM1" t="s">
        <v>2755</v>
      </c>
    </row>
    <row r="2" spans="1:1001" x14ac:dyDescent="0.3">
      <c r="A2" s="1" t="s">
        <v>1</v>
      </c>
      <c r="B2" t="s">
        <v>13</v>
      </c>
      <c r="C2" t="s">
        <v>22</v>
      </c>
      <c r="D2" t="s">
        <v>31</v>
      </c>
      <c r="E2" t="s">
        <v>38</v>
      </c>
      <c r="F2" t="s">
        <v>45</v>
      </c>
      <c r="G2" t="s">
        <v>53</v>
      </c>
      <c r="H2" t="s">
        <v>59</v>
      </c>
      <c r="I2" t="s">
        <v>65</v>
      </c>
      <c r="J2" t="s">
        <v>70</v>
      </c>
      <c r="K2" t="s">
        <v>74</v>
      </c>
      <c r="L2" t="s">
        <v>80</v>
      </c>
      <c r="M2" t="s">
        <v>85</v>
      </c>
      <c r="N2" t="s">
        <v>89</v>
      </c>
      <c r="O2" t="s">
        <v>93</v>
      </c>
      <c r="P2" t="s">
        <v>97</v>
      </c>
      <c r="Q2" t="s">
        <v>101</v>
      </c>
      <c r="R2" t="s">
        <v>107</v>
      </c>
      <c r="S2" t="s">
        <v>112</v>
      </c>
      <c r="T2" t="s">
        <v>117</v>
      </c>
      <c r="U2" t="s">
        <v>70</v>
      </c>
      <c r="V2" t="s">
        <v>125</v>
      </c>
      <c r="W2" t="s">
        <v>130</v>
      </c>
      <c r="X2" t="s">
        <v>134</v>
      </c>
      <c r="Y2" t="s">
        <v>137</v>
      </c>
      <c r="Z2" t="s">
        <v>141</v>
      </c>
      <c r="AA2" t="s">
        <v>144</v>
      </c>
      <c r="AB2" t="s">
        <v>107</v>
      </c>
      <c r="AC2" t="s">
        <v>151</v>
      </c>
      <c r="AD2" t="s">
        <v>155</v>
      </c>
      <c r="AE2" t="s">
        <v>159</v>
      </c>
      <c r="AF2" t="s">
        <v>163</v>
      </c>
      <c r="AG2" t="s">
        <v>168</v>
      </c>
      <c r="AH2" t="s">
        <v>97</v>
      </c>
      <c r="AI2" t="s">
        <v>176</v>
      </c>
      <c r="AJ2" t="s">
        <v>181</v>
      </c>
      <c r="AK2" t="s">
        <v>185</v>
      </c>
      <c r="AL2" t="s">
        <v>190</v>
      </c>
      <c r="AM2" t="s">
        <v>193</v>
      </c>
      <c r="AN2" t="s">
        <v>197</v>
      </c>
      <c r="AO2" t="s">
        <v>201</v>
      </c>
      <c r="AP2" t="s">
        <v>205</v>
      </c>
      <c r="AQ2" t="s">
        <v>210</v>
      </c>
      <c r="AR2" t="s">
        <v>214</v>
      </c>
      <c r="AS2" t="s">
        <v>218</v>
      </c>
      <c r="AT2" t="s">
        <v>222</v>
      </c>
      <c r="AU2" t="s">
        <v>226</v>
      </c>
      <c r="AV2" t="s">
        <v>230</v>
      </c>
      <c r="AW2" t="s">
        <v>234</v>
      </c>
      <c r="AX2" t="s">
        <v>238</v>
      </c>
      <c r="AY2" t="s">
        <v>242</v>
      </c>
      <c r="AZ2" t="s">
        <v>246</v>
      </c>
      <c r="BA2" t="s">
        <v>250</v>
      </c>
      <c r="BB2" t="s">
        <v>254</v>
      </c>
      <c r="BC2" t="s">
        <v>258</v>
      </c>
      <c r="BD2" t="s">
        <v>262</v>
      </c>
      <c r="BE2" t="s">
        <v>267</v>
      </c>
      <c r="BF2" t="s">
        <v>271</v>
      </c>
      <c r="BG2" t="s">
        <v>275</v>
      </c>
      <c r="BH2" t="s">
        <v>279</v>
      </c>
      <c r="BI2" t="s">
        <v>283</v>
      </c>
      <c r="BJ2" t="s">
        <v>287</v>
      </c>
      <c r="BK2" t="s">
        <v>291</v>
      </c>
      <c r="BL2" t="s">
        <v>295</v>
      </c>
      <c r="BM2" t="s">
        <v>298</v>
      </c>
      <c r="BN2" t="s">
        <v>301</v>
      </c>
      <c r="BO2" t="s">
        <v>305</v>
      </c>
      <c r="BP2" t="s">
        <v>309</v>
      </c>
      <c r="BQ2" t="s">
        <v>313</v>
      </c>
      <c r="BR2" t="s">
        <v>317</v>
      </c>
      <c r="BS2" t="s">
        <v>320</v>
      </c>
      <c r="BT2" t="s">
        <v>324</v>
      </c>
      <c r="BU2" t="s">
        <v>328</v>
      </c>
      <c r="BV2" t="s">
        <v>332</v>
      </c>
      <c r="BW2" t="s">
        <v>336</v>
      </c>
      <c r="BX2" t="s">
        <v>339</v>
      </c>
      <c r="BY2" t="s">
        <v>343</v>
      </c>
      <c r="BZ2" t="s">
        <v>347</v>
      </c>
      <c r="CA2" t="s">
        <v>351</v>
      </c>
      <c r="CB2" t="s">
        <v>355</v>
      </c>
      <c r="CC2" t="s">
        <v>359</v>
      </c>
      <c r="CD2" t="s">
        <v>74</v>
      </c>
      <c r="CE2" t="s">
        <v>366</v>
      </c>
      <c r="CF2" t="s">
        <v>370</v>
      </c>
      <c r="CG2" t="s">
        <v>287</v>
      </c>
      <c r="CH2" t="s">
        <v>377</v>
      </c>
      <c r="CI2" t="s">
        <v>381</v>
      </c>
      <c r="CJ2" t="s">
        <v>385</v>
      </c>
      <c r="CK2" t="s">
        <v>389</v>
      </c>
      <c r="CL2" t="s">
        <v>393</v>
      </c>
      <c r="CM2" t="s">
        <v>397</v>
      </c>
      <c r="CN2" t="s">
        <v>401</v>
      </c>
      <c r="CO2" t="s">
        <v>405</v>
      </c>
      <c r="CP2" t="s">
        <v>409</v>
      </c>
      <c r="CQ2" t="s">
        <v>412</v>
      </c>
      <c r="CR2" t="s">
        <v>415</v>
      </c>
      <c r="CS2" t="s">
        <v>419</v>
      </c>
      <c r="CT2" t="s">
        <v>422</v>
      </c>
      <c r="CU2" t="s">
        <v>426</v>
      </c>
      <c r="CV2" t="s">
        <v>347</v>
      </c>
      <c r="CW2" t="s">
        <v>433</v>
      </c>
      <c r="CX2" t="s">
        <v>437</v>
      </c>
      <c r="CY2" t="s">
        <v>441</v>
      </c>
      <c r="CZ2" t="s">
        <v>445</v>
      </c>
      <c r="DA2" t="s">
        <v>449</v>
      </c>
      <c r="DB2" t="s">
        <v>453</v>
      </c>
      <c r="DC2" t="s">
        <v>457</v>
      </c>
      <c r="DD2" t="s">
        <v>461</v>
      </c>
      <c r="DE2" t="s">
        <v>464</v>
      </c>
      <c r="DF2" t="s">
        <v>467</v>
      </c>
      <c r="DG2" t="s">
        <v>471</v>
      </c>
      <c r="DH2" t="s">
        <v>474</v>
      </c>
      <c r="DI2" t="s">
        <v>477</v>
      </c>
      <c r="DJ2" t="s">
        <v>328</v>
      </c>
      <c r="DK2" t="s">
        <v>483</v>
      </c>
      <c r="DL2" t="s">
        <v>486</v>
      </c>
      <c r="DM2" t="s">
        <v>490</v>
      </c>
      <c r="DN2" t="s">
        <v>494</v>
      </c>
      <c r="DO2" t="s">
        <v>287</v>
      </c>
      <c r="DP2" t="s">
        <v>501</v>
      </c>
      <c r="DQ2" t="s">
        <v>505</v>
      </c>
      <c r="DR2" t="s">
        <v>509</v>
      </c>
      <c r="DS2" t="s">
        <v>59</v>
      </c>
      <c r="DT2" t="s">
        <v>163</v>
      </c>
      <c r="DU2" t="s">
        <v>519</v>
      </c>
      <c r="DV2" t="s">
        <v>522</v>
      </c>
      <c r="DW2" t="s">
        <v>526</v>
      </c>
      <c r="DX2" t="s">
        <v>530</v>
      </c>
      <c r="DY2" t="s">
        <v>534</v>
      </c>
      <c r="DZ2" t="s">
        <v>538</v>
      </c>
      <c r="EA2" t="s">
        <v>542</v>
      </c>
      <c r="EB2" t="s">
        <v>546</v>
      </c>
      <c r="EC2" t="s">
        <v>550</v>
      </c>
      <c r="ED2" t="s">
        <v>295</v>
      </c>
      <c r="EE2" t="s">
        <v>557</v>
      </c>
      <c r="EF2" t="s">
        <v>561</v>
      </c>
      <c r="EG2" t="s">
        <v>564</v>
      </c>
      <c r="EH2" t="s">
        <v>117</v>
      </c>
      <c r="EI2" t="s">
        <v>568</v>
      </c>
      <c r="EJ2" t="s">
        <v>571</v>
      </c>
      <c r="EK2" t="s">
        <v>575</v>
      </c>
      <c r="EL2" t="s">
        <v>579</v>
      </c>
      <c r="EM2" t="s">
        <v>582</v>
      </c>
      <c r="EN2" t="s">
        <v>586</v>
      </c>
      <c r="EO2" t="s">
        <v>589</v>
      </c>
      <c r="EP2" t="s">
        <v>593</v>
      </c>
      <c r="EQ2" t="s">
        <v>597</v>
      </c>
      <c r="ER2" t="s">
        <v>601</v>
      </c>
      <c r="ES2" t="s">
        <v>605</v>
      </c>
      <c r="ET2" t="s">
        <v>609</v>
      </c>
      <c r="EU2" t="s">
        <v>613</v>
      </c>
      <c r="EV2" t="s">
        <v>616</v>
      </c>
      <c r="EW2" t="s">
        <v>393</v>
      </c>
      <c r="EX2" t="s">
        <v>623</v>
      </c>
      <c r="EY2" t="s">
        <v>626</v>
      </c>
      <c r="EZ2" t="s">
        <v>630</v>
      </c>
      <c r="FA2" t="s">
        <v>634</v>
      </c>
      <c r="FB2" t="s">
        <v>262</v>
      </c>
      <c r="FC2" t="s">
        <v>639</v>
      </c>
      <c r="FD2" t="s">
        <v>642</v>
      </c>
      <c r="FE2" t="s">
        <v>646</v>
      </c>
      <c r="FF2" t="s">
        <v>650</v>
      </c>
      <c r="FG2" t="s">
        <v>654</v>
      </c>
      <c r="FH2" t="s">
        <v>159</v>
      </c>
      <c r="FI2" t="s">
        <v>660</v>
      </c>
      <c r="FJ2" t="s">
        <v>664</v>
      </c>
      <c r="FK2" t="s">
        <v>668</v>
      </c>
      <c r="FL2" t="s">
        <v>672</v>
      </c>
      <c r="FM2" t="s">
        <v>676</v>
      </c>
      <c r="FN2" t="s">
        <v>112</v>
      </c>
      <c r="FO2" t="s">
        <v>683</v>
      </c>
      <c r="FP2" t="s">
        <v>687</v>
      </c>
      <c r="FQ2" t="s">
        <v>419</v>
      </c>
      <c r="FR2" t="s">
        <v>542</v>
      </c>
      <c r="FS2" t="s">
        <v>613</v>
      </c>
      <c r="FT2" t="s">
        <v>699</v>
      </c>
      <c r="FU2" t="s">
        <v>703</v>
      </c>
      <c r="FV2" t="s">
        <v>706</v>
      </c>
      <c r="FW2" t="s">
        <v>709</v>
      </c>
      <c r="FX2" t="s">
        <v>467</v>
      </c>
      <c r="FY2" t="s">
        <v>716</v>
      </c>
      <c r="FZ2" t="s">
        <v>65</v>
      </c>
      <c r="GA2" t="s">
        <v>112</v>
      </c>
      <c r="GB2" t="s">
        <v>725</v>
      </c>
      <c r="GC2" t="s">
        <v>728</v>
      </c>
      <c r="GD2" t="s">
        <v>731</v>
      </c>
      <c r="GE2" t="s">
        <v>550</v>
      </c>
      <c r="GF2" t="s">
        <v>738</v>
      </c>
      <c r="GG2" t="s">
        <v>742</v>
      </c>
      <c r="GH2" t="s">
        <v>746</v>
      </c>
      <c r="GI2" t="s">
        <v>750</v>
      </c>
      <c r="GJ2" t="s">
        <v>753</v>
      </c>
      <c r="GK2" t="s">
        <v>756</v>
      </c>
      <c r="GL2" t="s">
        <v>65</v>
      </c>
      <c r="GM2" t="s">
        <v>389</v>
      </c>
      <c r="GN2" t="s">
        <v>275</v>
      </c>
      <c r="GO2" t="s">
        <v>768</v>
      </c>
      <c r="GP2" t="s">
        <v>609</v>
      </c>
      <c r="GQ2" t="s">
        <v>773</v>
      </c>
      <c r="GR2" t="s">
        <v>777</v>
      </c>
      <c r="GS2" t="s">
        <v>780</v>
      </c>
      <c r="GT2" t="s">
        <v>784</v>
      </c>
      <c r="GU2" t="s">
        <v>74</v>
      </c>
      <c r="GV2" t="s">
        <v>790</v>
      </c>
      <c r="GW2" t="s">
        <v>794</v>
      </c>
      <c r="GX2" t="s">
        <v>441</v>
      </c>
      <c r="GY2" t="s">
        <v>800</v>
      </c>
      <c r="GZ2" t="s">
        <v>804</v>
      </c>
      <c r="HA2" t="s">
        <v>250</v>
      </c>
      <c r="HB2" t="s">
        <v>811</v>
      </c>
      <c r="HC2" t="s">
        <v>814</v>
      </c>
      <c r="HD2" t="s">
        <v>377</v>
      </c>
      <c r="HE2" t="s">
        <v>377</v>
      </c>
      <c r="HF2" t="s">
        <v>823</v>
      </c>
      <c r="HG2" t="s">
        <v>827</v>
      </c>
      <c r="HH2" t="s">
        <v>731</v>
      </c>
      <c r="HI2" t="s">
        <v>437</v>
      </c>
      <c r="HJ2" t="s">
        <v>474</v>
      </c>
      <c r="HK2" t="s">
        <v>840</v>
      </c>
      <c r="HL2" t="s">
        <v>844</v>
      </c>
      <c r="HM2" t="s">
        <v>13</v>
      </c>
      <c r="HN2" t="s">
        <v>654</v>
      </c>
      <c r="HO2" t="s">
        <v>854</v>
      </c>
      <c r="HP2" t="s">
        <v>141</v>
      </c>
      <c r="HQ2" t="s">
        <v>859</v>
      </c>
      <c r="HR2" t="s">
        <v>862</v>
      </c>
      <c r="HS2" t="s">
        <v>865</v>
      </c>
      <c r="HT2" t="s">
        <v>869</v>
      </c>
      <c r="HU2" t="s">
        <v>873</v>
      </c>
      <c r="HV2" t="s">
        <v>877</v>
      </c>
      <c r="HW2" t="s">
        <v>840</v>
      </c>
      <c r="HX2" t="s">
        <v>883</v>
      </c>
      <c r="HY2" t="s">
        <v>886</v>
      </c>
      <c r="HZ2" t="s">
        <v>862</v>
      </c>
      <c r="IA2" t="s">
        <v>893</v>
      </c>
      <c r="IB2" t="s">
        <v>895</v>
      </c>
      <c r="IC2" t="s">
        <v>898</v>
      </c>
      <c r="ID2" t="s">
        <v>902</v>
      </c>
      <c r="IE2" t="s">
        <v>904</v>
      </c>
      <c r="IF2" t="s">
        <v>908</v>
      </c>
      <c r="IG2" t="s">
        <v>911</v>
      </c>
      <c r="IH2" t="s">
        <v>914</v>
      </c>
      <c r="II2" t="s">
        <v>908</v>
      </c>
      <c r="IJ2" t="s">
        <v>895</v>
      </c>
      <c r="IK2" t="s">
        <v>924</v>
      </c>
      <c r="IL2" t="s">
        <v>483</v>
      </c>
      <c r="IM2" t="s">
        <v>931</v>
      </c>
      <c r="IN2" t="s">
        <v>634</v>
      </c>
      <c r="IO2" t="s">
        <v>938</v>
      </c>
      <c r="IP2" t="s">
        <v>942</v>
      </c>
      <c r="IQ2" t="s">
        <v>328</v>
      </c>
      <c r="IR2" t="s">
        <v>946</v>
      </c>
      <c r="IS2" t="s">
        <v>949</v>
      </c>
      <c r="IT2" t="s">
        <v>214</v>
      </c>
      <c r="IU2" t="s">
        <v>238</v>
      </c>
      <c r="IV2" t="s">
        <v>163</v>
      </c>
      <c r="IW2" t="s">
        <v>419</v>
      </c>
      <c r="IX2" t="s">
        <v>965</v>
      </c>
      <c r="IY2" t="s">
        <v>969</v>
      </c>
      <c r="IZ2" t="s">
        <v>904</v>
      </c>
      <c r="JA2" t="s">
        <v>974</v>
      </c>
      <c r="JB2" t="s">
        <v>978</v>
      </c>
      <c r="JC2" t="s">
        <v>393</v>
      </c>
      <c r="JD2" t="s">
        <v>155</v>
      </c>
      <c r="JE2" t="s">
        <v>483</v>
      </c>
      <c r="JF2" t="s">
        <v>988</v>
      </c>
      <c r="JG2" t="s">
        <v>991</v>
      </c>
      <c r="JH2" t="s">
        <v>593</v>
      </c>
      <c r="JI2" t="s">
        <v>996</v>
      </c>
      <c r="JJ2" t="s">
        <v>464</v>
      </c>
      <c r="JK2" t="s">
        <v>1003</v>
      </c>
      <c r="JL2" t="s">
        <v>1006</v>
      </c>
      <c r="JM2" t="s">
        <v>494</v>
      </c>
      <c r="JN2" t="s">
        <v>1011</v>
      </c>
      <c r="JO2" t="s">
        <v>1015</v>
      </c>
      <c r="JP2" t="s">
        <v>1019</v>
      </c>
      <c r="JQ2" t="s">
        <v>176</v>
      </c>
      <c r="JR2" t="s">
        <v>1025</v>
      </c>
      <c r="JS2" t="s">
        <v>873</v>
      </c>
      <c r="JT2" t="s">
        <v>914</v>
      </c>
      <c r="JU2" t="s">
        <v>1032</v>
      </c>
      <c r="JV2" t="s">
        <v>426</v>
      </c>
      <c r="JW2" t="s">
        <v>1039</v>
      </c>
      <c r="JX2" t="s">
        <v>230</v>
      </c>
      <c r="JY2" t="s">
        <v>1045</v>
      </c>
      <c r="JZ2" t="s">
        <v>750</v>
      </c>
      <c r="KA2" t="s">
        <v>1052</v>
      </c>
      <c r="KB2" t="s">
        <v>59</v>
      </c>
      <c r="KC2" t="s">
        <v>1058</v>
      </c>
      <c r="KD2" t="s">
        <v>393</v>
      </c>
      <c r="KE2" t="s">
        <v>676</v>
      </c>
      <c r="KF2" t="s">
        <v>1067</v>
      </c>
      <c r="KG2" t="s">
        <v>1070</v>
      </c>
      <c r="KH2" t="s">
        <v>579</v>
      </c>
      <c r="KI2" t="s">
        <v>1075</v>
      </c>
      <c r="KJ2" t="s">
        <v>1079</v>
      </c>
      <c r="KK2" t="s">
        <v>639</v>
      </c>
      <c r="KL2" t="s">
        <v>557</v>
      </c>
      <c r="KM2" t="s">
        <v>780</v>
      </c>
      <c r="KN2" t="s">
        <v>895</v>
      </c>
      <c r="KO2" t="s">
        <v>1093</v>
      </c>
      <c r="KP2" t="s">
        <v>1097</v>
      </c>
      <c r="KQ2" t="s">
        <v>151</v>
      </c>
      <c r="KR2" t="s">
        <v>630</v>
      </c>
      <c r="KS2" t="s">
        <v>1105</v>
      </c>
      <c r="KT2" t="s">
        <v>519</v>
      </c>
      <c r="KU2" t="s">
        <v>1110</v>
      </c>
      <c r="KV2" t="s">
        <v>1113</v>
      </c>
      <c r="KW2" t="s">
        <v>1019</v>
      </c>
      <c r="KX2" t="s">
        <v>1119</v>
      </c>
      <c r="KY2" t="s">
        <v>924</v>
      </c>
      <c r="KZ2" t="s">
        <v>130</v>
      </c>
      <c r="LA2" t="s">
        <v>238</v>
      </c>
      <c r="LB2" t="s">
        <v>1131</v>
      </c>
      <c r="LC2" t="s">
        <v>1003</v>
      </c>
      <c r="LD2" t="s">
        <v>163</v>
      </c>
      <c r="LE2" t="s">
        <v>534</v>
      </c>
      <c r="LF2" t="s">
        <v>1131</v>
      </c>
      <c r="LG2" t="s">
        <v>38</v>
      </c>
      <c r="LH2" t="s">
        <v>1147</v>
      </c>
      <c r="LI2" t="s">
        <v>1151</v>
      </c>
      <c r="LJ2" t="s">
        <v>1153</v>
      </c>
      <c r="LK2" t="s">
        <v>1157</v>
      </c>
      <c r="LL2" t="s">
        <v>1161</v>
      </c>
      <c r="LM2" t="s">
        <v>1165</v>
      </c>
      <c r="LN2" t="s">
        <v>1169</v>
      </c>
      <c r="LO2" t="s">
        <v>1173</v>
      </c>
      <c r="LP2" t="s">
        <v>1157</v>
      </c>
      <c r="LQ2" t="s">
        <v>1179</v>
      </c>
      <c r="LR2" t="s">
        <v>1181</v>
      </c>
      <c r="LS2" t="s">
        <v>134</v>
      </c>
      <c r="LT2" t="s">
        <v>1186</v>
      </c>
      <c r="LU2" t="s">
        <v>1190</v>
      </c>
      <c r="LV2" t="s">
        <v>1194</v>
      </c>
      <c r="LW2" t="s">
        <v>706</v>
      </c>
      <c r="LX2" t="s">
        <v>716</v>
      </c>
      <c r="LY2" t="s">
        <v>1204</v>
      </c>
      <c r="LZ2" t="s">
        <v>168</v>
      </c>
      <c r="MA2" t="s">
        <v>1209</v>
      </c>
      <c r="MB2" t="s">
        <v>1212</v>
      </c>
      <c r="MC2" t="s">
        <v>1215</v>
      </c>
      <c r="MD2" t="s">
        <v>1219</v>
      </c>
      <c r="ME2" t="s">
        <v>1222</v>
      </c>
      <c r="MF2" t="s">
        <v>1226</v>
      </c>
      <c r="MG2" t="s">
        <v>1209</v>
      </c>
      <c r="MH2" t="s">
        <v>1231</v>
      </c>
      <c r="MI2" t="s">
        <v>1234</v>
      </c>
      <c r="MJ2" t="s">
        <v>1237</v>
      </c>
      <c r="MK2" t="s">
        <v>1240</v>
      </c>
      <c r="ML2" t="s">
        <v>1243</v>
      </c>
      <c r="MM2" t="s">
        <v>654</v>
      </c>
      <c r="MN2" t="s">
        <v>946</v>
      </c>
      <c r="MO2" t="s">
        <v>1252</v>
      </c>
      <c r="MP2" t="s">
        <v>931</v>
      </c>
      <c r="MQ2" t="s">
        <v>1153</v>
      </c>
      <c r="MR2" t="s">
        <v>1261</v>
      </c>
      <c r="MS2" t="s">
        <v>895</v>
      </c>
      <c r="MT2" t="s">
        <v>1268</v>
      </c>
      <c r="MU2" t="s">
        <v>494</v>
      </c>
      <c r="MV2" t="s">
        <v>1274</v>
      </c>
      <c r="MW2" t="s">
        <v>1278</v>
      </c>
      <c r="MX2" t="s">
        <v>1280</v>
      </c>
      <c r="MY2" t="s">
        <v>634</v>
      </c>
      <c r="MZ2" t="s">
        <v>1286</v>
      </c>
      <c r="NA2" t="s">
        <v>1290</v>
      </c>
      <c r="NB2" t="s">
        <v>385</v>
      </c>
      <c r="NC2" t="s">
        <v>911</v>
      </c>
      <c r="ND2" t="s">
        <v>474</v>
      </c>
      <c r="NE2" t="s">
        <v>1301</v>
      </c>
      <c r="NF2" t="s">
        <v>546</v>
      </c>
      <c r="NG2" t="s">
        <v>538</v>
      </c>
      <c r="NH2" t="s">
        <v>1310</v>
      </c>
      <c r="NI2" t="s">
        <v>271</v>
      </c>
      <c r="NJ2" t="s">
        <v>1317</v>
      </c>
      <c r="NK2" t="s">
        <v>1320</v>
      </c>
      <c r="NL2" t="s">
        <v>31</v>
      </c>
      <c r="NM2" t="s">
        <v>343</v>
      </c>
      <c r="NN2" t="s">
        <v>1330</v>
      </c>
      <c r="NO2" t="s">
        <v>1334</v>
      </c>
      <c r="NP2" t="s">
        <v>1153</v>
      </c>
      <c r="NQ2" t="s">
        <v>924</v>
      </c>
      <c r="NR2" t="s">
        <v>262</v>
      </c>
      <c r="NS2" t="s">
        <v>886</v>
      </c>
      <c r="NT2" t="s">
        <v>1350</v>
      </c>
      <c r="NU2" t="s">
        <v>672</v>
      </c>
      <c r="NV2" t="s">
        <v>898</v>
      </c>
      <c r="NW2" t="s">
        <v>886</v>
      </c>
      <c r="NX2" t="s">
        <v>1362</v>
      </c>
      <c r="NY2" t="s">
        <v>1226</v>
      </c>
      <c r="NZ2" t="s">
        <v>1234</v>
      </c>
      <c r="OA2" t="s">
        <v>449</v>
      </c>
      <c r="OB2" t="s">
        <v>226</v>
      </c>
      <c r="OC2" t="s">
        <v>1373</v>
      </c>
      <c r="OD2" t="s">
        <v>1375</v>
      </c>
      <c r="OE2" t="s">
        <v>1378</v>
      </c>
      <c r="OF2" t="s">
        <v>1380</v>
      </c>
      <c r="OG2" t="s">
        <v>1384</v>
      </c>
      <c r="OH2" t="s">
        <v>1388</v>
      </c>
      <c r="OI2" t="s">
        <v>1392</v>
      </c>
      <c r="OJ2" t="s">
        <v>467</v>
      </c>
      <c r="OK2" t="s">
        <v>107</v>
      </c>
      <c r="OL2" t="s">
        <v>1398</v>
      </c>
      <c r="OM2" t="s">
        <v>804</v>
      </c>
      <c r="ON2" t="s">
        <v>1286</v>
      </c>
      <c r="OO2" t="s">
        <v>1388</v>
      </c>
      <c r="OP2" t="s">
        <v>181</v>
      </c>
      <c r="OQ2" t="s">
        <v>1413</v>
      </c>
      <c r="OR2" t="s">
        <v>1416</v>
      </c>
      <c r="OS2" t="s">
        <v>1151</v>
      </c>
      <c r="OT2" t="s">
        <v>893</v>
      </c>
      <c r="OU2" t="s">
        <v>1426</v>
      </c>
      <c r="OV2" t="s">
        <v>1430</v>
      </c>
      <c r="OW2" t="s">
        <v>501</v>
      </c>
      <c r="OX2" t="s">
        <v>1437</v>
      </c>
      <c r="OY2" t="s">
        <v>1440</v>
      </c>
      <c r="OZ2" t="s">
        <v>756</v>
      </c>
      <c r="PA2" t="s">
        <v>1445</v>
      </c>
      <c r="PB2" t="s">
        <v>449</v>
      </c>
      <c r="PC2" t="s">
        <v>1451</v>
      </c>
      <c r="PD2" t="s">
        <v>295</v>
      </c>
      <c r="PE2" t="s">
        <v>630</v>
      </c>
      <c r="PF2" t="s">
        <v>267</v>
      </c>
      <c r="PG2" t="s">
        <v>1462</v>
      </c>
      <c r="PH2" t="s">
        <v>1286</v>
      </c>
      <c r="PI2" t="s">
        <v>650</v>
      </c>
      <c r="PJ2" t="s">
        <v>1471</v>
      </c>
      <c r="PK2" t="s">
        <v>1473</v>
      </c>
      <c r="PL2" t="s">
        <v>773</v>
      </c>
      <c r="PM2" t="s">
        <v>1480</v>
      </c>
      <c r="PN2" t="s">
        <v>1484</v>
      </c>
      <c r="PO2" t="s">
        <v>359</v>
      </c>
      <c r="PP2" t="s">
        <v>1488</v>
      </c>
      <c r="PQ2" t="s">
        <v>1491</v>
      </c>
      <c r="PR2" t="s">
        <v>601</v>
      </c>
      <c r="PS2" t="s">
        <v>1204</v>
      </c>
      <c r="PT2" t="s">
        <v>1501</v>
      </c>
      <c r="PU2" t="s">
        <v>1504</v>
      </c>
      <c r="PV2" t="s">
        <v>355</v>
      </c>
      <c r="PW2" t="s">
        <v>437</v>
      </c>
      <c r="PX2" t="s">
        <v>1511</v>
      </c>
      <c r="PY2" t="s">
        <v>1430</v>
      </c>
      <c r="PZ2" t="s">
        <v>1015</v>
      </c>
      <c r="QA2" t="s">
        <v>1517</v>
      </c>
      <c r="QB2" t="s">
        <v>898</v>
      </c>
      <c r="QC2" t="s">
        <v>1522</v>
      </c>
      <c r="QD2" t="s">
        <v>464</v>
      </c>
      <c r="QE2" t="s">
        <v>1480</v>
      </c>
      <c r="QF2" t="s">
        <v>1530</v>
      </c>
      <c r="QG2" t="s">
        <v>89</v>
      </c>
      <c r="QH2" t="s">
        <v>1535</v>
      </c>
      <c r="QI2" t="s">
        <v>1537</v>
      </c>
      <c r="QJ2" t="s">
        <v>1541</v>
      </c>
      <c r="QK2" t="s">
        <v>1231</v>
      </c>
      <c r="QL2" t="s">
        <v>1398</v>
      </c>
      <c r="QM2" t="s">
        <v>1501</v>
      </c>
      <c r="QN2" t="s">
        <v>1549</v>
      </c>
      <c r="QO2" t="s">
        <v>1552</v>
      </c>
      <c r="QP2" t="s">
        <v>1556</v>
      </c>
      <c r="QQ2" t="s">
        <v>1392</v>
      </c>
      <c r="QR2" t="s">
        <v>1562</v>
      </c>
      <c r="QS2" t="s">
        <v>1565</v>
      </c>
      <c r="QT2" t="s">
        <v>1317</v>
      </c>
      <c r="QU2" t="s">
        <v>687</v>
      </c>
      <c r="QV2" t="s">
        <v>557</v>
      </c>
      <c r="QW2" t="s">
        <v>1215</v>
      </c>
      <c r="QX2" t="s">
        <v>1578</v>
      </c>
      <c r="QY2" t="s">
        <v>534</v>
      </c>
      <c r="QZ2" t="s">
        <v>461</v>
      </c>
      <c r="RA2" t="s">
        <v>53</v>
      </c>
      <c r="RB2" t="s">
        <v>1587</v>
      </c>
      <c r="RC2" t="s">
        <v>397</v>
      </c>
      <c r="RD2" t="s">
        <v>1593</v>
      </c>
      <c r="RE2" t="s">
        <v>1597</v>
      </c>
      <c r="RF2" t="s">
        <v>134</v>
      </c>
      <c r="RG2" t="s">
        <v>1151</v>
      </c>
      <c r="RH2" t="s">
        <v>873</v>
      </c>
      <c r="RI2" t="s">
        <v>181</v>
      </c>
      <c r="RJ2" t="s">
        <v>89</v>
      </c>
      <c r="RK2" t="s">
        <v>1317</v>
      </c>
      <c r="RL2" t="s">
        <v>1151</v>
      </c>
      <c r="RM2" t="s">
        <v>1617</v>
      </c>
      <c r="RN2" t="s">
        <v>271</v>
      </c>
      <c r="RO2" t="s">
        <v>1240</v>
      </c>
      <c r="RP2" t="s">
        <v>1626</v>
      </c>
      <c r="RQ2" t="s">
        <v>1629</v>
      </c>
      <c r="RR2" t="s">
        <v>1633</v>
      </c>
      <c r="RS2" t="s">
        <v>210</v>
      </c>
      <c r="RT2" t="s">
        <v>1638</v>
      </c>
      <c r="RU2" t="s">
        <v>1157</v>
      </c>
      <c r="RV2" t="s">
        <v>1209</v>
      </c>
      <c r="RW2" t="s">
        <v>1645</v>
      </c>
      <c r="RX2" t="s">
        <v>185</v>
      </c>
      <c r="RY2" t="s">
        <v>1650</v>
      </c>
      <c r="RZ2" t="s">
        <v>1653</v>
      </c>
      <c r="SA2" t="s">
        <v>359</v>
      </c>
      <c r="SB2" t="s">
        <v>1660</v>
      </c>
      <c r="SC2" t="s">
        <v>706</v>
      </c>
      <c r="SD2" t="s">
        <v>1667</v>
      </c>
      <c r="SE2" t="s">
        <v>1593</v>
      </c>
      <c r="SF2" t="s">
        <v>586</v>
      </c>
      <c r="SG2" t="s">
        <v>1677</v>
      </c>
      <c r="SH2" t="s">
        <v>1680</v>
      </c>
      <c r="SI2" t="s">
        <v>1190</v>
      </c>
      <c r="SJ2" t="s">
        <v>1684</v>
      </c>
      <c r="SK2" t="s">
        <v>1686</v>
      </c>
      <c r="SL2" t="s">
        <v>1690</v>
      </c>
      <c r="SM2" t="s">
        <v>287</v>
      </c>
      <c r="SN2" t="s">
        <v>1695</v>
      </c>
      <c r="SO2" t="s">
        <v>862</v>
      </c>
      <c r="SP2" t="s">
        <v>668</v>
      </c>
      <c r="SQ2" t="s">
        <v>1186</v>
      </c>
      <c r="SR2" t="s">
        <v>526</v>
      </c>
      <c r="SS2" t="s">
        <v>197</v>
      </c>
      <c r="ST2" t="s">
        <v>1578</v>
      </c>
      <c r="SU2" t="s">
        <v>844</v>
      </c>
      <c r="SV2" t="s">
        <v>1712</v>
      </c>
      <c r="SW2" t="s">
        <v>1011</v>
      </c>
      <c r="SX2" t="s">
        <v>1717</v>
      </c>
      <c r="SY2" t="s">
        <v>31</v>
      </c>
      <c r="SZ2" t="s">
        <v>1723</v>
      </c>
      <c r="TA2" t="s">
        <v>654</v>
      </c>
      <c r="TB2" t="s">
        <v>1252</v>
      </c>
      <c r="TC2" t="s">
        <v>1730</v>
      </c>
      <c r="TD2" t="s">
        <v>85</v>
      </c>
      <c r="TE2" t="s">
        <v>1501</v>
      </c>
      <c r="TF2" t="s">
        <v>477</v>
      </c>
      <c r="TG2" t="s">
        <v>1737</v>
      </c>
      <c r="TH2" t="s">
        <v>1741</v>
      </c>
      <c r="TI2" t="s">
        <v>1744</v>
      </c>
      <c r="TJ2" t="s">
        <v>336</v>
      </c>
      <c r="TK2" t="s">
        <v>1006</v>
      </c>
      <c r="TL2" t="s">
        <v>250</v>
      </c>
      <c r="TM2" t="s">
        <v>1753</v>
      </c>
      <c r="TN2" t="s">
        <v>1756</v>
      </c>
      <c r="TO2" t="s">
        <v>1759</v>
      </c>
      <c r="TP2" t="s">
        <v>490</v>
      </c>
      <c r="TQ2" t="s">
        <v>609</v>
      </c>
      <c r="TR2" t="s">
        <v>437</v>
      </c>
      <c r="TS2" t="s">
        <v>1633</v>
      </c>
      <c r="TT2" t="s">
        <v>1770</v>
      </c>
      <c r="TU2" t="s">
        <v>159</v>
      </c>
      <c r="TV2" t="s">
        <v>593</v>
      </c>
      <c r="TW2" t="s">
        <v>1775</v>
      </c>
      <c r="TX2" t="s">
        <v>1565</v>
      </c>
      <c r="TY2" t="s">
        <v>1003</v>
      </c>
      <c r="TZ2" t="s">
        <v>13</v>
      </c>
      <c r="UA2" t="s">
        <v>1006</v>
      </c>
      <c r="UB2" t="s">
        <v>1790</v>
      </c>
      <c r="UC2" t="s">
        <v>80</v>
      </c>
      <c r="UD2" t="s">
        <v>1794</v>
      </c>
      <c r="UE2" t="s">
        <v>301</v>
      </c>
      <c r="UF2" t="s">
        <v>242</v>
      </c>
      <c r="UG2" t="s">
        <v>53</v>
      </c>
      <c r="UH2" t="s">
        <v>978</v>
      </c>
      <c r="UI2" t="s">
        <v>1131</v>
      </c>
      <c r="UJ2" t="s">
        <v>1807</v>
      </c>
      <c r="UK2" t="s">
        <v>1320</v>
      </c>
      <c r="UL2" t="s">
        <v>683</v>
      </c>
      <c r="UM2" t="s">
        <v>1817</v>
      </c>
      <c r="UN2" t="s">
        <v>74</v>
      </c>
      <c r="UO2" t="s">
        <v>1388</v>
      </c>
      <c r="UP2" t="s">
        <v>1822</v>
      </c>
      <c r="UQ2" t="s">
        <v>238</v>
      </c>
      <c r="UR2" t="s">
        <v>1826</v>
      </c>
      <c r="US2" t="s">
        <v>242</v>
      </c>
      <c r="UT2" t="s">
        <v>1831</v>
      </c>
      <c r="UU2" t="s">
        <v>1252</v>
      </c>
      <c r="UV2" t="s">
        <v>1836</v>
      </c>
      <c r="UW2" t="s">
        <v>405</v>
      </c>
      <c r="UX2" t="s">
        <v>1841</v>
      </c>
      <c r="UY2" t="s">
        <v>242</v>
      </c>
      <c r="UZ2" t="s">
        <v>494</v>
      </c>
      <c r="VA2" t="s">
        <v>1847</v>
      </c>
      <c r="VB2" t="s">
        <v>65</v>
      </c>
      <c r="VC2" t="s">
        <v>660</v>
      </c>
      <c r="VD2" t="s">
        <v>589</v>
      </c>
      <c r="VE2" t="s">
        <v>409</v>
      </c>
      <c r="VF2" t="s">
        <v>1860</v>
      </c>
      <c r="VG2" t="s">
        <v>1243</v>
      </c>
      <c r="VH2" t="s">
        <v>1437</v>
      </c>
      <c r="VI2" t="s">
        <v>1867</v>
      </c>
      <c r="VJ2" t="s">
        <v>1753</v>
      </c>
      <c r="VK2" t="s">
        <v>626</v>
      </c>
      <c r="VL2" t="s">
        <v>1876</v>
      </c>
      <c r="VM2" t="s">
        <v>1878</v>
      </c>
      <c r="VN2" t="s">
        <v>214</v>
      </c>
      <c r="VO2" t="s">
        <v>1884</v>
      </c>
      <c r="VP2" t="s">
        <v>1003</v>
      </c>
      <c r="VQ2" t="s">
        <v>654</v>
      </c>
      <c r="VR2" t="s">
        <v>1794</v>
      </c>
      <c r="VS2" t="s">
        <v>1831</v>
      </c>
      <c r="VT2" t="s">
        <v>70</v>
      </c>
      <c r="VU2" t="s">
        <v>1105</v>
      </c>
      <c r="VV2" t="s">
        <v>1578</v>
      </c>
      <c r="VW2" t="s">
        <v>582</v>
      </c>
      <c r="VX2" t="s">
        <v>911</v>
      </c>
      <c r="VY2" t="s">
        <v>1334</v>
      </c>
      <c r="VZ2" t="s">
        <v>753</v>
      </c>
      <c r="WA2" t="s">
        <v>1807</v>
      </c>
      <c r="WB2" t="s">
        <v>1684</v>
      </c>
      <c r="WC2" t="s">
        <v>613</v>
      </c>
      <c r="WD2" t="s">
        <v>1473</v>
      </c>
      <c r="WE2" t="s">
        <v>1690</v>
      </c>
      <c r="WF2" t="s">
        <v>1922</v>
      </c>
      <c r="WG2" t="s">
        <v>1079</v>
      </c>
      <c r="WH2" t="s">
        <v>130</v>
      </c>
      <c r="WI2" t="s">
        <v>474</v>
      </c>
      <c r="WJ2" t="s">
        <v>1039</v>
      </c>
      <c r="WK2" t="s">
        <v>1712</v>
      </c>
      <c r="WL2" t="s">
        <v>1936</v>
      </c>
      <c r="WM2" t="s">
        <v>1940</v>
      </c>
      <c r="WN2" t="s">
        <v>538</v>
      </c>
      <c r="WO2" t="s">
        <v>1946</v>
      </c>
      <c r="WP2" t="s">
        <v>1949</v>
      </c>
      <c r="WQ2" t="s">
        <v>1952</v>
      </c>
      <c r="WR2" t="s">
        <v>898</v>
      </c>
      <c r="WS2" t="s">
        <v>1957</v>
      </c>
      <c r="WT2" t="s">
        <v>1629</v>
      </c>
      <c r="WU2" t="s">
        <v>1131</v>
      </c>
      <c r="WV2" t="s">
        <v>415</v>
      </c>
      <c r="WW2" t="s">
        <v>1965</v>
      </c>
      <c r="WX2" t="s">
        <v>1215</v>
      </c>
      <c r="WY2" t="s">
        <v>412</v>
      </c>
      <c r="WZ2" t="s">
        <v>1973</v>
      </c>
      <c r="XA2" t="s">
        <v>1975</v>
      </c>
      <c r="XB2" t="s">
        <v>483</v>
      </c>
      <c r="XC2" t="s">
        <v>1981</v>
      </c>
      <c r="XD2" t="s">
        <v>873</v>
      </c>
      <c r="XE2" t="s">
        <v>1981</v>
      </c>
      <c r="XF2" t="s">
        <v>699</v>
      </c>
      <c r="XG2" t="s">
        <v>1990</v>
      </c>
      <c r="XH2" t="s">
        <v>519</v>
      </c>
      <c r="XI2" t="s">
        <v>1097</v>
      </c>
      <c r="XJ2" t="s">
        <v>526</v>
      </c>
      <c r="XK2" t="s">
        <v>2002</v>
      </c>
      <c r="XL2" t="s">
        <v>942</v>
      </c>
      <c r="XM2" t="s">
        <v>1388</v>
      </c>
      <c r="XN2" t="s">
        <v>1684</v>
      </c>
      <c r="XO2" t="s">
        <v>1860</v>
      </c>
      <c r="XP2" t="s">
        <v>1537</v>
      </c>
      <c r="XQ2" t="s">
        <v>2013</v>
      </c>
      <c r="XR2" t="s">
        <v>477</v>
      </c>
      <c r="XS2" t="s">
        <v>699</v>
      </c>
      <c r="XT2" t="s">
        <v>107</v>
      </c>
      <c r="XU2" t="s">
        <v>2023</v>
      </c>
      <c r="XV2" t="s">
        <v>2026</v>
      </c>
      <c r="XW2" t="s">
        <v>756</v>
      </c>
      <c r="XX2" t="s">
        <v>859</v>
      </c>
      <c r="XY2" t="s">
        <v>946</v>
      </c>
      <c r="XZ2" t="s">
        <v>2035</v>
      </c>
      <c r="YA2" t="s">
        <v>176</v>
      </c>
      <c r="YB2" t="s">
        <v>756</v>
      </c>
      <c r="YC2" t="s">
        <v>2043</v>
      </c>
      <c r="YD2" t="s">
        <v>467</v>
      </c>
      <c r="YE2" t="s">
        <v>193</v>
      </c>
      <c r="YF2" t="s">
        <v>2049</v>
      </c>
      <c r="YG2" t="s">
        <v>2052</v>
      </c>
      <c r="YH2" t="s">
        <v>904</v>
      </c>
      <c r="YI2" t="s">
        <v>2058</v>
      </c>
      <c r="YJ2" t="s">
        <v>1517</v>
      </c>
      <c r="YK2" t="s">
        <v>534</v>
      </c>
      <c r="YL2" t="s">
        <v>1680</v>
      </c>
      <c r="YM2" t="s">
        <v>2066</v>
      </c>
      <c r="YN2" t="s">
        <v>1388</v>
      </c>
      <c r="YO2" t="s">
        <v>865</v>
      </c>
      <c r="YP2" t="s">
        <v>2072</v>
      </c>
      <c r="YQ2" t="s">
        <v>2075</v>
      </c>
      <c r="YR2" t="s">
        <v>1975</v>
      </c>
      <c r="YS2" t="s">
        <v>163</v>
      </c>
      <c r="YT2" t="s">
        <v>1841</v>
      </c>
      <c r="YU2" t="s">
        <v>422</v>
      </c>
      <c r="YV2" t="s">
        <v>1753</v>
      </c>
      <c r="YW2" t="s">
        <v>2089</v>
      </c>
      <c r="YX2" t="s">
        <v>626</v>
      </c>
      <c r="YY2" t="s">
        <v>324</v>
      </c>
      <c r="YZ2" t="s">
        <v>347</v>
      </c>
      <c r="ZA2" t="s">
        <v>2097</v>
      </c>
      <c r="ZB2" t="s">
        <v>840</v>
      </c>
      <c r="ZC2" t="s">
        <v>2101</v>
      </c>
      <c r="ZD2" t="s">
        <v>80</v>
      </c>
      <c r="ZE2" t="s">
        <v>1817</v>
      </c>
      <c r="ZF2" t="s">
        <v>1541</v>
      </c>
      <c r="ZG2" t="s">
        <v>1517</v>
      </c>
      <c r="ZH2" t="s">
        <v>2112</v>
      </c>
      <c r="ZI2" t="s">
        <v>2115</v>
      </c>
      <c r="ZJ2" t="s">
        <v>742</v>
      </c>
      <c r="ZK2" t="s">
        <v>2121</v>
      </c>
      <c r="ZL2" t="s">
        <v>449</v>
      </c>
      <c r="ZM2" t="s">
        <v>2127</v>
      </c>
      <c r="ZN2" t="s">
        <v>22</v>
      </c>
      <c r="ZO2" t="s">
        <v>1110</v>
      </c>
      <c r="ZP2" t="s">
        <v>2049</v>
      </c>
      <c r="ZQ2" t="s">
        <v>756</v>
      </c>
      <c r="ZR2" t="s">
        <v>267</v>
      </c>
      <c r="ZS2" t="s">
        <v>1587</v>
      </c>
      <c r="ZT2" t="s">
        <v>974</v>
      </c>
      <c r="ZU2" t="s">
        <v>509</v>
      </c>
      <c r="ZV2" t="s">
        <v>2144</v>
      </c>
      <c r="ZW2" t="s">
        <v>1350</v>
      </c>
      <c r="ZX2" t="s">
        <v>1362</v>
      </c>
      <c r="ZY2" t="s">
        <v>2151</v>
      </c>
      <c r="ZZ2" t="s">
        <v>2155</v>
      </c>
      <c r="AAA2" t="s">
        <v>579</v>
      </c>
      <c r="AAB2" t="s">
        <v>756</v>
      </c>
      <c r="AAC2" t="s">
        <v>1775</v>
      </c>
      <c r="AAD2" t="s">
        <v>914</v>
      </c>
      <c r="AAE2" t="s">
        <v>911</v>
      </c>
      <c r="AAF2" t="s">
        <v>2167</v>
      </c>
      <c r="AAG2" t="s">
        <v>2049</v>
      </c>
      <c r="AAH2" t="s">
        <v>377</v>
      </c>
      <c r="AAI2" t="s">
        <v>324</v>
      </c>
      <c r="AAJ2" t="s">
        <v>2177</v>
      </c>
      <c r="AAK2" t="s">
        <v>1234</v>
      </c>
      <c r="AAL2" t="s">
        <v>389</v>
      </c>
      <c r="AAM2" t="s">
        <v>1660</v>
      </c>
      <c r="AAN2" t="s">
        <v>1070</v>
      </c>
      <c r="AAO2" t="s">
        <v>1179</v>
      </c>
      <c r="AAP2" t="s">
        <v>1237</v>
      </c>
      <c r="AAQ2" t="s">
        <v>117</v>
      </c>
      <c r="AAR2" t="s">
        <v>1878</v>
      </c>
      <c r="AAS2" t="s">
        <v>2197</v>
      </c>
      <c r="AAT2" t="s">
        <v>457</v>
      </c>
      <c r="AAU2" t="s">
        <v>393</v>
      </c>
      <c r="AAV2" t="s">
        <v>89</v>
      </c>
      <c r="AAW2" t="s">
        <v>1212</v>
      </c>
      <c r="AAX2" t="s">
        <v>2207</v>
      </c>
      <c r="AAY2" t="s">
        <v>2210</v>
      </c>
      <c r="AAZ2" t="s">
        <v>2212</v>
      </c>
      <c r="ABA2" t="s">
        <v>2207</v>
      </c>
      <c r="ABB2" t="s">
        <v>2216</v>
      </c>
      <c r="ABC2" t="s">
        <v>2220</v>
      </c>
      <c r="ABD2" t="s">
        <v>1717</v>
      </c>
      <c r="ABE2" t="s">
        <v>1097</v>
      </c>
      <c r="ABF2" t="s">
        <v>642</v>
      </c>
      <c r="ABG2" t="s">
        <v>176</v>
      </c>
      <c r="ABH2" t="s">
        <v>381</v>
      </c>
      <c r="ABI2" t="s">
        <v>609</v>
      </c>
      <c r="ABJ2" t="s">
        <v>1373</v>
      </c>
      <c r="ABK2" t="s">
        <v>557</v>
      </c>
      <c r="ABL2" t="s">
        <v>623</v>
      </c>
      <c r="ABM2" t="s">
        <v>2239</v>
      </c>
      <c r="ABN2" t="s">
        <v>2212</v>
      </c>
      <c r="ABO2" t="s">
        <v>370</v>
      </c>
      <c r="ABP2" t="s">
        <v>1153</v>
      </c>
      <c r="ABQ2" t="s">
        <v>1388</v>
      </c>
      <c r="ABR2" t="s">
        <v>2252</v>
      </c>
      <c r="ABS2" t="s">
        <v>1981</v>
      </c>
      <c r="ABT2" t="s">
        <v>74</v>
      </c>
      <c r="ABU2" t="s">
        <v>1058</v>
      </c>
      <c r="ABV2" t="s">
        <v>258</v>
      </c>
      <c r="ABW2" t="s">
        <v>2261</v>
      </c>
      <c r="ABX2" t="s">
        <v>840</v>
      </c>
      <c r="ABY2" t="s">
        <v>1626</v>
      </c>
      <c r="ABZ2" t="s">
        <v>2207</v>
      </c>
      <c r="ACA2" t="s">
        <v>538</v>
      </c>
      <c r="ACB2" t="s">
        <v>601</v>
      </c>
      <c r="ACC2" t="s">
        <v>2273</v>
      </c>
      <c r="ACD2" t="s">
        <v>2276</v>
      </c>
      <c r="ACE2" t="s">
        <v>898</v>
      </c>
      <c r="ACF2" t="s">
        <v>320</v>
      </c>
      <c r="ACG2" t="s">
        <v>1274</v>
      </c>
      <c r="ACH2" t="s">
        <v>931</v>
      </c>
      <c r="ACI2" t="s">
        <v>168</v>
      </c>
      <c r="ACJ2" t="s">
        <v>2002</v>
      </c>
      <c r="ACK2" t="s">
        <v>1173</v>
      </c>
      <c r="ACL2" t="s">
        <v>2294</v>
      </c>
      <c r="ACM2" t="s">
        <v>2296</v>
      </c>
      <c r="ACN2" t="s">
        <v>2298</v>
      </c>
      <c r="ACO2" t="s">
        <v>2301</v>
      </c>
      <c r="ACP2" t="s">
        <v>1617</v>
      </c>
      <c r="ACQ2" t="s">
        <v>2097</v>
      </c>
      <c r="ACR2" t="s">
        <v>1039</v>
      </c>
      <c r="ACS2" t="s">
        <v>238</v>
      </c>
      <c r="ACT2" t="s">
        <v>238</v>
      </c>
      <c r="ACU2" t="s">
        <v>1650</v>
      </c>
      <c r="ACV2" t="s">
        <v>1860</v>
      </c>
      <c r="ACW2" t="s">
        <v>1384</v>
      </c>
      <c r="ACX2" t="s">
        <v>1826</v>
      </c>
      <c r="ACY2" t="s">
        <v>2320</v>
      </c>
      <c r="ACZ2" t="s">
        <v>1373</v>
      </c>
      <c r="ADA2" t="s">
        <v>287</v>
      </c>
      <c r="ADB2" t="s">
        <v>742</v>
      </c>
      <c r="ADC2" t="s">
        <v>672</v>
      </c>
      <c r="ADD2" t="s">
        <v>2329</v>
      </c>
      <c r="ADE2" t="s">
        <v>1660</v>
      </c>
      <c r="ADF2" t="s">
        <v>2049</v>
      </c>
      <c r="ADG2" t="s">
        <v>2336</v>
      </c>
      <c r="ADH2" t="s">
        <v>2339</v>
      </c>
      <c r="ADI2" t="s">
        <v>1113</v>
      </c>
      <c r="ADJ2" t="s">
        <v>1392</v>
      </c>
      <c r="ADK2" t="s">
        <v>2346</v>
      </c>
      <c r="ADL2" t="s">
        <v>557</v>
      </c>
      <c r="ADM2" t="s">
        <v>2352</v>
      </c>
      <c r="ADN2" t="s">
        <v>2355</v>
      </c>
      <c r="ADO2" t="s">
        <v>2359</v>
      </c>
      <c r="ADP2" t="s">
        <v>1234</v>
      </c>
      <c r="ADQ2" t="s">
        <v>1161</v>
      </c>
      <c r="ADR2" t="s">
        <v>1491</v>
      </c>
      <c r="ADS2" t="s">
        <v>477</v>
      </c>
      <c r="ADT2" t="s">
        <v>347</v>
      </c>
      <c r="ADU2" t="s">
        <v>483</v>
      </c>
      <c r="ADV2" t="s">
        <v>1565</v>
      </c>
      <c r="ADW2" t="s">
        <v>283</v>
      </c>
      <c r="ADX2" t="s">
        <v>2378</v>
      </c>
      <c r="ADY2" t="s">
        <v>911</v>
      </c>
      <c r="ADZ2" t="s">
        <v>2382</v>
      </c>
      <c r="AEA2" t="s">
        <v>426</v>
      </c>
      <c r="AEB2" t="s">
        <v>877</v>
      </c>
      <c r="AEC2" t="s">
        <v>844</v>
      </c>
      <c r="AED2" t="s">
        <v>2252</v>
      </c>
      <c r="AEE2" t="s">
        <v>2395</v>
      </c>
      <c r="AEF2" t="s">
        <v>1032</v>
      </c>
      <c r="AEG2" t="s">
        <v>1039</v>
      </c>
      <c r="AEH2" t="s">
        <v>2273</v>
      </c>
      <c r="AEI2" t="s">
        <v>112</v>
      </c>
      <c r="AEJ2" t="s">
        <v>101</v>
      </c>
      <c r="AEK2" t="s">
        <v>1556</v>
      </c>
      <c r="AEL2" t="s">
        <v>1165</v>
      </c>
      <c r="AEM2" t="s">
        <v>2414</v>
      </c>
      <c r="AEN2" t="s">
        <v>728</v>
      </c>
      <c r="AEO2" t="s">
        <v>1079</v>
      </c>
      <c r="AEP2" t="s">
        <v>639</v>
      </c>
      <c r="AEQ2" t="s">
        <v>2423</v>
      </c>
      <c r="AER2" t="s">
        <v>1759</v>
      </c>
      <c r="AES2" t="s">
        <v>1334</v>
      </c>
      <c r="AET2" t="s">
        <v>1209</v>
      </c>
      <c r="AEU2" t="s">
        <v>2155</v>
      </c>
      <c r="AEV2" t="s">
        <v>218</v>
      </c>
      <c r="AEW2" t="s">
        <v>2433</v>
      </c>
      <c r="AEX2" t="s">
        <v>2296</v>
      </c>
      <c r="AEY2" t="s">
        <v>2298</v>
      </c>
      <c r="AEZ2" t="s">
        <v>2441</v>
      </c>
      <c r="AFA2" t="s">
        <v>2445</v>
      </c>
      <c r="AFB2" t="s">
        <v>2448</v>
      </c>
      <c r="AFC2" t="s">
        <v>226</v>
      </c>
      <c r="AFD2" t="s">
        <v>1113</v>
      </c>
      <c r="AFE2" t="s">
        <v>401</v>
      </c>
      <c r="AFF2" t="s">
        <v>2458</v>
      </c>
      <c r="AFG2" t="s">
        <v>2460</v>
      </c>
      <c r="AFH2" t="s">
        <v>2463</v>
      </c>
      <c r="AFI2" t="s">
        <v>946</v>
      </c>
      <c r="AFJ2" t="s">
        <v>1147</v>
      </c>
      <c r="AFK2" t="s">
        <v>433</v>
      </c>
      <c r="AFL2" t="s">
        <v>1867</v>
      </c>
      <c r="AFM2" t="s">
        <v>2052</v>
      </c>
      <c r="AFN2" t="s">
        <v>181</v>
      </c>
      <c r="AFO2" t="s">
        <v>1462</v>
      </c>
      <c r="AFP2" t="s">
        <v>2355</v>
      </c>
      <c r="AFQ2" t="s">
        <v>134</v>
      </c>
      <c r="AFR2" t="s">
        <v>854</v>
      </c>
      <c r="AFS2" t="s">
        <v>2486</v>
      </c>
      <c r="AFT2" t="s">
        <v>2489</v>
      </c>
      <c r="AFU2" t="s">
        <v>1169</v>
      </c>
      <c r="AFV2" t="s">
        <v>2493</v>
      </c>
      <c r="AFW2" t="s">
        <v>1153</v>
      </c>
      <c r="AFX2" t="s">
        <v>1684</v>
      </c>
      <c r="AFY2" t="s">
        <v>2026</v>
      </c>
      <c r="AFZ2" t="s">
        <v>405</v>
      </c>
      <c r="AGA2" t="s">
        <v>445</v>
      </c>
      <c r="AGB2" t="s">
        <v>13</v>
      </c>
      <c r="AGC2" t="s">
        <v>505</v>
      </c>
      <c r="AGD2" t="s">
        <v>1952</v>
      </c>
      <c r="AGE2" t="s">
        <v>2510</v>
      </c>
      <c r="AGF2" t="s">
        <v>1965</v>
      </c>
      <c r="AGG2" t="s">
        <v>1617</v>
      </c>
      <c r="AGH2" t="s">
        <v>1451</v>
      </c>
      <c r="AGI2" t="s">
        <v>1807</v>
      </c>
      <c r="AGJ2" t="s">
        <v>904</v>
      </c>
      <c r="AGK2" t="s">
        <v>2522</v>
      </c>
      <c r="AGL2" t="s">
        <v>2525</v>
      </c>
      <c r="AGM2" t="s">
        <v>2529</v>
      </c>
      <c r="AGN2" t="s">
        <v>1677</v>
      </c>
      <c r="AGO2" t="s">
        <v>324</v>
      </c>
      <c r="AGP2" t="s">
        <v>2336</v>
      </c>
      <c r="AGQ2" t="s">
        <v>1334</v>
      </c>
      <c r="AGR2" t="s">
        <v>2539</v>
      </c>
      <c r="AGS2" t="s">
        <v>1280</v>
      </c>
      <c r="AGT2" t="s">
        <v>1240</v>
      </c>
      <c r="AGU2" t="s">
        <v>2547</v>
      </c>
      <c r="AGV2" t="s">
        <v>1712</v>
      </c>
      <c r="AGW2" t="s">
        <v>1392</v>
      </c>
      <c r="AGX2" t="s">
        <v>2553</v>
      </c>
      <c r="AGY2" t="s">
        <v>1822</v>
      </c>
      <c r="AGZ2" t="s">
        <v>328</v>
      </c>
      <c r="AHA2" t="s">
        <v>1660</v>
      </c>
      <c r="AHB2" t="s">
        <v>1730</v>
      </c>
      <c r="AHC2" t="s">
        <v>1301</v>
      </c>
      <c r="AHD2" t="s">
        <v>664</v>
      </c>
      <c r="AHE2" t="s">
        <v>1362</v>
      </c>
      <c r="AHF2" t="s">
        <v>768</v>
      </c>
      <c r="AHG2" t="s">
        <v>89</v>
      </c>
      <c r="AHH2" t="s">
        <v>1587</v>
      </c>
      <c r="AHI2" t="s">
        <v>1578</v>
      </c>
      <c r="AHJ2" t="s">
        <v>1204</v>
      </c>
      <c r="AHK2" t="s">
        <v>1650</v>
      </c>
      <c r="AHL2" t="s">
        <v>1488</v>
      </c>
      <c r="AHM2" t="s">
        <v>2578</v>
      </c>
      <c r="AHN2" t="s">
        <v>589</v>
      </c>
      <c r="AHO2" t="s">
        <v>2582</v>
      </c>
      <c r="AHP2" t="s">
        <v>1317</v>
      </c>
      <c r="AHQ2" t="s">
        <v>433</v>
      </c>
      <c r="AHR2" t="s">
        <v>218</v>
      </c>
      <c r="AHS2" t="s">
        <v>2590</v>
      </c>
      <c r="AHT2" t="s">
        <v>1952</v>
      </c>
      <c r="AHU2" t="s">
        <v>2595</v>
      </c>
      <c r="AHV2" t="s">
        <v>193</v>
      </c>
      <c r="AHW2" t="s">
        <v>586</v>
      </c>
      <c r="AHX2" t="s">
        <v>865</v>
      </c>
      <c r="AHY2" t="s">
        <v>877</v>
      </c>
      <c r="AHZ2" t="s">
        <v>738</v>
      </c>
      <c r="AIA2" t="s">
        <v>869</v>
      </c>
      <c r="AIB2" t="s">
        <v>1638</v>
      </c>
      <c r="AIC2" t="s">
        <v>1484</v>
      </c>
      <c r="AID2" t="s">
        <v>1194</v>
      </c>
      <c r="AIE2" t="s">
        <v>437</v>
      </c>
      <c r="AIF2" t="s">
        <v>1633</v>
      </c>
      <c r="AIG2" t="s">
        <v>2378</v>
      </c>
      <c r="AIH2" t="s">
        <v>254</v>
      </c>
      <c r="AII2" t="s">
        <v>2621</v>
      </c>
      <c r="AIJ2" t="s">
        <v>2625</v>
      </c>
      <c r="AIK2" t="s">
        <v>542</v>
      </c>
      <c r="AIL2" t="s">
        <v>2628</v>
      </c>
      <c r="AIM2" t="s">
        <v>823</v>
      </c>
      <c r="AIN2" t="s">
        <v>654</v>
      </c>
      <c r="AIO2" t="s">
        <v>1231</v>
      </c>
      <c r="AIP2" t="s">
        <v>1097</v>
      </c>
      <c r="AIQ2" t="s">
        <v>2261</v>
      </c>
      <c r="AIR2" t="s">
        <v>2525</v>
      </c>
      <c r="AIS2" t="s">
        <v>336</v>
      </c>
      <c r="AIT2" t="s">
        <v>949</v>
      </c>
      <c r="AIU2" t="s">
        <v>988</v>
      </c>
      <c r="AIV2" t="s">
        <v>125</v>
      </c>
      <c r="AIW2" t="s">
        <v>1680</v>
      </c>
      <c r="AIX2" t="s">
        <v>1375</v>
      </c>
      <c r="AIY2" t="s">
        <v>1110</v>
      </c>
      <c r="AIZ2" t="s">
        <v>1975</v>
      </c>
      <c r="AJA2" t="s">
        <v>1451</v>
      </c>
      <c r="AJB2" t="s">
        <v>2654</v>
      </c>
      <c r="AJC2" t="s">
        <v>1234</v>
      </c>
      <c r="AJD2" t="s">
        <v>2460</v>
      </c>
      <c r="AJE2" t="s">
        <v>2525</v>
      </c>
      <c r="AJF2" t="s">
        <v>1280</v>
      </c>
      <c r="AJG2" t="s">
        <v>794</v>
      </c>
      <c r="AJH2" t="s">
        <v>254</v>
      </c>
      <c r="AJI2" t="s">
        <v>1645</v>
      </c>
      <c r="AJJ2" t="s">
        <v>2665</v>
      </c>
      <c r="AJK2" t="s">
        <v>1222</v>
      </c>
      <c r="AJL2" t="s">
        <v>1626</v>
      </c>
      <c r="AJM2" t="s">
        <v>1981</v>
      </c>
      <c r="AJN2" t="s">
        <v>59</v>
      </c>
      <c r="AJO2" t="s">
        <v>1384</v>
      </c>
      <c r="AJP2" t="s">
        <v>568</v>
      </c>
      <c r="AJQ2" t="s">
        <v>1653</v>
      </c>
      <c r="AJR2" t="s">
        <v>738</v>
      </c>
      <c r="AJS2" t="s">
        <v>1097</v>
      </c>
      <c r="AJT2" t="s">
        <v>1650</v>
      </c>
      <c r="AJU2" t="s">
        <v>1759</v>
      </c>
      <c r="AJV2" t="s">
        <v>2486</v>
      </c>
      <c r="AJW2" t="s">
        <v>2685</v>
      </c>
      <c r="AJX2" t="s">
        <v>1093</v>
      </c>
      <c r="AJY2" t="s">
        <v>2595</v>
      </c>
      <c r="AJZ2" t="s">
        <v>1730</v>
      </c>
      <c r="AKA2" t="s">
        <v>117</v>
      </c>
      <c r="AKB2" t="s">
        <v>2696</v>
      </c>
      <c r="AKC2" t="s">
        <v>630</v>
      </c>
      <c r="AKD2" t="s">
        <v>197</v>
      </c>
      <c r="AKE2" t="s">
        <v>1437</v>
      </c>
      <c r="AKF2" t="s">
        <v>1552</v>
      </c>
      <c r="AKG2" t="s">
        <v>313</v>
      </c>
      <c r="AKH2" t="s">
        <v>1790</v>
      </c>
      <c r="AKI2" t="s">
        <v>893</v>
      </c>
      <c r="AKJ2" t="s">
        <v>1290</v>
      </c>
      <c r="AKK2" t="s">
        <v>2197</v>
      </c>
      <c r="AKL2" t="s">
        <v>1686</v>
      </c>
      <c r="AKM2" t="s">
        <v>2336</v>
      </c>
      <c r="AKN2" t="s">
        <v>197</v>
      </c>
      <c r="AKO2" t="s">
        <v>2719</v>
      </c>
      <c r="AKP2" t="s">
        <v>1753</v>
      </c>
      <c r="AKQ2" t="s">
        <v>564</v>
      </c>
      <c r="AKR2" t="s">
        <v>38</v>
      </c>
      <c r="AKS2" t="s">
        <v>898</v>
      </c>
      <c r="AKT2" t="s">
        <v>1261</v>
      </c>
      <c r="AKU2" t="s">
        <v>1753</v>
      </c>
      <c r="AKV2" t="s">
        <v>1517</v>
      </c>
      <c r="AKW2" t="s">
        <v>412</v>
      </c>
      <c r="AKX2" t="s">
        <v>2628</v>
      </c>
      <c r="AKY2" t="s">
        <v>1680</v>
      </c>
      <c r="AKZ2" t="s">
        <v>279</v>
      </c>
      <c r="ALA2" t="s">
        <v>2395</v>
      </c>
      <c r="ALB2" t="s">
        <v>931</v>
      </c>
      <c r="ALC2" t="s">
        <v>422</v>
      </c>
      <c r="ALD2" t="s">
        <v>141</v>
      </c>
      <c r="ALE2" t="s">
        <v>197</v>
      </c>
      <c r="ALF2" t="s">
        <v>1243</v>
      </c>
      <c r="ALG2" t="s">
        <v>2748</v>
      </c>
      <c r="ALH2" t="s">
        <v>1530</v>
      </c>
      <c r="ALI2" t="s">
        <v>2336</v>
      </c>
      <c r="ALJ2" t="s">
        <v>725</v>
      </c>
      <c r="ALK2" t="s">
        <v>1384</v>
      </c>
      <c r="ALL2" t="s">
        <v>613</v>
      </c>
      <c r="ALM2" t="s">
        <v>530</v>
      </c>
    </row>
    <row r="3" spans="1:1001" x14ac:dyDescent="0.3">
      <c r="A3" s="1" t="s">
        <v>2</v>
      </c>
      <c r="B3" t="s">
        <v>14</v>
      </c>
      <c r="C3" t="s">
        <v>23</v>
      </c>
      <c r="D3" t="s">
        <v>32</v>
      </c>
      <c r="E3" t="s">
        <v>39</v>
      </c>
      <c r="F3" t="s">
        <v>46</v>
      </c>
      <c r="G3" t="s">
        <v>54</v>
      </c>
      <c r="H3" t="s">
        <v>60</v>
      </c>
      <c r="I3" t="s">
        <v>66</v>
      </c>
      <c r="J3" t="s">
        <v>71</v>
      </c>
      <c r="K3" t="s">
        <v>75</v>
      </c>
      <c r="L3" t="s">
        <v>81</v>
      </c>
      <c r="M3" t="s">
        <v>86</v>
      </c>
      <c r="N3" t="s">
        <v>90</v>
      </c>
      <c r="O3" t="s">
        <v>23</v>
      </c>
      <c r="P3" t="s">
        <v>98</v>
      </c>
      <c r="Q3" t="s">
        <v>102</v>
      </c>
      <c r="R3" t="s">
        <v>108</v>
      </c>
      <c r="S3" t="s">
        <v>113</v>
      </c>
      <c r="T3" t="s">
        <v>118</v>
      </c>
      <c r="U3" t="s">
        <v>121</v>
      </c>
      <c r="V3" t="s">
        <v>126</v>
      </c>
      <c r="W3" t="s">
        <v>131</v>
      </c>
      <c r="X3" t="s">
        <v>135</v>
      </c>
      <c r="Y3" t="s">
        <v>138</v>
      </c>
      <c r="Z3" t="s">
        <v>142</v>
      </c>
      <c r="AA3" t="s">
        <v>145</v>
      </c>
      <c r="AB3" t="s">
        <v>148</v>
      </c>
      <c r="AC3" t="s">
        <v>152</v>
      </c>
      <c r="AD3" t="s">
        <v>156</v>
      </c>
      <c r="AE3" t="s">
        <v>160</v>
      </c>
      <c r="AF3" t="s">
        <v>164</v>
      </c>
      <c r="AG3" t="s">
        <v>169</v>
      </c>
      <c r="AH3" t="s">
        <v>173</v>
      </c>
      <c r="AI3" t="s">
        <v>177</v>
      </c>
      <c r="AJ3" t="s">
        <v>182</v>
      </c>
      <c r="AK3" t="s">
        <v>186</v>
      </c>
      <c r="AL3" t="s">
        <v>169</v>
      </c>
      <c r="AM3" t="s">
        <v>194</v>
      </c>
      <c r="AN3" t="s">
        <v>198</v>
      </c>
      <c r="AO3" t="s">
        <v>202</v>
      </c>
      <c r="AP3" t="s">
        <v>206</v>
      </c>
      <c r="AQ3" t="s">
        <v>211</v>
      </c>
      <c r="AR3" t="s">
        <v>215</v>
      </c>
      <c r="AS3" t="s">
        <v>219</v>
      </c>
      <c r="AT3" t="s">
        <v>223</v>
      </c>
      <c r="AU3" t="s">
        <v>227</v>
      </c>
      <c r="AV3" t="s">
        <v>231</v>
      </c>
      <c r="AW3" t="s">
        <v>235</v>
      </c>
      <c r="AX3" t="s">
        <v>239</v>
      </c>
      <c r="AY3" t="s">
        <v>243</v>
      </c>
      <c r="AZ3" t="s">
        <v>247</v>
      </c>
      <c r="BA3" t="s">
        <v>251</v>
      </c>
      <c r="BB3" t="s">
        <v>255</v>
      </c>
      <c r="BC3" t="s">
        <v>259</v>
      </c>
      <c r="BD3" t="s">
        <v>263</v>
      </c>
      <c r="BE3" t="s">
        <v>268</v>
      </c>
      <c r="BF3" t="s">
        <v>272</v>
      </c>
      <c r="BG3" t="s">
        <v>276</v>
      </c>
      <c r="BH3" t="s">
        <v>280</v>
      </c>
      <c r="BI3" t="s">
        <v>284</v>
      </c>
      <c r="BJ3" t="s">
        <v>288</v>
      </c>
      <c r="BK3" t="s">
        <v>292</v>
      </c>
      <c r="BL3" t="s">
        <v>268</v>
      </c>
      <c r="BM3" t="s">
        <v>186</v>
      </c>
      <c r="BN3" t="s">
        <v>302</v>
      </c>
      <c r="BO3" t="s">
        <v>306</v>
      </c>
      <c r="BP3" t="s">
        <v>310</v>
      </c>
      <c r="BQ3" t="s">
        <v>314</v>
      </c>
      <c r="BR3" t="s">
        <v>318</v>
      </c>
      <c r="BS3" t="s">
        <v>321</v>
      </c>
      <c r="BT3" t="s">
        <v>325</v>
      </c>
      <c r="BU3" t="s">
        <v>329</v>
      </c>
      <c r="BV3" t="s">
        <v>333</v>
      </c>
      <c r="BW3" t="s">
        <v>337</v>
      </c>
      <c r="BX3" t="s">
        <v>340</v>
      </c>
      <c r="BY3" t="s">
        <v>344</v>
      </c>
      <c r="BZ3" t="s">
        <v>348</v>
      </c>
      <c r="CA3" t="s">
        <v>352</v>
      </c>
      <c r="CB3" t="s">
        <v>356</v>
      </c>
      <c r="CC3" t="s">
        <v>360</v>
      </c>
      <c r="CD3" t="s">
        <v>363</v>
      </c>
      <c r="CE3" t="s">
        <v>367</v>
      </c>
      <c r="CF3" t="s">
        <v>371</v>
      </c>
      <c r="CG3" t="s">
        <v>374</v>
      </c>
      <c r="CH3" t="s">
        <v>378</v>
      </c>
      <c r="CI3" t="s">
        <v>382</v>
      </c>
      <c r="CJ3" t="s">
        <v>386</v>
      </c>
      <c r="CK3" t="s">
        <v>390</v>
      </c>
      <c r="CL3" t="s">
        <v>394</v>
      </c>
      <c r="CM3" t="s">
        <v>398</v>
      </c>
      <c r="CN3" t="s">
        <v>402</v>
      </c>
      <c r="CO3" t="s">
        <v>406</v>
      </c>
      <c r="CP3" t="s">
        <v>352</v>
      </c>
      <c r="CQ3" t="s">
        <v>86</v>
      </c>
      <c r="CR3" t="s">
        <v>416</v>
      </c>
      <c r="CS3" t="s">
        <v>420</v>
      </c>
      <c r="CT3" t="s">
        <v>423</v>
      </c>
      <c r="CU3" t="s">
        <v>427</v>
      </c>
      <c r="CV3" t="s">
        <v>430</v>
      </c>
      <c r="CW3" t="s">
        <v>434</v>
      </c>
      <c r="CX3" t="s">
        <v>438</v>
      </c>
      <c r="CY3" t="s">
        <v>442</v>
      </c>
      <c r="CZ3" t="s">
        <v>446</v>
      </c>
      <c r="DA3" t="s">
        <v>450</v>
      </c>
      <c r="DB3" t="s">
        <v>454</v>
      </c>
      <c r="DC3" t="s">
        <v>458</v>
      </c>
      <c r="DD3" t="s">
        <v>352</v>
      </c>
      <c r="DE3" t="s">
        <v>215</v>
      </c>
      <c r="DF3" t="s">
        <v>468</v>
      </c>
      <c r="DG3" t="s">
        <v>344</v>
      </c>
      <c r="DH3" t="s">
        <v>118</v>
      </c>
      <c r="DI3" t="s">
        <v>478</v>
      </c>
      <c r="DJ3" t="s">
        <v>374</v>
      </c>
      <c r="DK3" t="s">
        <v>337</v>
      </c>
      <c r="DL3" t="s">
        <v>487</v>
      </c>
      <c r="DM3" t="s">
        <v>491</v>
      </c>
      <c r="DN3" t="s">
        <v>495</v>
      </c>
      <c r="DO3" t="s">
        <v>498</v>
      </c>
      <c r="DP3" t="s">
        <v>502</v>
      </c>
      <c r="DQ3" t="s">
        <v>506</v>
      </c>
      <c r="DR3" t="s">
        <v>510</v>
      </c>
      <c r="DS3" t="s">
        <v>513</v>
      </c>
      <c r="DT3" t="s">
        <v>516</v>
      </c>
      <c r="DU3" t="s">
        <v>160</v>
      </c>
      <c r="DV3" t="s">
        <v>523</v>
      </c>
      <c r="DW3" t="s">
        <v>527</v>
      </c>
      <c r="DX3" t="s">
        <v>531</v>
      </c>
      <c r="DY3" t="s">
        <v>535</v>
      </c>
      <c r="DZ3" t="s">
        <v>539</v>
      </c>
      <c r="EA3" t="s">
        <v>543</v>
      </c>
      <c r="EB3" t="s">
        <v>547</v>
      </c>
      <c r="EC3" t="s">
        <v>551</v>
      </c>
      <c r="ED3" t="s">
        <v>554</v>
      </c>
      <c r="EE3" t="s">
        <v>558</v>
      </c>
      <c r="EF3" t="s">
        <v>562</v>
      </c>
      <c r="EG3" t="s">
        <v>565</v>
      </c>
      <c r="EH3" t="s">
        <v>394</v>
      </c>
      <c r="EI3" t="s">
        <v>569</v>
      </c>
      <c r="EJ3" t="s">
        <v>572</v>
      </c>
      <c r="EK3" t="s">
        <v>576</v>
      </c>
      <c r="EL3" t="s">
        <v>580</v>
      </c>
      <c r="EM3" t="s">
        <v>583</v>
      </c>
      <c r="EN3" t="s">
        <v>378</v>
      </c>
      <c r="EO3" t="s">
        <v>590</v>
      </c>
      <c r="EP3" t="s">
        <v>594</v>
      </c>
      <c r="EQ3" t="s">
        <v>598</v>
      </c>
      <c r="ER3" t="s">
        <v>602</v>
      </c>
      <c r="ES3" t="s">
        <v>606</v>
      </c>
      <c r="ET3" t="s">
        <v>610</v>
      </c>
      <c r="EU3" t="s">
        <v>614</v>
      </c>
      <c r="EV3" t="s">
        <v>617</v>
      </c>
      <c r="EW3" t="s">
        <v>620</v>
      </c>
      <c r="EX3" t="s">
        <v>624</v>
      </c>
      <c r="EY3" t="s">
        <v>627</v>
      </c>
      <c r="EZ3" t="s">
        <v>631</v>
      </c>
      <c r="FA3" t="s">
        <v>635</v>
      </c>
      <c r="FB3" t="s">
        <v>637</v>
      </c>
      <c r="FC3" t="s">
        <v>640</v>
      </c>
      <c r="FD3" t="s">
        <v>643</v>
      </c>
      <c r="FE3" t="s">
        <v>647</v>
      </c>
      <c r="FF3" t="s">
        <v>651</v>
      </c>
      <c r="FG3" t="s">
        <v>655</v>
      </c>
      <c r="FH3" t="s">
        <v>516</v>
      </c>
      <c r="FI3" t="s">
        <v>661</v>
      </c>
      <c r="FJ3" t="s">
        <v>665</v>
      </c>
      <c r="FK3" t="s">
        <v>669</v>
      </c>
      <c r="FL3" t="s">
        <v>673</v>
      </c>
      <c r="FM3" t="s">
        <v>677</v>
      </c>
      <c r="FN3" t="s">
        <v>680</v>
      </c>
      <c r="FO3" t="s">
        <v>684</v>
      </c>
      <c r="FP3" t="s">
        <v>688</v>
      </c>
      <c r="FQ3" t="s">
        <v>690</v>
      </c>
      <c r="FR3" t="s">
        <v>693</v>
      </c>
      <c r="FS3" t="s">
        <v>696</v>
      </c>
      <c r="FT3" t="s">
        <v>700</v>
      </c>
      <c r="FU3" t="s">
        <v>704</v>
      </c>
      <c r="FV3" t="s">
        <v>142</v>
      </c>
      <c r="FW3" t="s">
        <v>710</v>
      </c>
      <c r="FX3" t="s">
        <v>713</v>
      </c>
      <c r="FY3" t="s">
        <v>717</v>
      </c>
      <c r="FZ3" t="s">
        <v>720</v>
      </c>
      <c r="GA3" t="s">
        <v>723</v>
      </c>
      <c r="GB3" t="s">
        <v>726</v>
      </c>
      <c r="GC3" t="s">
        <v>620</v>
      </c>
      <c r="GD3" t="s">
        <v>732</v>
      </c>
      <c r="GE3" t="s">
        <v>735</v>
      </c>
      <c r="GF3" t="s">
        <v>739</v>
      </c>
      <c r="GG3" t="s">
        <v>743</v>
      </c>
      <c r="GH3" t="s">
        <v>747</v>
      </c>
      <c r="GI3" t="s">
        <v>627</v>
      </c>
      <c r="GJ3" t="s">
        <v>430</v>
      </c>
      <c r="GK3" t="s">
        <v>757</v>
      </c>
      <c r="GL3" t="s">
        <v>760</v>
      </c>
      <c r="GM3" t="s">
        <v>569</v>
      </c>
      <c r="GN3" t="s">
        <v>765</v>
      </c>
      <c r="GO3" t="s">
        <v>769</v>
      </c>
      <c r="GP3" t="s">
        <v>164</v>
      </c>
      <c r="GQ3" t="s">
        <v>774</v>
      </c>
      <c r="GR3" t="s">
        <v>32</v>
      </c>
      <c r="GS3" t="s">
        <v>781</v>
      </c>
      <c r="GT3" t="s">
        <v>160</v>
      </c>
      <c r="GU3" t="s">
        <v>787</v>
      </c>
      <c r="GV3" t="s">
        <v>791</v>
      </c>
      <c r="GW3" t="s">
        <v>795</v>
      </c>
      <c r="GX3" t="s">
        <v>798</v>
      </c>
      <c r="GY3" t="s">
        <v>801</v>
      </c>
      <c r="GZ3" t="s">
        <v>805</v>
      </c>
      <c r="HA3" t="s">
        <v>808</v>
      </c>
      <c r="HB3" t="s">
        <v>812</v>
      </c>
      <c r="HC3" t="s">
        <v>815</v>
      </c>
      <c r="HD3" t="s">
        <v>817</v>
      </c>
      <c r="HE3" t="s">
        <v>820</v>
      </c>
      <c r="HF3" t="s">
        <v>824</v>
      </c>
      <c r="HG3" t="s">
        <v>828</v>
      </c>
      <c r="HH3" t="s">
        <v>831</v>
      </c>
      <c r="HI3" t="s">
        <v>834</v>
      </c>
      <c r="HJ3" t="s">
        <v>837</v>
      </c>
      <c r="HK3" t="s">
        <v>841</v>
      </c>
      <c r="HL3" t="s">
        <v>845</v>
      </c>
      <c r="HM3" t="s">
        <v>848</v>
      </c>
      <c r="HN3" t="s">
        <v>851</v>
      </c>
      <c r="HO3" t="s">
        <v>450</v>
      </c>
      <c r="HP3" t="s">
        <v>856</v>
      </c>
      <c r="HQ3" t="s">
        <v>340</v>
      </c>
      <c r="HR3" t="s">
        <v>531</v>
      </c>
      <c r="HS3" t="s">
        <v>866</v>
      </c>
      <c r="HT3" t="s">
        <v>870</v>
      </c>
      <c r="HU3" t="s">
        <v>874</v>
      </c>
      <c r="HV3" t="s">
        <v>878</v>
      </c>
      <c r="HW3" t="s">
        <v>881</v>
      </c>
      <c r="HX3" t="s">
        <v>884</v>
      </c>
      <c r="HY3" t="s">
        <v>887</v>
      </c>
      <c r="HZ3" t="s">
        <v>890</v>
      </c>
      <c r="IA3" t="s">
        <v>468</v>
      </c>
      <c r="IB3" t="s">
        <v>896</v>
      </c>
      <c r="IC3" t="s">
        <v>899</v>
      </c>
      <c r="ID3" t="s">
        <v>576</v>
      </c>
      <c r="IE3" t="s">
        <v>905</v>
      </c>
      <c r="IF3" t="s">
        <v>909</v>
      </c>
      <c r="IG3" t="s">
        <v>118</v>
      </c>
      <c r="IH3" t="s">
        <v>915</v>
      </c>
      <c r="II3" t="s">
        <v>918</v>
      </c>
      <c r="IJ3" t="s">
        <v>921</v>
      </c>
      <c r="IK3" t="s">
        <v>925</v>
      </c>
      <c r="IL3" t="s">
        <v>928</v>
      </c>
      <c r="IM3" t="s">
        <v>932</v>
      </c>
      <c r="IN3" t="s">
        <v>935</v>
      </c>
      <c r="IO3" t="s">
        <v>939</v>
      </c>
      <c r="IP3" t="s">
        <v>943</v>
      </c>
      <c r="IQ3" t="s">
        <v>614</v>
      </c>
      <c r="IR3" t="s">
        <v>637</v>
      </c>
      <c r="IS3" t="s">
        <v>950</v>
      </c>
      <c r="IT3" t="s">
        <v>953</v>
      </c>
      <c r="IU3" t="s">
        <v>956</v>
      </c>
      <c r="IV3" t="s">
        <v>959</v>
      </c>
      <c r="IW3" t="s">
        <v>962</v>
      </c>
      <c r="IX3" t="s">
        <v>966</v>
      </c>
      <c r="IY3" t="s">
        <v>186</v>
      </c>
      <c r="IZ3" t="s">
        <v>972</v>
      </c>
      <c r="JA3" t="s">
        <v>975</v>
      </c>
      <c r="JB3" t="s">
        <v>979</v>
      </c>
      <c r="JC3" t="s">
        <v>981</v>
      </c>
      <c r="JD3" t="s">
        <v>984</v>
      </c>
      <c r="JE3" t="s">
        <v>594</v>
      </c>
      <c r="JF3" t="s">
        <v>580</v>
      </c>
      <c r="JG3" t="s">
        <v>992</v>
      </c>
      <c r="JH3" t="s">
        <v>820</v>
      </c>
      <c r="JI3" t="s">
        <v>997</v>
      </c>
      <c r="JJ3" t="s">
        <v>1000</v>
      </c>
      <c r="JK3" t="s">
        <v>1004</v>
      </c>
      <c r="JL3" t="s">
        <v>1007</v>
      </c>
      <c r="JM3" t="s">
        <v>1009</v>
      </c>
      <c r="JN3" t="s">
        <v>1012</v>
      </c>
      <c r="JO3" t="s">
        <v>1016</v>
      </c>
      <c r="JP3" t="s">
        <v>344</v>
      </c>
      <c r="JQ3" t="s">
        <v>1022</v>
      </c>
      <c r="JR3" t="s">
        <v>1026</v>
      </c>
      <c r="JS3" t="s">
        <v>1029</v>
      </c>
      <c r="JT3" t="s">
        <v>66</v>
      </c>
      <c r="JU3" t="s">
        <v>1033</v>
      </c>
      <c r="JV3" t="s">
        <v>1036</v>
      </c>
      <c r="JW3" t="s">
        <v>1040</v>
      </c>
      <c r="JX3" t="s">
        <v>446</v>
      </c>
      <c r="JY3" t="s">
        <v>1046</v>
      </c>
      <c r="JZ3" t="s">
        <v>1049</v>
      </c>
      <c r="KA3" t="s">
        <v>1053</v>
      </c>
      <c r="KB3" t="s">
        <v>1055</v>
      </c>
      <c r="KC3" t="s">
        <v>1059</v>
      </c>
      <c r="KD3" t="s">
        <v>1062</v>
      </c>
      <c r="KE3" t="s">
        <v>1065</v>
      </c>
      <c r="KF3" t="s">
        <v>1068</v>
      </c>
      <c r="KG3" t="s">
        <v>688</v>
      </c>
      <c r="KH3" t="s">
        <v>1073</v>
      </c>
      <c r="KI3" t="s">
        <v>1076</v>
      </c>
      <c r="KJ3" t="s">
        <v>1080</v>
      </c>
      <c r="KK3" t="s">
        <v>624</v>
      </c>
      <c r="KL3" t="s">
        <v>1084</v>
      </c>
      <c r="KM3" t="s">
        <v>1087</v>
      </c>
      <c r="KN3" t="s">
        <v>1090</v>
      </c>
      <c r="KO3" t="s">
        <v>1094</v>
      </c>
      <c r="KP3" t="s">
        <v>1098</v>
      </c>
      <c r="KQ3" t="s">
        <v>1101</v>
      </c>
      <c r="KR3" t="s">
        <v>263</v>
      </c>
      <c r="KS3" t="s">
        <v>1106</v>
      </c>
      <c r="KT3" t="s">
        <v>402</v>
      </c>
      <c r="KU3" t="s">
        <v>1111</v>
      </c>
      <c r="KV3" t="s">
        <v>617</v>
      </c>
      <c r="KW3" t="s">
        <v>1116</v>
      </c>
      <c r="KX3" t="s">
        <v>1120</v>
      </c>
      <c r="KY3" t="s">
        <v>1123</v>
      </c>
      <c r="KZ3" t="s">
        <v>1126</v>
      </c>
      <c r="LA3" t="s">
        <v>1128</v>
      </c>
      <c r="LB3" t="s">
        <v>1132</v>
      </c>
      <c r="LC3" t="s">
        <v>572</v>
      </c>
      <c r="LD3" t="s">
        <v>1136</v>
      </c>
      <c r="LE3" t="s">
        <v>1139</v>
      </c>
      <c r="LF3" t="s">
        <v>1142</v>
      </c>
      <c r="LG3" t="s">
        <v>1144</v>
      </c>
      <c r="LH3" t="s">
        <v>1148</v>
      </c>
      <c r="LI3" t="s">
        <v>420</v>
      </c>
      <c r="LJ3" t="s">
        <v>1154</v>
      </c>
      <c r="LK3" t="s">
        <v>1158</v>
      </c>
      <c r="LL3" t="s">
        <v>1162</v>
      </c>
      <c r="LM3" t="s">
        <v>1166</v>
      </c>
      <c r="LN3" t="s">
        <v>1170</v>
      </c>
      <c r="LO3" t="s">
        <v>760</v>
      </c>
      <c r="LP3" t="s">
        <v>1176</v>
      </c>
      <c r="LQ3" t="s">
        <v>1029</v>
      </c>
      <c r="LR3" t="s">
        <v>1182</v>
      </c>
      <c r="LS3" t="s">
        <v>1184</v>
      </c>
      <c r="LT3" t="s">
        <v>1187</v>
      </c>
      <c r="LU3" t="s">
        <v>1191</v>
      </c>
      <c r="LV3" t="s">
        <v>1195</v>
      </c>
      <c r="LW3" t="s">
        <v>1198</v>
      </c>
      <c r="LX3" t="s">
        <v>1201</v>
      </c>
      <c r="LY3" t="s">
        <v>1205</v>
      </c>
      <c r="LZ3" t="s">
        <v>1016</v>
      </c>
      <c r="MA3" t="s">
        <v>972</v>
      </c>
      <c r="MB3" t="s">
        <v>959</v>
      </c>
      <c r="MC3" t="s">
        <v>1216</v>
      </c>
      <c r="MD3" t="s">
        <v>943</v>
      </c>
      <c r="ME3" t="s">
        <v>1223</v>
      </c>
      <c r="MF3" t="s">
        <v>442</v>
      </c>
      <c r="MG3" t="s">
        <v>1228</v>
      </c>
      <c r="MH3" t="s">
        <v>1232</v>
      </c>
      <c r="MI3" t="s">
        <v>1235</v>
      </c>
      <c r="MJ3" t="s">
        <v>356</v>
      </c>
      <c r="MK3" t="s">
        <v>1241</v>
      </c>
      <c r="ML3" t="s">
        <v>1244</v>
      </c>
      <c r="MM3" t="s">
        <v>1247</v>
      </c>
      <c r="MN3" t="s">
        <v>769</v>
      </c>
      <c r="MO3" t="s">
        <v>1253</v>
      </c>
      <c r="MP3" t="s">
        <v>1256</v>
      </c>
      <c r="MQ3" t="s">
        <v>1258</v>
      </c>
      <c r="MR3" t="s">
        <v>1262</v>
      </c>
      <c r="MS3" t="s">
        <v>1265</v>
      </c>
      <c r="MT3" t="s">
        <v>160</v>
      </c>
      <c r="MU3" t="s">
        <v>1271</v>
      </c>
      <c r="MV3" t="s">
        <v>1275</v>
      </c>
      <c r="MW3" t="s">
        <v>726</v>
      </c>
      <c r="MX3" t="s">
        <v>1281</v>
      </c>
      <c r="MY3" t="s">
        <v>673</v>
      </c>
      <c r="MZ3" t="s">
        <v>1287</v>
      </c>
      <c r="NA3" t="s">
        <v>1291</v>
      </c>
      <c r="NB3" t="s">
        <v>1294</v>
      </c>
      <c r="NC3" t="s">
        <v>1296</v>
      </c>
      <c r="ND3" t="s">
        <v>458</v>
      </c>
      <c r="NE3" t="s">
        <v>1302</v>
      </c>
      <c r="NF3" t="s">
        <v>1271</v>
      </c>
      <c r="NG3" t="s">
        <v>1307</v>
      </c>
      <c r="NH3" t="s">
        <v>1311</v>
      </c>
      <c r="NI3" t="s">
        <v>1314</v>
      </c>
      <c r="NJ3" t="s">
        <v>1318</v>
      </c>
      <c r="NK3" t="s">
        <v>1321</v>
      </c>
      <c r="NL3" t="s">
        <v>1324</v>
      </c>
      <c r="NM3" t="s">
        <v>1327</v>
      </c>
      <c r="NN3" t="s">
        <v>1331</v>
      </c>
      <c r="NO3" t="s">
        <v>1335</v>
      </c>
      <c r="NP3" t="s">
        <v>1338</v>
      </c>
      <c r="NQ3" t="s">
        <v>1341</v>
      </c>
      <c r="NR3" t="s">
        <v>1344</v>
      </c>
      <c r="NS3" t="s">
        <v>1347</v>
      </c>
      <c r="NT3" t="s">
        <v>1351</v>
      </c>
      <c r="NU3" t="s">
        <v>1354</v>
      </c>
      <c r="NV3" t="s">
        <v>527</v>
      </c>
      <c r="NW3" t="s">
        <v>1359</v>
      </c>
      <c r="NX3" t="s">
        <v>1363</v>
      </c>
      <c r="NY3" t="s">
        <v>206</v>
      </c>
      <c r="NZ3" t="s">
        <v>1068</v>
      </c>
      <c r="OA3" t="s">
        <v>1369</v>
      </c>
      <c r="OB3" t="s">
        <v>1128</v>
      </c>
      <c r="OC3" t="s">
        <v>781</v>
      </c>
      <c r="OD3" t="s">
        <v>1376</v>
      </c>
      <c r="OE3" t="s">
        <v>647</v>
      </c>
      <c r="OF3" t="s">
        <v>1381</v>
      </c>
      <c r="OG3" t="s">
        <v>1385</v>
      </c>
      <c r="OH3" t="s">
        <v>1389</v>
      </c>
      <c r="OI3" t="s">
        <v>769</v>
      </c>
      <c r="OJ3" t="s">
        <v>1321</v>
      </c>
      <c r="OK3" t="s">
        <v>1395</v>
      </c>
      <c r="OL3" t="s">
        <v>1399</v>
      </c>
      <c r="OM3" t="s">
        <v>1402</v>
      </c>
      <c r="ON3" t="s">
        <v>1404</v>
      </c>
      <c r="OO3" t="s">
        <v>1407</v>
      </c>
      <c r="OP3" t="s">
        <v>1410</v>
      </c>
      <c r="OQ3" t="s">
        <v>953</v>
      </c>
      <c r="OR3" t="s">
        <v>1417</v>
      </c>
      <c r="OS3" t="s">
        <v>1420</v>
      </c>
      <c r="OT3" t="s">
        <v>1423</v>
      </c>
      <c r="OU3" t="s">
        <v>1427</v>
      </c>
      <c r="OV3" t="s">
        <v>1431</v>
      </c>
      <c r="OW3" t="s">
        <v>1434</v>
      </c>
      <c r="OX3" t="s">
        <v>1359</v>
      </c>
      <c r="OY3" t="s">
        <v>54</v>
      </c>
      <c r="OZ3" t="s">
        <v>1443</v>
      </c>
      <c r="PA3" t="s">
        <v>1446</v>
      </c>
      <c r="PB3" t="s">
        <v>1385</v>
      </c>
      <c r="PC3" t="s">
        <v>1452</v>
      </c>
      <c r="PD3" t="s">
        <v>1455</v>
      </c>
      <c r="PE3" t="s">
        <v>1457</v>
      </c>
      <c r="PF3" t="s">
        <v>1460</v>
      </c>
      <c r="PG3" t="s">
        <v>1463</v>
      </c>
      <c r="PH3" t="s">
        <v>1465</v>
      </c>
      <c r="PI3" t="s">
        <v>1468</v>
      </c>
      <c r="PJ3" t="s">
        <v>962</v>
      </c>
      <c r="PK3" t="s">
        <v>1474</v>
      </c>
      <c r="PL3" t="s">
        <v>1477</v>
      </c>
      <c r="PM3" t="s">
        <v>1481</v>
      </c>
      <c r="PN3" t="s">
        <v>1344</v>
      </c>
      <c r="PO3" t="s">
        <v>420</v>
      </c>
      <c r="PP3" t="s">
        <v>1489</v>
      </c>
      <c r="PQ3" t="s">
        <v>1492</v>
      </c>
      <c r="PR3" t="s">
        <v>1495</v>
      </c>
      <c r="PS3" t="s">
        <v>1498</v>
      </c>
      <c r="PT3" t="s">
        <v>1502</v>
      </c>
      <c r="PU3" t="s">
        <v>1505</v>
      </c>
      <c r="PV3" t="s">
        <v>360</v>
      </c>
      <c r="PW3" t="s">
        <v>669</v>
      </c>
      <c r="PX3" t="s">
        <v>801</v>
      </c>
      <c r="PY3" t="s">
        <v>1514</v>
      </c>
      <c r="PZ3" t="s">
        <v>1347</v>
      </c>
      <c r="QA3" t="s">
        <v>1016</v>
      </c>
      <c r="QB3" t="s">
        <v>1520</v>
      </c>
      <c r="QC3" t="s">
        <v>1523</v>
      </c>
      <c r="QD3" t="s">
        <v>1526</v>
      </c>
      <c r="QE3" t="s">
        <v>1528</v>
      </c>
      <c r="QF3" t="s">
        <v>1531</v>
      </c>
      <c r="QG3" t="s">
        <v>1101</v>
      </c>
      <c r="QH3" t="s">
        <v>640</v>
      </c>
      <c r="QI3" t="s">
        <v>1538</v>
      </c>
      <c r="QJ3" t="s">
        <v>1542</v>
      </c>
      <c r="QK3" t="s">
        <v>259</v>
      </c>
      <c r="QL3" t="s">
        <v>558</v>
      </c>
      <c r="QM3" t="s">
        <v>259</v>
      </c>
      <c r="QN3" t="s">
        <v>1550</v>
      </c>
      <c r="QO3" t="s">
        <v>1553</v>
      </c>
      <c r="QP3" t="s">
        <v>1557</v>
      </c>
      <c r="QQ3" t="s">
        <v>1560</v>
      </c>
      <c r="QR3" t="s">
        <v>398</v>
      </c>
      <c r="QS3" t="s">
        <v>1566</v>
      </c>
      <c r="QT3" t="s">
        <v>1568</v>
      </c>
      <c r="QU3" t="s">
        <v>1571</v>
      </c>
      <c r="QV3" t="s">
        <v>1084</v>
      </c>
      <c r="QW3" t="s">
        <v>427</v>
      </c>
      <c r="QX3" t="s">
        <v>815</v>
      </c>
      <c r="QY3" t="s">
        <v>468</v>
      </c>
      <c r="QZ3" t="s">
        <v>1582</v>
      </c>
      <c r="RA3" t="s">
        <v>1584</v>
      </c>
      <c r="RB3" t="s">
        <v>458</v>
      </c>
      <c r="RC3" t="s">
        <v>1590</v>
      </c>
      <c r="RD3" t="s">
        <v>1594</v>
      </c>
      <c r="RE3" t="s">
        <v>1598</v>
      </c>
      <c r="RF3" t="s">
        <v>102</v>
      </c>
      <c r="RG3" t="s">
        <v>1603</v>
      </c>
      <c r="RH3" t="s">
        <v>1605</v>
      </c>
      <c r="RI3" t="s">
        <v>1468</v>
      </c>
      <c r="RJ3" t="s">
        <v>1609</v>
      </c>
      <c r="RK3" t="s">
        <v>1191</v>
      </c>
      <c r="RL3" t="s">
        <v>1614</v>
      </c>
      <c r="RM3" t="s">
        <v>1618</v>
      </c>
      <c r="RN3" t="s">
        <v>1621</v>
      </c>
      <c r="RO3" t="s">
        <v>1623</v>
      </c>
      <c r="RP3" t="s">
        <v>1523</v>
      </c>
      <c r="RQ3" t="s">
        <v>1630</v>
      </c>
      <c r="RR3" t="s">
        <v>1009</v>
      </c>
      <c r="RS3" t="s">
        <v>1635</v>
      </c>
      <c r="RT3" t="s">
        <v>1639</v>
      </c>
      <c r="RU3" t="s">
        <v>1641</v>
      </c>
      <c r="RV3" t="s">
        <v>1062</v>
      </c>
      <c r="RW3" t="s">
        <v>757</v>
      </c>
      <c r="RX3" t="s">
        <v>1648</v>
      </c>
      <c r="RY3" t="s">
        <v>1630</v>
      </c>
      <c r="RZ3" t="s">
        <v>1654</v>
      </c>
      <c r="SA3" t="s">
        <v>1657</v>
      </c>
      <c r="SB3" t="s">
        <v>1661</v>
      </c>
      <c r="SC3" t="s">
        <v>1664</v>
      </c>
      <c r="SD3" t="s">
        <v>1668</v>
      </c>
      <c r="SE3" t="s">
        <v>1671</v>
      </c>
      <c r="SF3" t="s">
        <v>1674</v>
      </c>
      <c r="SG3" t="s">
        <v>1170</v>
      </c>
      <c r="SH3" t="s">
        <v>1681</v>
      </c>
      <c r="SI3" t="s">
        <v>427</v>
      </c>
      <c r="SJ3" t="s">
        <v>992</v>
      </c>
      <c r="SK3" t="s">
        <v>1687</v>
      </c>
      <c r="SL3" t="s">
        <v>928</v>
      </c>
      <c r="SM3" t="s">
        <v>1205</v>
      </c>
      <c r="SN3" t="s">
        <v>434</v>
      </c>
      <c r="SO3" t="s">
        <v>1697</v>
      </c>
      <c r="SP3" t="s">
        <v>98</v>
      </c>
      <c r="SQ3" t="s">
        <v>1701</v>
      </c>
      <c r="SR3" t="s">
        <v>1703</v>
      </c>
      <c r="SS3" t="s">
        <v>992</v>
      </c>
      <c r="ST3" t="s">
        <v>1708</v>
      </c>
      <c r="SU3" t="s">
        <v>1710</v>
      </c>
      <c r="SV3" t="s">
        <v>1106</v>
      </c>
      <c r="SW3" t="s">
        <v>1714</v>
      </c>
      <c r="SX3" t="s">
        <v>1718</v>
      </c>
      <c r="SY3" t="s">
        <v>1721</v>
      </c>
      <c r="SZ3" t="s">
        <v>1302</v>
      </c>
      <c r="TA3" t="s">
        <v>848</v>
      </c>
      <c r="TB3" t="s">
        <v>1727</v>
      </c>
      <c r="TC3" t="s">
        <v>1142</v>
      </c>
      <c r="TD3" t="s">
        <v>1732</v>
      </c>
      <c r="TE3" t="s">
        <v>590</v>
      </c>
      <c r="TF3" t="s">
        <v>1735</v>
      </c>
      <c r="TG3" t="s">
        <v>1738</v>
      </c>
      <c r="TH3" t="s">
        <v>1742</v>
      </c>
      <c r="TI3" t="s">
        <v>1745</v>
      </c>
      <c r="TJ3" t="s">
        <v>1748</v>
      </c>
      <c r="TK3" t="s">
        <v>1750</v>
      </c>
      <c r="TL3" t="s">
        <v>896</v>
      </c>
      <c r="TM3" t="s">
        <v>1754</v>
      </c>
      <c r="TN3" t="s">
        <v>1757</v>
      </c>
      <c r="TO3" t="s">
        <v>1760</v>
      </c>
      <c r="TP3" t="s">
        <v>1762</v>
      </c>
      <c r="TQ3" t="s">
        <v>1764</v>
      </c>
      <c r="TR3" t="s">
        <v>1766</v>
      </c>
      <c r="TS3" t="s">
        <v>1768</v>
      </c>
      <c r="TT3" t="s">
        <v>1771</v>
      </c>
      <c r="TU3" t="s">
        <v>138</v>
      </c>
      <c r="TV3" t="s">
        <v>569</v>
      </c>
      <c r="TW3" t="s">
        <v>1776</v>
      </c>
      <c r="TX3" t="s">
        <v>1779</v>
      </c>
      <c r="TY3" t="s">
        <v>1026</v>
      </c>
      <c r="TZ3" t="s">
        <v>1784</v>
      </c>
      <c r="UA3" t="s">
        <v>1787</v>
      </c>
      <c r="UB3" t="s">
        <v>1791</v>
      </c>
      <c r="UC3" t="s">
        <v>1068</v>
      </c>
      <c r="UD3" t="s">
        <v>1795</v>
      </c>
      <c r="UE3" t="s">
        <v>617</v>
      </c>
      <c r="UF3" t="s">
        <v>1799</v>
      </c>
      <c r="UG3" t="s">
        <v>1648</v>
      </c>
      <c r="UH3" t="s">
        <v>1803</v>
      </c>
      <c r="UI3" t="s">
        <v>1805</v>
      </c>
      <c r="UJ3" t="s">
        <v>1808</v>
      </c>
      <c r="UK3" t="s">
        <v>1811</v>
      </c>
      <c r="UL3" t="s">
        <v>1814</v>
      </c>
      <c r="UM3" t="s">
        <v>673</v>
      </c>
      <c r="UN3" t="s">
        <v>1489</v>
      </c>
      <c r="UO3" t="s">
        <v>824</v>
      </c>
      <c r="UP3" t="s">
        <v>1823</v>
      </c>
      <c r="UQ3" t="s">
        <v>1281</v>
      </c>
      <c r="UR3" t="s">
        <v>1162</v>
      </c>
      <c r="US3" t="s">
        <v>1829</v>
      </c>
      <c r="UT3" t="s">
        <v>1832</v>
      </c>
      <c r="UU3" t="s">
        <v>402</v>
      </c>
      <c r="UV3" t="s">
        <v>1603</v>
      </c>
      <c r="UW3" t="s">
        <v>1838</v>
      </c>
      <c r="UX3" t="s">
        <v>554</v>
      </c>
      <c r="UY3" t="s">
        <v>1844</v>
      </c>
      <c r="UZ3" t="s">
        <v>981</v>
      </c>
      <c r="VA3" t="s">
        <v>1848</v>
      </c>
      <c r="VB3" t="s">
        <v>1598</v>
      </c>
      <c r="VC3" t="s">
        <v>1853</v>
      </c>
      <c r="VD3" t="s">
        <v>1855</v>
      </c>
      <c r="VE3" t="s">
        <v>1858</v>
      </c>
      <c r="VF3" t="s">
        <v>834</v>
      </c>
      <c r="VG3" t="s">
        <v>1863</v>
      </c>
      <c r="VH3" t="s">
        <v>1557</v>
      </c>
      <c r="VI3" t="s">
        <v>1868</v>
      </c>
      <c r="VJ3" t="s">
        <v>1871</v>
      </c>
      <c r="VK3" t="s">
        <v>1710</v>
      </c>
      <c r="VL3" t="s">
        <v>310</v>
      </c>
      <c r="VM3" t="s">
        <v>1808</v>
      </c>
      <c r="VN3" t="s">
        <v>1881</v>
      </c>
      <c r="VO3" t="s">
        <v>1407</v>
      </c>
      <c r="VP3" t="s">
        <v>1664</v>
      </c>
      <c r="VQ3" t="s">
        <v>824</v>
      </c>
      <c r="VR3" t="s">
        <v>1046</v>
      </c>
      <c r="VS3" t="s">
        <v>1891</v>
      </c>
      <c r="VT3" t="s">
        <v>1894</v>
      </c>
      <c r="VU3" t="s">
        <v>14</v>
      </c>
      <c r="VV3" t="s">
        <v>1898</v>
      </c>
      <c r="VW3" t="s">
        <v>1901</v>
      </c>
      <c r="VX3" t="s">
        <v>1904</v>
      </c>
      <c r="VY3" t="s">
        <v>1907</v>
      </c>
      <c r="VZ3" t="s">
        <v>1910</v>
      </c>
      <c r="WA3" t="s">
        <v>1913</v>
      </c>
      <c r="WB3" t="s">
        <v>696</v>
      </c>
      <c r="WC3" t="s">
        <v>1917</v>
      </c>
      <c r="WD3" t="s">
        <v>1080</v>
      </c>
      <c r="WE3" t="s">
        <v>1327</v>
      </c>
      <c r="WF3" t="s">
        <v>1923</v>
      </c>
      <c r="WG3" t="s">
        <v>1258</v>
      </c>
      <c r="WH3" t="s">
        <v>513</v>
      </c>
      <c r="WI3" t="s">
        <v>1930</v>
      </c>
      <c r="WJ3" t="s">
        <v>801</v>
      </c>
      <c r="WK3" t="s">
        <v>1933</v>
      </c>
      <c r="WL3" t="s">
        <v>1937</v>
      </c>
      <c r="WM3" t="s">
        <v>1941</v>
      </c>
      <c r="WN3" t="s">
        <v>624</v>
      </c>
      <c r="WO3" t="s">
        <v>1947</v>
      </c>
      <c r="WP3" t="s">
        <v>1950</v>
      </c>
      <c r="WQ3" t="s">
        <v>1953</v>
      </c>
      <c r="WR3" t="s">
        <v>943</v>
      </c>
      <c r="WS3" t="s">
        <v>739</v>
      </c>
      <c r="WT3" t="s">
        <v>1335</v>
      </c>
      <c r="WU3" t="s">
        <v>1265</v>
      </c>
      <c r="WV3" t="s">
        <v>1963</v>
      </c>
      <c r="WW3" t="s">
        <v>1814</v>
      </c>
      <c r="WX3" t="s">
        <v>1968</v>
      </c>
      <c r="WY3" t="s">
        <v>1971</v>
      </c>
      <c r="WZ3" t="s">
        <v>54</v>
      </c>
      <c r="XA3" t="s">
        <v>1976</v>
      </c>
      <c r="XB3" t="s">
        <v>1978</v>
      </c>
      <c r="XC3" t="s">
        <v>1982</v>
      </c>
      <c r="XD3" t="s">
        <v>590</v>
      </c>
      <c r="XE3" t="s">
        <v>1986</v>
      </c>
      <c r="XF3" t="s">
        <v>1811</v>
      </c>
      <c r="XG3" t="s">
        <v>1991</v>
      </c>
      <c r="XH3" t="s">
        <v>1994</v>
      </c>
      <c r="XI3" t="s">
        <v>1997</v>
      </c>
      <c r="XJ3" t="s">
        <v>2000</v>
      </c>
      <c r="XK3" t="s">
        <v>2003</v>
      </c>
      <c r="XL3" t="s">
        <v>1523</v>
      </c>
      <c r="XM3" t="s">
        <v>2006</v>
      </c>
      <c r="XN3" t="s">
        <v>1223</v>
      </c>
      <c r="XO3" t="s">
        <v>2010</v>
      </c>
      <c r="XP3" t="s">
        <v>939</v>
      </c>
      <c r="XQ3" t="s">
        <v>2014</v>
      </c>
      <c r="XR3" t="s">
        <v>2017</v>
      </c>
      <c r="XS3" t="s">
        <v>2019</v>
      </c>
      <c r="XT3" t="s">
        <v>1697</v>
      </c>
      <c r="XU3" t="s">
        <v>2024</v>
      </c>
      <c r="XV3" t="s">
        <v>206</v>
      </c>
      <c r="XW3" t="s">
        <v>2029</v>
      </c>
      <c r="XX3" t="s">
        <v>321</v>
      </c>
      <c r="XY3" t="s">
        <v>2033</v>
      </c>
      <c r="XZ3" t="s">
        <v>2036</v>
      </c>
      <c r="YA3" t="s">
        <v>2038</v>
      </c>
      <c r="YB3" t="s">
        <v>2041</v>
      </c>
      <c r="YC3" t="s">
        <v>2044</v>
      </c>
      <c r="YD3" t="s">
        <v>959</v>
      </c>
      <c r="YE3" t="s">
        <v>108</v>
      </c>
      <c r="YF3" t="s">
        <v>2050</v>
      </c>
      <c r="YG3" t="s">
        <v>1296</v>
      </c>
      <c r="YH3" t="s">
        <v>2055</v>
      </c>
      <c r="YI3" t="s">
        <v>1668</v>
      </c>
      <c r="YJ3" t="s">
        <v>1223</v>
      </c>
      <c r="YK3" t="s">
        <v>2061</v>
      </c>
      <c r="YL3" t="s">
        <v>2063</v>
      </c>
      <c r="YM3" t="s">
        <v>1007</v>
      </c>
      <c r="YN3" t="s">
        <v>2068</v>
      </c>
      <c r="YO3" t="s">
        <v>333</v>
      </c>
      <c r="YP3" t="s">
        <v>1142</v>
      </c>
      <c r="YQ3" t="s">
        <v>434</v>
      </c>
      <c r="YR3" t="s">
        <v>2078</v>
      </c>
      <c r="YS3" t="s">
        <v>2080</v>
      </c>
      <c r="YT3" t="s">
        <v>450</v>
      </c>
      <c r="YU3" t="s">
        <v>1460</v>
      </c>
      <c r="YV3" t="s">
        <v>2086</v>
      </c>
      <c r="YW3" t="s">
        <v>565</v>
      </c>
      <c r="YX3" t="s">
        <v>2055</v>
      </c>
      <c r="YY3" t="s">
        <v>259</v>
      </c>
      <c r="YZ3" t="s">
        <v>2095</v>
      </c>
      <c r="ZA3" t="s">
        <v>673</v>
      </c>
      <c r="ZB3" t="s">
        <v>2099</v>
      </c>
      <c r="ZC3" t="s">
        <v>2102</v>
      </c>
      <c r="ZD3" t="s">
        <v>398</v>
      </c>
      <c r="ZE3" t="s">
        <v>458</v>
      </c>
      <c r="ZF3" t="s">
        <v>2108</v>
      </c>
      <c r="ZG3" t="s">
        <v>1253</v>
      </c>
      <c r="ZH3" t="s">
        <v>2113</v>
      </c>
      <c r="ZI3" t="s">
        <v>572</v>
      </c>
      <c r="ZJ3" t="s">
        <v>2118</v>
      </c>
      <c r="ZK3" t="s">
        <v>2122</v>
      </c>
      <c r="ZL3" t="s">
        <v>2124</v>
      </c>
      <c r="ZM3" t="s">
        <v>1641</v>
      </c>
      <c r="ZN3" t="s">
        <v>1369</v>
      </c>
      <c r="ZO3" t="s">
        <v>2131</v>
      </c>
      <c r="ZP3" t="s">
        <v>280</v>
      </c>
      <c r="ZQ3" t="s">
        <v>2135</v>
      </c>
      <c r="ZR3" t="s">
        <v>1244</v>
      </c>
      <c r="ZS3" t="s">
        <v>288</v>
      </c>
      <c r="ZT3" t="s">
        <v>2140</v>
      </c>
      <c r="ZU3" t="s">
        <v>1891</v>
      </c>
      <c r="ZV3" t="s">
        <v>2145</v>
      </c>
      <c r="ZW3" t="s">
        <v>1076</v>
      </c>
      <c r="ZX3" t="s">
        <v>2149</v>
      </c>
      <c r="ZY3" t="s">
        <v>2152</v>
      </c>
      <c r="ZZ3" t="s">
        <v>1917</v>
      </c>
      <c r="AAA3" t="s">
        <v>292</v>
      </c>
      <c r="AAB3" t="s">
        <v>2158</v>
      </c>
      <c r="AAC3" t="s">
        <v>1132</v>
      </c>
      <c r="AAD3" t="s">
        <v>866</v>
      </c>
      <c r="AAE3" t="s">
        <v>2164</v>
      </c>
      <c r="AAF3" t="s">
        <v>2168</v>
      </c>
      <c r="AAG3" t="s">
        <v>2170</v>
      </c>
      <c r="AAH3" t="s">
        <v>2172</v>
      </c>
      <c r="AAI3" t="s">
        <v>121</v>
      </c>
      <c r="AAJ3" t="s">
        <v>2178</v>
      </c>
      <c r="AAK3" t="s">
        <v>2180</v>
      </c>
      <c r="AAL3" t="s">
        <v>2183</v>
      </c>
      <c r="AAM3" t="s">
        <v>1630</v>
      </c>
      <c r="AAN3" t="s">
        <v>2187</v>
      </c>
      <c r="AAO3" t="s">
        <v>620</v>
      </c>
      <c r="AAP3" t="s">
        <v>1502</v>
      </c>
      <c r="AAQ3" t="s">
        <v>769</v>
      </c>
      <c r="AAR3" t="s">
        <v>2194</v>
      </c>
      <c r="AAS3" t="s">
        <v>798</v>
      </c>
      <c r="AAT3" t="s">
        <v>640</v>
      </c>
      <c r="AAU3" t="s">
        <v>1455</v>
      </c>
      <c r="AAV3" t="s">
        <v>1708</v>
      </c>
      <c r="AAW3" t="s">
        <v>527</v>
      </c>
      <c r="AAX3" t="s">
        <v>1764</v>
      </c>
      <c r="AAY3" t="s">
        <v>975</v>
      </c>
      <c r="AAZ3" t="s">
        <v>1531</v>
      </c>
      <c r="ABA3" t="s">
        <v>360</v>
      </c>
      <c r="ABB3" t="s">
        <v>2217</v>
      </c>
      <c r="ABC3" t="s">
        <v>704</v>
      </c>
      <c r="ABD3" t="s">
        <v>620</v>
      </c>
      <c r="ABE3" t="s">
        <v>2223</v>
      </c>
      <c r="ABF3" t="s">
        <v>1090</v>
      </c>
      <c r="ABG3" t="s">
        <v>2227</v>
      </c>
      <c r="ABH3" t="s">
        <v>2229</v>
      </c>
      <c r="ABI3" t="s">
        <v>2231</v>
      </c>
      <c r="ABJ3" t="s">
        <v>1779</v>
      </c>
      <c r="ABK3" t="s">
        <v>1087</v>
      </c>
      <c r="ABL3" t="s">
        <v>2236</v>
      </c>
      <c r="ABM3" t="s">
        <v>164</v>
      </c>
      <c r="ABN3" t="s">
        <v>2242</v>
      </c>
      <c r="ABO3" t="s">
        <v>2245</v>
      </c>
      <c r="ABP3" t="s">
        <v>2248</v>
      </c>
      <c r="ABQ3" t="s">
        <v>1495</v>
      </c>
      <c r="ABR3" t="s">
        <v>2253</v>
      </c>
      <c r="ABS3" t="s">
        <v>427</v>
      </c>
      <c r="ABT3" t="s">
        <v>569</v>
      </c>
      <c r="ABU3" t="s">
        <v>1923</v>
      </c>
      <c r="ABV3" t="s">
        <v>647</v>
      </c>
      <c r="ABW3" t="s">
        <v>506</v>
      </c>
      <c r="ABX3" t="s">
        <v>2264</v>
      </c>
      <c r="ABY3" t="s">
        <v>1009</v>
      </c>
      <c r="ABZ3" t="s">
        <v>2267</v>
      </c>
      <c r="ACA3" t="s">
        <v>1721</v>
      </c>
      <c r="ACB3" t="s">
        <v>2270</v>
      </c>
      <c r="ACC3" t="s">
        <v>1327</v>
      </c>
      <c r="ACD3" t="s">
        <v>2277</v>
      </c>
      <c r="ACE3" t="s">
        <v>39</v>
      </c>
      <c r="ACF3" t="s">
        <v>2236</v>
      </c>
      <c r="ACG3" t="s">
        <v>1427</v>
      </c>
      <c r="ACH3" t="s">
        <v>2284</v>
      </c>
      <c r="ACI3" t="s">
        <v>363</v>
      </c>
      <c r="ACJ3" t="s">
        <v>1766</v>
      </c>
      <c r="ACK3" t="s">
        <v>2291</v>
      </c>
      <c r="ACL3" t="s">
        <v>1016</v>
      </c>
      <c r="ACM3" t="s">
        <v>1933</v>
      </c>
      <c r="ACN3" t="s">
        <v>2299</v>
      </c>
      <c r="ACO3" t="s">
        <v>2302</v>
      </c>
      <c r="ACP3" t="s">
        <v>2305</v>
      </c>
      <c r="ACQ3" t="s">
        <v>1022</v>
      </c>
      <c r="ACR3" t="s">
        <v>1369</v>
      </c>
      <c r="ACS3" t="s">
        <v>1937</v>
      </c>
      <c r="ACT3" t="s">
        <v>2311</v>
      </c>
      <c r="ACU3" t="s">
        <v>760</v>
      </c>
      <c r="ACV3" t="s">
        <v>2316</v>
      </c>
      <c r="ACW3" t="s">
        <v>1891</v>
      </c>
      <c r="ACX3" t="s">
        <v>887</v>
      </c>
      <c r="ACY3" t="s">
        <v>2019</v>
      </c>
      <c r="ACZ3" t="s">
        <v>2322</v>
      </c>
      <c r="ADA3" t="s">
        <v>2164</v>
      </c>
      <c r="ADB3" t="s">
        <v>2326</v>
      </c>
      <c r="ADC3" t="s">
        <v>643</v>
      </c>
      <c r="ADD3" t="s">
        <v>1492</v>
      </c>
      <c r="ADE3" t="s">
        <v>2331</v>
      </c>
      <c r="ADF3" t="s">
        <v>1076</v>
      </c>
      <c r="ADG3" t="s">
        <v>2337</v>
      </c>
      <c r="ADH3" t="s">
        <v>2340</v>
      </c>
      <c r="ADI3" t="s">
        <v>1477</v>
      </c>
      <c r="ADJ3" t="s">
        <v>2344</v>
      </c>
      <c r="ADK3" t="s">
        <v>2347</v>
      </c>
      <c r="ADL3" t="s">
        <v>2349</v>
      </c>
      <c r="ADM3" t="s">
        <v>2353</v>
      </c>
      <c r="ADN3" t="s">
        <v>2356</v>
      </c>
      <c r="ADO3" t="s">
        <v>1742</v>
      </c>
      <c r="ADP3" t="s">
        <v>2145</v>
      </c>
      <c r="ADQ3" t="s">
        <v>1963</v>
      </c>
      <c r="ADR3" t="s">
        <v>2363</v>
      </c>
      <c r="ADS3" t="s">
        <v>2366</v>
      </c>
      <c r="ADT3" t="s">
        <v>2369</v>
      </c>
      <c r="ADU3" t="s">
        <v>2371</v>
      </c>
      <c r="ADV3" t="s">
        <v>2373</v>
      </c>
      <c r="ADW3" t="s">
        <v>2375</v>
      </c>
      <c r="ADX3" t="s">
        <v>2299</v>
      </c>
      <c r="ADY3" t="s">
        <v>1557</v>
      </c>
      <c r="ADZ3" t="s">
        <v>2383</v>
      </c>
      <c r="AEA3" t="s">
        <v>2386</v>
      </c>
      <c r="AEB3" t="s">
        <v>206</v>
      </c>
      <c r="AEC3" t="s">
        <v>651</v>
      </c>
      <c r="AED3" t="s">
        <v>925</v>
      </c>
      <c r="AEE3" t="s">
        <v>2396</v>
      </c>
      <c r="AEF3" t="s">
        <v>259</v>
      </c>
      <c r="AEG3" t="s">
        <v>2291</v>
      </c>
      <c r="AEH3" t="s">
        <v>2401</v>
      </c>
      <c r="AEI3" t="s">
        <v>2404</v>
      </c>
      <c r="AEJ3" t="s">
        <v>2407</v>
      </c>
      <c r="AEK3" t="s">
        <v>2409</v>
      </c>
      <c r="AEL3" t="s">
        <v>2412</v>
      </c>
      <c r="AEM3" t="s">
        <v>182</v>
      </c>
      <c r="AEN3" t="s">
        <v>1184</v>
      </c>
      <c r="AEO3" t="s">
        <v>2418</v>
      </c>
      <c r="AEP3" t="s">
        <v>2420</v>
      </c>
      <c r="AEQ3" t="s">
        <v>1808</v>
      </c>
      <c r="AER3" t="s">
        <v>2426</v>
      </c>
      <c r="AES3" t="s">
        <v>223</v>
      </c>
      <c r="AET3" t="s">
        <v>558</v>
      </c>
      <c r="AEU3" t="s">
        <v>1395</v>
      </c>
      <c r="AEV3" t="s">
        <v>321</v>
      </c>
      <c r="AEW3" t="s">
        <v>356</v>
      </c>
      <c r="AEX3" t="s">
        <v>2436</v>
      </c>
      <c r="AEY3" t="s">
        <v>2438</v>
      </c>
      <c r="AEZ3" t="s">
        <v>2442</v>
      </c>
      <c r="AFA3" t="s">
        <v>423</v>
      </c>
      <c r="AFB3" t="s">
        <v>2253</v>
      </c>
      <c r="AFC3" t="s">
        <v>2450</v>
      </c>
      <c r="AFD3" t="s">
        <v>2453</v>
      </c>
      <c r="AFE3" t="s">
        <v>1742</v>
      </c>
      <c r="AFF3" t="s">
        <v>427</v>
      </c>
      <c r="AFG3" t="s">
        <v>2248</v>
      </c>
      <c r="AFH3" t="s">
        <v>2464</v>
      </c>
      <c r="AFI3" t="s">
        <v>1661</v>
      </c>
      <c r="AFJ3" t="s">
        <v>1431</v>
      </c>
      <c r="AFK3" t="s">
        <v>2470</v>
      </c>
      <c r="AFL3" t="s">
        <v>2472</v>
      </c>
      <c r="AFM3" t="s">
        <v>1389</v>
      </c>
      <c r="AFN3" t="s">
        <v>1223</v>
      </c>
      <c r="AFO3" t="s">
        <v>831</v>
      </c>
      <c r="AFP3" t="s">
        <v>2479</v>
      </c>
      <c r="AFQ3" t="s">
        <v>2482</v>
      </c>
      <c r="AFR3" t="s">
        <v>2484</v>
      </c>
      <c r="AFS3" t="s">
        <v>2487</v>
      </c>
      <c r="AFT3" t="s">
        <v>23</v>
      </c>
      <c r="AFU3" t="s">
        <v>329</v>
      </c>
      <c r="AFV3" t="s">
        <v>1327</v>
      </c>
      <c r="AFW3" t="s">
        <v>710</v>
      </c>
      <c r="AFX3" t="s">
        <v>2497</v>
      </c>
      <c r="AFY3" t="s">
        <v>2499</v>
      </c>
      <c r="AFZ3" t="s">
        <v>787</v>
      </c>
      <c r="AGA3" t="s">
        <v>2503</v>
      </c>
      <c r="AGB3" t="s">
        <v>2506</v>
      </c>
      <c r="AGC3" t="s">
        <v>1791</v>
      </c>
      <c r="AGD3" t="s">
        <v>1291</v>
      </c>
      <c r="AGE3" t="s">
        <v>2511</v>
      </c>
      <c r="AGF3" t="s">
        <v>684</v>
      </c>
      <c r="AGG3" t="s">
        <v>2436</v>
      </c>
      <c r="AGH3" t="s">
        <v>186</v>
      </c>
      <c r="AGI3" t="s">
        <v>1710</v>
      </c>
      <c r="AGJ3" t="s">
        <v>1953</v>
      </c>
      <c r="AGK3" t="s">
        <v>2349</v>
      </c>
      <c r="AGL3" t="s">
        <v>2526</v>
      </c>
      <c r="AGM3" t="s">
        <v>710</v>
      </c>
      <c r="AGN3" t="s">
        <v>2531</v>
      </c>
      <c r="AGO3" t="s">
        <v>2534</v>
      </c>
      <c r="AGP3" t="s">
        <v>98</v>
      </c>
      <c r="AGQ3" t="s">
        <v>635</v>
      </c>
      <c r="AGR3" t="s">
        <v>2540</v>
      </c>
      <c r="AGS3" t="s">
        <v>2543</v>
      </c>
      <c r="AGT3" t="s">
        <v>2545</v>
      </c>
      <c r="AGU3" t="s">
        <v>2277</v>
      </c>
      <c r="AGV3" t="s">
        <v>2549</v>
      </c>
      <c r="AGW3" t="s">
        <v>2180</v>
      </c>
      <c r="AGX3" t="s">
        <v>1101</v>
      </c>
      <c r="AGY3" t="s">
        <v>2555</v>
      </c>
      <c r="AGZ3" t="s">
        <v>2464</v>
      </c>
      <c r="AHA3" t="s">
        <v>2305</v>
      </c>
      <c r="AHB3" t="s">
        <v>2086</v>
      </c>
      <c r="AHC3" t="s">
        <v>2561</v>
      </c>
      <c r="AHD3" t="s">
        <v>1614</v>
      </c>
      <c r="AHE3" t="s">
        <v>1941</v>
      </c>
      <c r="AHF3" t="s">
        <v>434</v>
      </c>
      <c r="AHG3" t="s">
        <v>2248</v>
      </c>
      <c r="AHH3" t="s">
        <v>32</v>
      </c>
      <c r="AHI3" t="s">
        <v>1738</v>
      </c>
      <c r="AHJ3" t="s">
        <v>416</v>
      </c>
      <c r="AHK3" t="s">
        <v>1566</v>
      </c>
      <c r="AHL3" t="s">
        <v>539</v>
      </c>
      <c r="AHM3" t="s">
        <v>2095</v>
      </c>
      <c r="AHN3" t="s">
        <v>984</v>
      </c>
      <c r="AHO3" t="s">
        <v>1498</v>
      </c>
      <c r="AHP3" t="s">
        <v>2585</v>
      </c>
      <c r="AHQ3" t="s">
        <v>2068</v>
      </c>
      <c r="AHR3" t="s">
        <v>1265</v>
      </c>
      <c r="AHS3" t="s">
        <v>690</v>
      </c>
      <c r="AHT3" t="s">
        <v>2593</v>
      </c>
      <c r="AHU3" t="s">
        <v>1318</v>
      </c>
      <c r="AHV3" t="s">
        <v>2598</v>
      </c>
      <c r="AHW3" t="s">
        <v>2601</v>
      </c>
      <c r="AHX3" t="s">
        <v>1978</v>
      </c>
      <c r="AHY3" t="s">
        <v>2604</v>
      </c>
      <c r="AHZ3" t="s">
        <v>2606</v>
      </c>
      <c r="AIA3" t="s">
        <v>1481</v>
      </c>
      <c r="AIB3" t="s">
        <v>2487</v>
      </c>
      <c r="AIC3" t="s">
        <v>2610</v>
      </c>
      <c r="AID3" t="s">
        <v>1994</v>
      </c>
      <c r="AIE3" t="s">
        <v>2614</v>
      </c>
      <c r="AIF3" t="s">
        <v>2616</v>
      </c>
      <c r="AIG3" t="s">
        <v>1745</v>
      </c>
      <c r="AIH3" t="s">
        <v>118</v>
      </c>
      <c r="AII3" t="s">
        <v>2622</v>
      </c>
      <c r="AIJ3" t="s">
        <v>909</v>
      </c>
      <c r="AIK3" t="s">
        <v>1799</v>
      </c>
      <c r="AIL3" t="s">
        <v>1474</v>
      </c>
      <c r="AIM3" t="s">
        <v>2014</v>
      </c>
      <c r="AIN3" t="s">
        <v>71</v>
      </c>
      <c r="AIO3" t="s">
        <v>1933</v>
      </c>
      <c r="AIP3" t="s">
        <v>1046</v>
      </c>
      <c r="AIQ3" t="s">
        <v>2636</v>
      </c>
      <c r="AIR3" t="s">
        <v>268</v>
      </c>
      <c r="AIS3" t="s">
        <v>2484</v>
      </c>
      <c r="AIT3" t="s">
        <v>554</v>
      </c>
      <c r="AIU3" t="s">
        <v>1191</v>
      </c>
      <c r="AIV3" t="s">
        <v>2644</v>
      </c>
      <c r="AIW3" t="s">
        <v>2593</v>
      </c>
      <c r="AIX3" t="s">
        <v>890</v>
      </c>
      <c r="AIY3" t="s">
        <v>2649</v>
      </c>
      <c r="AIZ3" t="s">
        <v>2651</v>
      </c>
      <c r="AJA3" t="s">
        <v>1098</v>
      </c>
      <c r="AJB3" t="s">
        <v>2655</v>
      </c>
      <c r="AJC3" t="s">
        <v>2585</v>
      </c>
      <c r="AJD3" t="s">
        <v>1991</v>
      </c>
      <c r="AJE3" t="s">
        <v>1354</v>
      </c>
      <c r="AJF3" t="s">
        <v>1154</v>
      </c>
      <c r="AJG3" t="s">
        <v>1664</v>
      </c>
      <c r="AJH3" t="s">
        <v>348</v>
      </c>
      <c r="AJI3" t="s">
        <v>2229</v>
      </c>
      <c r="AJJ3" t="s">
        <v>2666</v>
      </c>
      <c r="AJK3" t="s">
        <v>2668</v>
      </c>
      <c r="AJL3" t="s">
        <v>2450</v>
      </c>
      <c r="AJM3" t="s">
        <v>2033</v>
      </c>
      <c r="AJN3" t="s">
        <v>943</v>
      </c>
      <c r="AJO3" t="s">
        <v>1399</v>
      </c>
      <c r="AJP3" t="s">
        <v>2675</v>
      </c>
      <c r="AJQ3" t="s">
        <v>2223</v>
      </c>
      <c r="AJR3" t="s">
        <v>1154</v>
      </c>
      <c r="AJS3" t="s">
        <v>2679</v>
      </c>
      <c r="AJT3" t="s">
        <v>2681</v>
      </c>
      <c r="AJU3" t="s">
        <v>215</v>
      </c>
      <c r="AJV3" t="s">
        <v>1787</v>
      </c>
      <c r="AJW3" t="s">
        <v>2686</v>
      </c>
      <c r="AJX3" t="s">
        <v>1542</v>
      </c>
      <c r="AJY3" t="s">
        <v>2691</v>
      </c>
      <c r="AJZ3" t="s">
        <v>1324</v>
      </c>
      <c r="AKA3" t="s">
        <v>837</v>
      </c>
      <c r="AKB3" t="s">
        <v>2420</v>
      </c>
      <c r="AKC3" t="s">
        <v>2699</v>
      </c>
      <c r="AKD3" t="s">
        <v>2701</v>
      </c>
      <c r="AKE3" t="s">
        <v>1598</v>
      </c>
      <c r="AKF3" t="s">
        <v>2061</v>
      </c>
      <c r="AKG3" t="s">
        <v>2707</v>
      </c>
      <c r="AKH3" t="s">
        <v>2709</v>
      </c>
      <c r="AKI3" t="s">
        <v>1111</v>
      </c>
      <c r="AKJ3" t="s">
        <v>1855</v>
      </c>
      <c r="AKK3" t="s">
        <v>1568</v>
      </c>
      <c r="AKL3" t="s">
        <v>874</v>
      </c>
      <c r="AKM3" t="s">
        <v>2050</v>
      </c>
      <c r="AKN3" t="s">
        <v>2236</v>
      </c>
      <c r="AKO3" t="s">
        <v>614</v>
      </c>
      <c r="AKP3" t="s">
        <v>2721</v>
      </c>
      <c r="AKQ3" t="s">
        <v>2723</v>
      </c>
      <c r="AKR3" t="s">
        <v>817</v>
      </c>
      <c r="AKS3" t="s">
        <v>1681</v>
      </c>
      <c r="AKT3" t="s">
        <v>337</v>
      </c>
      <c r="AKU3" t="s">
        <v>2055</v>
      </c>
      <c r="AKV3" t="s">
        <v>1154</v>
      </c>
      <c r="AKW3" t="s">
        <v>2731</v>
      </c>
      <c r="AKX3" t="s">
        <v>1542</v>
      </c>
      <c r="AKY3" t="s">
        <v>2340</v>
      </c>
      <c r="AKZ3" t="s">
        <v>2736</v>
      </c>
      <c r="ALA3" t="s">
        <v>815</v>
      </c>
      <c r="ALB3" t="s">
        <v>2739</v>
      </c>
      <c r="ALC3" t="s">
        <v>2041</v>
      </c>
      <c r="ALD3" t="s">
        <v>2373</v>
      </c>
      <c r="ALE3" t="s">
        <v>2744</v>
      </c>
      <c r="ALF3" t="s">
        <v>498</v>
      </c>
      <c r="ALG3" t="s">
        <v>194</v>
      </c>
      <c r="ALH3" t="s">
        <v>1324</v>
      </c>
      <c r="ALI3" t="s">
        <v>325</v>
      </c>
      <c r="ALJ3" t="s">
        <v>516</v>
      </c>
      <c r="ALK3" t="s">
        <v>1410</v>
      </c>
      <c r="ALL3" t="s">
        <v>1732</v>
      </c>
      <c r="ALM3" t="s">
        <v>1000</v>
      </c>
    </row>
    <row r="8" spans="1:1001" x14ac:dyDescent="0.3">
      <c r="A8" s="1" t="s">
        <v>0</v>
      </c>
      <c r="B8" t="s">
        <v>58</v>
      </c>
    </row>
    <row r="9" spans="1:1001" x14ac:dyDescent="0.3">
      <c r="A9" s="1" t="s">
        <v>1</v>
      </c>
      <c r="B9" t="str">
        <f>HLOOKUP(B8,A1:ALM3,2,0)</f>
        <v>2025-01-29</v>
      </c>
    </row>
    <row r="10" spans="1:1001" x14ac:dyDescent="0.3">
      <c r="A10" s="1" t="s">
        <v>2</v>
      </c>
      <c r="B10" t="str">
        <f>HLOOKUP(B8,A1:ALM3,3,0)</f>
        <v>CUST1056</v>
      </c>
    </row>
    <row r="13" spans="1:1001" x14ac:dyDescent="0.3">
      <c r="A13" s="1" t="s">
        <v>0</v>
      </c>
      <c r="B13" t="s">
        <v>69</v>
      </c>
    </row>
    <row r="14" spans="1:1001" x14ac:dyDescent="0.3">
      <c r="A14" s="1" t="s">
        <v>1</v>
      </c>
      <c r="B14" t="str">
        <f>_xlfn.XLOOKUP(B13,A1:ALM1,A2:ALM2,"not found",0)</f>
        <v>2025-10-01</v>
      </c>
    </row>
    <row r="15" spans="1:1001" x14ac:dyDescent="0.3">
      <c r="A15" s="1" t="s">
        <v>2</v>
      </c>
      <c r="B15" t="str">
        <f>_xlfn.XLOOKUP(B13,A1:ALM1,A3:ALM3,"not found",0)</f>
        <v>CUST1913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C081-3791-4BC8-A10D-0E69EF2F3431}">
  <dimension ref="A1:H1001"/>
  <sheetViews>
    <sheetView zoomScale="183" workbookViewId="0">
      <selection activeCell="C5" sqref="C5"/>
    </sheetView>
  </sheetViews>
  <sheetFormatPr defaultRowHeight="14.4" x14ac:dyDescent="0.3"/>
  <cols>
    <col min="1" max="1" width="8.33203125" bestFit="1" customWidth="1"/>
    <col min="2" max="2" width="9.6640625" bestFit="1" customWidth="1"/>
    <col min="3" max="3" width="14.109375" customWidth="1"/>
    <col min="8" max="8" width="19.33203125" customWidth="1"/>
  </cols>
  <sheetData>
    <row r="1" spans="1:8" x14ac:dyDescent="0.3">
      <c r="A1" s="1" t="s">
        <v>7</v>
      </c>
      <c r="B1" s="1" t="s">
        <v>8</v>
      </c>
      <c r="C1" s="2" t="s">
        <v>2757</v>
      </c>
    </row>
    <row r="2" spans="1:8" x14ac:dyDescent="0.3">
      <c r="A2">
        <v>3</v>
      </c>
      <c r="B2">
        <v>480.58</v>
      </c>
      <c r="C2">
        <f>A2*B2</f>
        <v>1441.74</v>
      </c>
      <c r="D2">
        <v>0.15</v>
      </c>
      <c r="E2">
        <f>$B2*$D$2</f>
        <v>72.086999999999989</v>
      </c>
      <c r="F2">
        <f>$B2*$D$2</f>
        <v>72.086999999999989</v>
      </c>
      <c r="H2" t="s">
        <v>2758</v>
      </c>
    </row>
    <row r="3" spans="1:8" x14ac:dyDescent="0.3">
      <c r="A3">
        <v>3</v>
      </c>
      <c r="B3">
        <v>2093.35</v>
      </c>
      <c r="C3">
        <f>A3*B3</f>
        <v>6280.0499999999993</v>
      </c>
      <c r="E3">
        <f t="shared" ref="E3:F10" si="0">$B3*$D$2</f>
        <v>314.0025</v>
      </c>
      <c r="F3">
        <f t="shared" si="0"/>
        <v>314.0025</v>
      </c>
      <c r="H3" t="s">
        <v>2759</v>
      </c>
    </row>
    <row r="4" spans="1:8" x14ac:dyDescent="0.3">
      <c r="A4">
        <v>9</v>
      </c>
      <c r="B4">
        <v>2332.84</v>
      </c>
      <c r="C4">
        <f t="shared" ref="C4:C67" si="1">A4*B4</f>
        <v>20995.56</v>
      </c>
      <c r="E4">
        <f t="shared" si="0"/>
        <v>349.92599999999999</v>
      </c>
      <c r="F4">
        <f t="shared" si="0"/>
        <v>349.92599999999999</v>
      </c>
    </row>
    <row r="5" spans="1:8" x14ac:dyDescent="0.3">
      <c r="A5">
        <v>5</v>
      </c>
      <c r="B5">
        <v>3805.41</v>
      </c>
      <c r="C5">
        <f t="shared" si="1"/>
        <v>19027.05</v>
      </c>
      <c r="E5">
        <f t="shared" si="0"/>
        <v>570.81149999999991</v>
      </c>
      <c r="F5">
        <f t="shared" si="0"/>
        <v>570.81149999999991</v>
      </c>
    </row>
    <row r="6" spans="1:8" x14ac:dyDescent="0.3">
      <c r="A6">
        <v>6</v>
      </c>
      <c r="B6">
        <v>628.03</v>
      </c>
      <c r="C6">
        <f t="shared" si="1"/>
        <v>3768.18</v>
      </c>
      <c r="E6">
        <f t="shared" si="0"/>
        <v>94.204499999999996</v>
      </c>
      <c r="F6">
        <f t="shared" si="0"/>
        <v>94.204499999999996</v>
      </c>
    </row>
    <row r="7" spans="1:8" x14ac:dyDescent="0.3">
      <c r="A7">
        <v>7</v>
      </c>
      <c r="B7">
        <v>4422.68</v>
      </c>
      <c r="C7">
        <f t="shared" si="1"/>
        <v>30958.760000000002</v>
      </c>
      <c r="E7">
        <f t="shared" si="0"/>
        <v>663.40200000000004</v>
      </c>
      <c r="F7">
        <f t="shared" si="0"/>
        <v>663.40200000000004</v>
      </c>
    </row>
    <row r="8" spans="1:8" x14ac:dyDescent="0.3">
      <c r="A8">
        <v>4</v>
      </c>
      <c r="B8">
        <v>1484.47</v>
      </c>
      <c r="C8">
        <f t="shared" si="1"/>
        <v>5937.88</v>
      </c>
      <c r="E8">
        <f t="shared" si="0"/>
        <v>222.6705</v>
      </c>
      <c r="F8">
        <f t="shared" si="0"/>
        <v>222.6705</v>
      </c>
    </row>
    <row r="9" spans="1:8" x14ac:dyDescent="0.3">
      <c r="A9">
        <v>8</v>
      </c>
      <c r="B9">
        <v>4648.24</v>
      </c>
      <c r="C9">
        <f t="shared" si="1"/>
        <v>37185.919999999998</v>
      </c>
      <c r="E9">
        <f t="shared" si="0"/>
        <v>697.23599999999999</v>
      </c>
      <c r="F9">
        <f t="shared" si="0"/>
        <v>697.23599999999999</v>
      </c>
    </row>
    <row r="10" spans="1:8" x14ac:dyDescent="0.3">
      <c r="A10">
        <v>2</v>
      </c>
      <c r="B10">
        <v>4394.83</v>
      </c>
      <c r="C10">
        <f t="shared" si="1"/>
        <v>8789.66</v>
      </c>
      <c r="E10">
        <f t="shared" si="0"/>
        <v>659.22449999999992</v>
      </c>
      <c r="F10">
        <f t="shared" si="0"/>
        <v>659.22449999999992</v>
      </c>
    </row>
    <row r="11" spans="1:8" x14ac:dyDescent="0.3">
      <c r="A11">
        <v>8</v>
      </c>
      <c r="B11">
        <v>1546.77</v>
      </c>
      <c r="C11">
        <f t="shared" si="1"/>
        <v>12374.16</v>
      </c>
    </row>
    <row r="12" spans="1:8" x14ac:dyDescent="0.3">
      <c r="A12">
        <v>8</v>
      </c>
      <c r="B12">
        <v>366.27</v>
      </c>
      <c r="C12">
        <f t="shared" si="1"/>
        <v>2930.16</v>
      </c>
    </row>
    <row r="13" spans="1:8" x14ac:dyDescent="0.3">
      <c r="A13">
        <v>1</v>
      </c>
      <c r="B13">
        <v>661.42</v>
      </c>
      <c r="C13">
        <f t="shared" si="1"/>
        <v>661.42</v>
      </c>
    </row>
    <row r="14" spans="1:8" x14ac:dyDescent="0.3">
      <c r="A14">
        <v>5</v>
      </c>
      <c r="B14">
        <v>2651.15</v>
      </c>
      <c r="C14">
        <f t="shared" si="1"/>
        <v>13255.75</v>
      </c>
    </row>
    <row r="15" spans="1:8" x14ac:dyDescent="0.3">
      <c r="A15">
        <v>9</v>
      </c>
      <c r="B15">
        <v>659.48</v>
      </c>
      <c r="C15">
        <f t="shared" si="1"/>
        <v>5935.32</v>
      </c>
    </row>
    <row r="16" spans="1:8" x14ac:dyDescent="0.3">
      <c r="A16">
        <v>10</v>
      </c>
      <c r="B16">
        <v>458.39</v>
      </c>
      <c r="C16">
        <f t="shared" si="1"/>
        <v>4583.8999999999996</v>
      </c>
    </row>
    <row r="17" spans="1:3" x14ac:dyDescent="0.3">
      <c r="A17">
        <v>7</v>
      </c>
      <c r="B17">
        <v>3052.59</v>
      </c>
      <c r="C17">
        <f t="shared" si="1"/>
        <v>21368.13</v>
      </c>
    </row>
    <row r="18" spans="1:3" x14ac:dyDescent="0.3">
      <c r="A18">
        <v>8</v>
      </c>
      <c r="B18">
        <v>1340.89</v>
      </c>
      <c r="C18">
        <f t="shared" si="1"/>
        <v>10727.12</v>
      </c>
    </row>
    <row r="19" spans="1:3" x14ac:dyDescent="0.3">
      <c r="A19">
        <v>4</v>
      </c>
      <c r="B19">
        <v>2794.82</v>
      </c>
      <c r="C19">
        <f t="shared" si="1"/>
        <v>11179.28</v>
      </c>
    </row>
    <row r="20" spans="1:3" x14ac:dyDescent="0.3">
      <c r="A20">
        <v>7</v>
      </c>
      <c r="B20">
        <v>3113.54</v>
      </c>
      <c r="C20">
        <f t="shared" si="1"/>
        <v>21794.78</v>
      </c>
    </row>
    <row r="21" spans="1:3" x14ac:dyDescent="0.3">
      <c r="A21">
        <v>3</v>
      </c>
      <c r="B21">
        <v>2355.56</v>
      </c>
      <c r="C21">
        <f t="shared" si="1"/>
        <v>7066.68</v>
      </c>
    </row>
    <row r="22" spans="1:3" x14ac:dyDescent="0.3">
      <c r="A22">
        <v>6</v>
      </c>
      <c r="B22">
        <v>2779.01</v>
      </c>
      <c r="C22">
        <f t="shared" si="1"/>
        <v>16674.060000000001</v>
      </c>
    </row>
    <row r="23" spans="1:3" x14ac:dyDescent="0.3">
      <c r="A23">
        <v>2</v>
      </c>
      <c r="B23">
        <v>491.23</v>
      </c>
      <c r="C23">
        <f t="shared" si="1"/>
        <v>982.46</v>
      </c>
    </row>
    <row r="24" spans="1:3" x14ac:dyDescent="0.3">
      <c r="A24">
        <v>7</v>
      </c>
      <c r="B24">
        <v>1193.8399999999999</v>
      </c>
      <c r="C24">
        <f t="shared" si="1"/>
        <v>8356.8799999999992</v>
      </c>
    </row>
    <row r="25" spans="1:3" x14ac:dyDescent="0.3">
      <c r="A25">
        <v>6</v>
      </c>
      <c r="B25">
        <v>3655.85</v>
      </c>
      <c r="C25">
        <f t="shared" si="1"/>
        <v>21935.1</v>
      </c>
    </row>
    <row r="26" spans="1:3" x14ac:dyDescent="0.3">
      <c r="A26">
        <v>8</v>
      </c>
      <c r="B26">
        <v>1177.43</v>
      </c>
      <c r="C26">
        <f t="shared" si="1"/>
        <v>9419.44</v>
      </c>
    </row>
    <row r="27" spans="1:3" x14ac:dyDescent="0.3">
      <c r="A27">
        <v>10</v>
      </c>
      <c r="B27">
        <v>4955.28</v>
      </c>
      <c r="C27">
        <f t="shared" si="1"/>
        <v>49552.799999999996</v>
      </c>
    </row>
    <row r="28" spans="1:3" x14ac:dyDescent="0.3">
      <c r="A28">
        <v>8</v>
      </c>
      <c r="B28">
        <v>2398.73</v>
      </c>
      <c r="C28">
        <f t="shared" si="1"/>
        <v>19189.84</v>
      </c>
    </row>
    <row r="29" spans="1:3" x14ac:dyDescent="0.3">
      <c r="A29">
        <v>5</v>
      </c>
      <c r="B29">
        <v>2986.63</v>
      </c>
      <c r="C29">
        <f t="shared" si="1"/>
        <v>14933.150000000001</v>
      </c>
    </row>
    <row r="30" spans="1:3" x14ac:dyDescent="0.3">
      <c r="A30">
        <v>8</v>
      </c>
      <c r="B30">
        <v>1305.01</v>
      </c>
      <c r="C30">
        <f t="shared" si="1"/>
        <v>10440.08</v>
      </c>
    </row>
    <row r="31" spans="1:3" x14ac:dyDescent="0.3">
      <c r="A31">
        <v>5</v>
      </c>
      <c r="B31">
        <v>760.23</v>
      </c>
      <c r="C31">
        <f t="shared" si="1"/>
        <v>3801.15</v>
      </c>
    </row>
    <row r="32" spans="1:3" x14ac:dyDescent="0.3">
      <c r="A32">
        <v>9</v>
      </c>
      <c r="B32">
        <v>2766.61</v>
      </c>
      <c r="C32">
        <f t="shared" si="1"/>
        <v>24899.49</v>
      </c>
    </row>
    <row r="33" spans="1:3" x14ac:dyDescent="0.3">
      <c r="A33">
        <v>3</v>
      </c>
      <c r="B33">
        <v>975.26</v>
      </c>
      <c r="C33">
        <f t="shared" si="1"/>
        <v>2925.7799999999997</v>
      </c>
    </row>
    <row r="34" spans="1:3" x14ac:dyDescent="0.3">
      <c r="A34">
        <v>5</v>
      </c>
      <c r="B34">
        <v>1740.55</v>
      </c>
      <c r="C34">
        <f t="shared" si="1"/>
        <v>8702.75</v>
      </c>
    </row>
    <row r="35" spans="1:3" x14ac:dyDescent="0.3">
      <c r="A35">
        <v>8</v>
      </c>
      <c r="B35">
        <v>4199.2700000000004</v>
      </c>
      <c r="C35">
        <f t="shared" si="1"/>
        <v>33594.160000000003</v>
      </c>
    </row>
    <row r="36" spans="1:3" x14ac:dyDescent="0.3">
      <c r="A36">
        <v>6</v>
      </c>
      <c r="B36">
        <v>4618.7</v>
      </c>
      <c r="C36">
        <f t="shared" si="1"/>
        <v>27712.199999999997</v>
      </c>
    </row>
    <row r="37" spans="1:3" x14ac:dyDescent="0.3">
      <c r="A37">
        <v>2</v>
      </c>
      <c r="B37">
        <v>444.36</v>
      </c>
      <c r="C37">
        <f t="shared" si="1"/>
        <v>888.72</v>
      </c>
    </row>
    <row r="38" spans="1:3" x14ac:dyDescent="0.3">
      <c r="A38">
        <v>1</v>
      </c>
      <c r="B38">
        <v>3924.7</v>
      </c>
      <c r="C38">
        <f t="shared" si="1"/>
        <v>3924.7</v>
      </c>
    </row>
    <row r="39" spans="1:3" x14ac:dyDescent="0.3">
      <c r="A39">
        <v>8</v>
      </c>
      <c r="B39">
        <v>1348.4</v>
      </c>
      <c r="C39">
        <f t="shared" si="1"/>
        <v>10787.2</v>
      </c>
    </row>
    <row r="40" spans="1:3" x14ac:dyDescent="0.3">
      <c r="A40">
        <v>7</v>
      </c>
      <c r="B40">
        <v>2738.25</v>
      </c>
      <c r="C40">
        <f t="shared" si="1"/>
        <v>19167.75</v>
      </c>
    </row>
    <row r="41" spans="1:3" x14ac:dyDescent="0.3">
      <c r="A41">
        <v>10</v>
      </c>
      <c r="B41">
        <v>4091.24</v>
      </c>
      <c r="C41">
        <f t="shared" si="1"/>
        <v>40912.399999999994</v>
      </c>
    </row>
    <row r="42" spans="1:3" x14ac:dyDescent="0.3">
      <c r="A42">
        <v>4</v>
      </c>
      <c r="B42">
        <v>1048.6199999999999</v>
      </c>
      <c r="C42">
        <f t="shared" si="1"/>
        <v>4194.4799999999996</v>
      </c>
    </row>
    <row r="43" spans="1:3" x14ac:dyDescent="0.3">
      <c r="A43">
        <v>1</v>
      </c>
      <c r="B43">
        <v>2042.23</v>
      </c>
      <c r="C43">
        <f t="shared" si="1"/>
        <v>2042.23</v>
      </c>
    </row>
    <row r="44" spans="1:3" x14ac:dyDescent="0.3">
      <c r="A44">
        <v>10</v>
      </c>
      <c r="B44">
        <v>775.84</v>
      </c>
      <c r="C44">
        <f t="shared" si="1"/>
        <v>7758.4000000000005</v>
      </c>
    </row>
    <row r="45" spans="1:3" x14ac:dyDescent="0.3">
      <c r="A45">
        <v>8</v>
      </c>
      <c r="B45">
        <v>4033.33</v>
      </c>
      <c r="C45">
        <f t="shared" si="1"/>
        <v>32266.639999999999</v>
      </c>
    </row>
    <row r="46" spans="1:3" x14ac:dyDescent="0.3">
      <c r="A46">
        <v>3</v>
      </c>
      <c r="B46">
        <v>1321.17</v>
      </c>
      <c r="C46">
        <f t="shared" si="1"/>
        <v>3963.51</v>
      </c>
    </row>
    <row r="47" spans="1:3" x14ac:dyDescent="0.3">
      <c r="A47">
        <v>3</v>
      </c>
      <c r="B47">
        <v>1532.11</v>
      </c>
      <c r="C47">
        <f t="shared" si="1"/>
        <v>4596.33</v>
      </c>
    </row>
    <row r="48" spans="1:3" x14ac:dyDescent="0.3">
      <c r="A48">
        <v>8</v>
      </c>
      <c r="B48">
        <v>1356.58</v>
      </c>
      <c r="C48">
        <f t="shared" si="1"/>
        <v>10852.64</v>
      </c>
    </row>
    <row r="49" spans="1:3" x14ac:dyDescent="0.3">
      <c r="A49">
        <v>10</v>
      </c>
      <c r="B49">
        <v>1060.1300000000001</v>
      </c>
      <c r="C49">
        <f t="shared" si="1"/>
        <v>10601.300000000001</v>
      </c>
    </row>
    <row r="50" spans="1:3" x14ac:dyDescent="0.3">
      <c r="A50">
        <v>6</v>
      </c>
      <c r="B50">
        <v>4202.45</v>
      </c>
      <c r="C50">
        <f t="shared" si="1"/>
        <v>25214.699999999997</v>
      </c>
    </row>
    <row r="51" spans="1:3" x14ac:dyDescent="0.3">
      <c r="A51">
        <v>10</v>
      </c>
      <c r="B51">
        <v>1049.47</v>
      </c>
      <c r="C51">
        <f t="shared" si="1"/>
        <v>10494.7</v>
      </c>
    </row>
    <row r="52" spans="1:3" x14ac:dyDescent="0.3">
      <c r="A52">
        <v>9</v>
      </c>
      <c r="B52">
        <v>3333.38</v>
      </c>
      <c r="C52">
        <f t="shared" si="1"/>
        <v>30000.420000000002</v>
      </c>
    </row>
    <row r="53" spans="1:3" x14ac:dyDescent="0.3">
      <c r="A53">
        <v>3</v>
      </c>
      <c r="B53">
        <v>932.64</v>
      </c>
      <c r="C53">
        <f t="shared" si="1"/>
        <v>2797.92</v>
      </c>
    </row>
    <row r="54" spans="1:3" x14ac:dyDescent="0.3">
      <c r="A54">
        <v>3</v>
      </c>
      <c r="B54">
        <v>4538.1400000000003</v>
      </c>
      <c r="C54">
        <f t="shared" si="1"/>
        <v>13614.420000000002</v>
      </c>
    </row>
    <row r="55" spans="1:3" x14ac:dyDescent="0.3">
      <c r="A55">
        <v>7</v>
      </c>
      <c r="B55">
        <v>530.67999999999995</v>
      </c>
      <c r="C55">
        <f t="shared" si="1"/>
        <v>3714.7599999999998</v>
      </c>
    </row>
    <row r="56" spans="1:3" x14ac:dyDescent="0.3">
      <c r="A56">
        <v>6</v>
      </c>
      <c r="B56">
        <v>1916.03</v>
      </c>
      <c r="C56">
        <f t="shared" si="1"/>
        <v>11496.18</v>
      </c>
    </row>
    <row r="57" spans="1:3" x14ac:dyDescent="0.3">
      <c r="A57">
        <v>6</v>
      </c>
      <c r="B57">
        <v>992.18</v>
      </c>
      <c r="C57">
        <f t="shared" si="1"/>
        <v>5953.08</v>
      </c>
    </row>
    <row r="58" spans="1:3" x14ac:dyDescent="0.3">
      <c r="A58">
        <v>4</v>
      </c>
      <c r="B58">
        <v>1695.97</v>
      </c>
      <c r="C58">
        <f t="shared" si="1"/>
        <v>6783.88</v>
      </c>
    </row>
    <row r="59" spans="1:3" x14ac:dyDescent="0.3">
      <c r="A59">
        <v>5</v>
      </c>
      <c r="B59">
        <v>3756.8</v>
      </c>
      <c r="C59">
        <f t="shared" si="1"/>
        <v>18784</v>
      </c>
    </row>
    <row r="60" spans="1:3" x14ac:dyDescent="0.3">
      <c r="A60">
        <v>9</v>
      </c>
      <c r="B60">
        <v>4363.6000000000004</v>
      </c>
      <c r="C60">
        <f t="shared" si="1"/>
        <v>39272.400000000001</v>
      </c>
    </row>
    <row r="61" spans="1:3" x14ac:dyDescent="0.3">
      <c r="A61">
        <v>8</v>
      </c>
      <c r="B61">
        <v>1082.56</v>
      </c>
      <c r="C61">
        <f t="shared" si="1"/>
        <v>8660.48</v>
      </c>
    </row>
    <row r="62" spans="1:3" x14ac:dyDescent="0.3">
      <c r="A62">
        <v>5</v>
      </c>
      <c r="B62">
        <v>2587.8000000000002</v>
      </c>
      <c r="C62">
        <f t="shared" si="1"/>
        <v>12939</v>
      </c>
    </row>
    <row r="63" spans="1:3" x14ac:dyDescent="0.3">
      <c r="A63">
        <v>7</v>
      </c>
      <c r="B63">
        <v>2899.59</v>
      </c>
      <c r="C63">
        <f t="shared" si="1"/>
        <v>20297.13</v>
      </c>
    </row>
    <row r="64" spans="1:3" x14ac:dyDescent="0.3">
      <c r="A64">
        <v>1</v>
      </c>
      <c r="B64">
        <v>1561.74</v>
      </c>
      <c r="C64">
        <f t="shared" si="1"/>
        <v>1561.74</v>
      </c>
    </row>
    <row r="65" spans="1:3" x14ac:dyDescent="0.3">
      <c r="A65">
        <v>7</v>
      </c>
      <c r="B65">
        <v>1946.69</v>
      </c>
      <c r="C65">
        <f t="shared" si="1"/>
        <v>13626.83</v>
      </c>
    </row>
    <row r="66" spans="1:3" x14ac:dyDescent="0.3">
      <c r="A66">
        <v>5</v>
      </c>
      <c r="B66">
        <v>4576.2700000000004</v>
      </c>
      <c r="C66">
        <f t="shared" si="1"/>
        <v>22881.350000000002</v>
      </c>
    </row>
    <row r="67" spans="1:3" x14ac:dyDescent="0.3">
      <c r="A67">
        <v>5</v>
      </c>
      <c r="B67">
        <v>1741.2</v>
      </c>
      <c r="C67">
        <f t="shared" si="1"/>
        <v>8706</v>
      </c>
    </row>
    <row r="68" spans="1:3" x14ac:dyDescent="0.3">
      <c r="A68">
        <v>6</v>
      </c>
      <c r="B68">
        <v>2102.9</v>
      </c>
      <c r="C68">
        <f t="shared" ref="C68:C131" si="2">A68*B68</f>
        <v>12617.400000000001</v>
      </c>
    </row>
    <row r="69" spans="1:3" x14ac:dyDescent="0.3">
      <c r="A69">
        <v>10</v>
      </c>
      <c r="B69">
        <v>4315.68</v>
      </c>
      <c r="C69">
        <f t="shared" si="2"/>
        <v>43156.800000000003</v>
      </c>
    </row>
    <row r="70" spans="1:3" x14ac:dyDescent="0.3">
      <c r="A70">
        <v>3</v>
      </c>
      <c r="B70">
        <v>3001.15</v>
      </c>
      <c r="C70">
        <f t="shared" si="2"/>
        <v>9003.4500000000007</v>
      </c>
    </row>
    <row r="71" spans="1:3" x14ac:dyDescent="0.3">
      <c r="A71">
        <v>8</v>
      </c>
      <c r="B71">
        <v>3077.12</v>
      </c>
      <c r="C71">
        <f t="shared" si="2"/>
        <v>24616.959999999999</v>
      </c>
    </row>
    <row r="72" spans="1:3" x14ac:dyDescent="0.3">
      <c r="A72">
        <v>3</v>
      </c>
      <c r="B72">
        <v>4229.95</v>
      </c>
      <c r="C72">
        <f t="shared" si="2"/>
        <v>12689.849999999999</v>
      </c>
    </row>
    <row r="73" spans="1:3" x14ac:dyDescent="0.3">
      <c r="A73">
        <v>6</v>
      </c>
      <c r="B73">
        <v>2387.37</v>
      </c>
      <c r="C73">
        <f t="shared" si="2"/>
        <v>14324.22</v>
      </c>
    </row>
    <row r="74" spans="1:3" x14ac:dyDescent="0.3">
      <c r="A74">
        <v>8</v>
      </c>
      <c r="B74">
        <v>2723.72</v>
      </c>
      <c r="C74">
        <f t="shared" si="2"/>
        <v>21789.759999999998</v>
      </c>
    </row>
    <row r="75" spans="1:3" x14ac:dyDescent="0.3">
      <c r="A75">
        <v>6</v>
      </c>
      <c r="B75">
        <v>2062.73</v>
      </c>
      <c r="C75">
        <f t="shared" si="2"/>
        <v>12376.380000000001</v>
      </c>
    </row>
    <row r="76" spans="1:3" x14ac:dyDescent="0.3">
      <c r="A76">
        <v>10</v>
      </c>
      <c r="B76">
        <v>2034.15</v>
      </c>
      <c r="C76">
        <f t="shared" si="2"/>
        <v>20341.5</v>
      </c>
    </row>
    <row r="77" spans="1:3" x14ac:dyDescent="0.3">
      <c r="A77">
        <v>5</v>
      </c>
      <c r="B77">
        <v>2786.95</v>
      </c>
      <c r="C77">
        <f t="shared" si="2"/>
        <v>13934.75</v>
      </c>
    </row>
    <row r="78" spans="1:3" x14ac:dyDescent="0.3">
      <c r="A78">
        <v>7</v>
      </c>
      <c r="B78">
        <v>4062.77</v>
      </c>
      <c r="C78">
        <f t="shared" si="2"/>
        <v>28439.39</v>
      </c>
    </row>
    <row r="79" spans="1:3" x14ac:dyDescent="0.3">
      <c r="A79">
        <v>9</v>
      </c>
      <c r="B79">
        <v>4480.96</v>
      </c>
      <c r="C79">
        <f t="shared" si="2"/>
        <v>40328.639999999999</v>
      </c>
    </row>
    <row r="80" spans="1:3" x14ac:dyDescent="0.3">
      <c r="A80">
        <v>1</v>
      </c>
      <c r="B80">
        <v>4516.93</v>
      </c>
      <c r="C80">
        <f t="shared" si="2"/>
        <v>4516.93</v>
      </c>
    </row>
    <row r="81" spans="1:3" x14ac:dyDescent="0.3">
      <c r="A81">
        <v>7</v>
      </c>
      <c r="B81">
        <v>2396.69</v>
      </c>
      <c r="C81">
        <f t="shared" si="2"/>
        <v>16776.830000000002</v>
      </c>
    </row>
    <row r="82" spans="1:3" x14ac:dyDescent="0.3">
      <c r="A82">
        <v>8</v>
      </c>
      <c r="B82">
        <v>4935.47</v>
      </c>
      <c r="C82">
        <f t="shared" si="2"/>
        <v>39483.760000000002</v>
      </c>
    </row>
    <row r="83" spans="1:3" x14ac:dyDescent="0.3">
      <c r="A83">
        <v>4</v>
      </c>
      <c r="B83">
        <v>2905.63</v>
      </c>
      <c r="C83">
        <f t="shared" si="2"/>
        <v>11622.52</v>
      </c>
    </row>
    <row r="84" spans="1:3" x14ac:dyDescent="0.3">
      <c r="A84">
        <v>6</v>
      </c>
      <c r="B84">
        <v>4209.08</v>
      </c>
      <c r="C84">
        <f t="shared" si="2"/>
        <v>25254.48</v>
      </c>
    </row>
    <row r="85" spans="1:3" x14ac:dyDescent="0.3">
      <c r="A85">
        <v>3</v>
      </c>
      <c r="B85">
        <v>3135.78</v>
      </c>
      <c r="C85">
        <f t="shared" si="2"/>
        <v>9407.34</v>
      </c>
    </row>
    <row r="86" spans="1:3" x14ac:dyDescent="0.3">
      <c r="A86">
        <v>1</v>
      </c>
      <c r="B86">
        <v>2389.71</v>
      </c>
      <c r="C86">
        <f t="shared" si="2"/>
        <v>2389.71</v>
      </c>
    </row>
    <row r="87" spans="1:3" x14ac:dyDescent="0.3">
      <c r="A87">
        <v>8</v>
      </c>
      <c r="B87">
        <v>1186.49</v>
      </c>
      <c r="C87">
        <f t="shared" si="2"/>
        <v>9491.92</v>
      </c>
    </row>
    <row r="88" spans="1:3" x14ac:dyDescent="0.3">
      <c r="A88">
        <v>8</v>
      </c>
      <c r="B88">
        <v>3228.85</v>
      </c>
      <c r="C88">
        <f t="shared" si="2"/>
        <v>25830.799999999999</v>
      </c>
    </row>
    <row r="89" spans="1:3" x14ac:dyDescent="0.3">
      <c r="A89">
        <v>5</v>
      </c>
      <c r="B89">
        <v>2703.43</v>
      </c>
      <c r="C89">
        <f t="shared" si="2"/>
        <v>13517.15</v>
      </c>
    </row>
    <row r="90" spans="1:3" x14ac:dyDescent="0.3">
      <c r="A90">
        <v>10</v>
      </c>
      <c r="B90">
        <v>4763.6099999999997</v>
      </c>
      <c r="C90">
        <f t="shared" si="2"/>
        <v>47636.1</v>
      </c>
    </row>
    <row r="91" spans="1:3" x14ac:dyDescent="0.3">
      <c r="A91">
        <v>1</v>
      </c>
      <c r="B91">
        <v>2248.81</v>
      </c>
      <c r="C91">
        <f t="shared" si="2"/>
        <v>2248.81</v>
      </c>
    </row>
    <row r="92" spans="1:3" x14ac:dyDescent="0.3">
      <c r="A92">
        <v>10</v>
      </c>
      <c r="B92">
        <v>423.09</v>
      </c>
      <c r="C92">
        <f t="shared" si="2"/>
        <v>4230.8999999999996</v>
      </c>
    </row>
    <row r="93" spans="1:3" x14ac:dyDescent="0.3">
      <c r="A93">
        <v>9</v>
      </c>
      <c r="B93">
        <v>2919.64</v>
      </c>
      <c r="C93">
        <f t="shared" si="2"/>
        <v>26276.76</v>
      </c>
    </row>
    <row r="94" spans="1:3" x14ac:dyDescent="0.3">
      <c r="A94">
        <v>4</v>
      </c>
      <c r="B94">
        <v>3390.71</v>
      </c>
      <c r="C94">
        <f t="shared" si="2"/>
        <v>13562.84</v>
      </c>
    </row>
    <row r="95" spans="1:3" x14ac:dyDescent="0.3">
      <c r="A95">
        <v>4</v>
      </c>
      <c r="B95">
        <v>813.9</v>
      </c>
      <c r="C95">
        <f t="shared" si="2"/>
        <v>3255.6</v>
      </c>
    </row>
    <row r="96" spans="1:3" x14ac:dyDescent="0.3">
      <c r="A96">
        <v>2</v>
      </c>
      <c r="B96">
        <v>3245.79</v>
      </c>
      <c r="C96">
        <f t="shared" si="2"/>
        <v>6491.58</v>
      </c>
    </row>
    <row r="97" spans="1:3" x14ac:dyDescent="0.3">
      <c r="A97">
        <v>7</v>
      </c>
      <c r="B97">
        <v>3043.32</v>
      </c>
      <c r="C97">
        <f t="shared" si="2"/>
        <v>21303.24</v>
      </c>
    </row>
    <row r="98" spans="1:3" x14ac:dyDescent="0.3">
      <c r="A98">
        <v>6</v>
      </c>
      <c r="B98">
        <v>1694.51</v>
      </c>
      <c r="C98">
        <f t="shared" si="2"/>
        <v>10167.06</v>
      </c>
    </row>
    <row r="99" spans="1:3" x14ac:dyDescent="0.3">
      <c r="A99">
        <v>3</v>
      </c>
      <c r="B99">
        <v>2433.14</v>
      </c>
      <c r="C99">
        <f t="shared" si="2"/>
        <v>7299.42</v>
      </c>
    </row>
    <row r="100" spans="1:3" x14ac:dyDescent="0.3">
      <c r="A100">
        <v>7</v>
      </c>
      <c r="B100">
        <v>1442.96</v>
      </c>
      <c r="C100">
        <f t="shared" si="2"/>
        <v>10100.720000000001</v>
      </c>
    </row>
    <row r="101" spans="1:3" x14ac:dyDescent="0.3">
      <c r="A101">
        <v>7</v>
      </c>
      <c r="B101">
        <v>1579.19</v>
      </c>
      <c r="C101">
        <f t="shared" si="2"/>
        <v>11054.33</v>
      </c>
    </row>
    <row r="102" spans="1:3" x14ac:dyDescent="0.3">
      <c r="A102">
        <v>8</v>
      </c>
      <c r="B102">
        <v>4761.93</v>
      </c>
      <c r="C102">
        <f t="shared" si="2"/>
        <v>38095.440000000002</v>
      </c>
    </row>
    <row r="103" spans="1:3" x14ac:dyDescent="0.3">
      <c r="A103">
        <v>2</v>
      </c>
      <c r="B103">
        <v>3673.2</v>
      </c>
      <c r="C103">
        <f t="shared" si="2"/>
        <v>7346.4</v>
      </c>
    </row>
    <row r="104" spans="1:3" x14ac:dyDescent="0.3">
      <c r="A104">
        <v>8</v>
      </c>
      <c r="B104">
        <v>1837.73</v>
      </c>
      <c r="C104">
        <f t="shared" si="2"/>
        <v>14701.84</v>
      </c>
    </row>
    <row r="105" spans="1:3" x14ac:dyDescent="0.3">
      <c r="A105">
        <v>3</v>
      </c>
      <c r="B105">
        <v>519.26</v>
      </c>
      <c r="C105">
        <f t="shared" si="2"/>
        <v>1557.78</v>
      </c>
    </row>
    <row r="106" spans="1:3" x14ac:dyDescent="0.3">
      <c r="A106">
        <v>3</v>
      </c>
      <c r="B106">
        <v>1772.75</v>
      </c>
      <c r="C106">
        <f t="shared" si="2"/>
        <v>5318.25</v>
      </c>
    </row>
    <row r="107" spans="1:3" x14ac:dyDescent="0.3">
      <c r="A107">
        <v>1</v>
      </c>
      <c r="B107">
        <v>2600.4699999999998</v>
      </c>
      <c r="C107">
        <f t="shared" si="2"/>
        <v>2600.4699999999998</v>
      </c>
    </row>
    <row r="108" spans="1:3" x14ac:dyDescent="0.3">
      <c r="A108">
        <v>10</v>
      </c>
      <c r="B108">
        <v>4710.95</v>
      </c>
      <c r="C108">
        <f t="shared" si="2"/>
        <v>47109.5</v>
      </c>
    </row>
    <row r="109" spans="1:3" x14ac:dyDescent="0.3">
      <c r="A109">
        <v>6</v>
      </c>
      <c r="B109">
        <v>4840.12</v>
      </c>
      <c r="C109">
        <f t="shared" si="2"/>
        <v>29040.720000000001</v>
      </c>
    </row>
    <row r="110" spans="1:3" x14ac:dyDescent="0.3">
      <c r="A110">
        <v>1</v>
      </c>
      <c r="B110">
        <v>947.38</v>
      </c>
      <c r="C110">
        <f t="shared" si="2"/>
        <v>947.38</v>
      </c>
    </row>
    <row r="111" spans="1:3" x14ac:dyDescent="0.3">
      <c r="A111">
        <v>2</v>
      </c>
      <c r="B111">
        <v>3273.22</v>
      </c>
      <c r="C111">
        <f t="shared" si="2"/>
        <v>6546.44</v>
      </c>
    </row>
    <row r="112" spans="1:3" x14ac:dyDescent="0.3">
      <c r="A112">
        <v>8</v>
      </c>
      <c r="B112">
        <v>528.77</v>
      </c>
      <c r="C112">
        <f t="shared" si="2"/>
        <v>4230.16</v>
      </c>
    </row>
    <row r="113" spans="1:3" x14ac:dyDescent="0.3">
      <c r="A113">
        <v>10</v>
      </c>
      <c r="B113">
        <v>2619.59</v>
      </c>
      <c r="C113">
        <f t="shared" si="2"/>
        <v>26195.9</v>
      </c>
    </row>
    <row r="114" spans="1:3" x14ac:dyDescent="0.3">
      <c r="A114">
        <v>3</v>
      </c>
      <c r="B114">
        <v>2297.48</v>
      </c>
      <c r="C114">
        <f t="shared" si="2"/>
        <v>6892.4400000000005</v>
      </c>
    </row>
    <row r="115" spans="1:3" x14ac:dyDescent="0.3">
      <c r="A115">
        <v>6</v>
      </c>
      <c r="B115">
        <v>1322.78</v>
      </c>
      <c r="C115">
        <f t="shared" si="2"/>
        <v>7936.68</v>
      </c>
    </row>
    <row r="116" spans="1:3" x14ac:dyDescent="0.3">
      <c r="A116">
        <v>5</v>
      </c>
      <c r="B116">
        <v>2803.99</v>
      </c>
      <c r="C116">
        <f t="shared" si="2"/>
        <v>14019.949999999999</v>
      </c>
    </row>
    <row r="117" spans="1:3" x14ac:dyDescent="0.3">
      <c r="A117">
        <v>1</v>
      </c>
      <c r="B117">
        <v>2071.4299999999998</v>
      </c>
      <c r="C117">
        <f t="shared" si="2"/>
        <v>2071.4299999999998</v>
      </c>
    </row>
    <row r="118" spans="1:3" x14ac:dyDescent="0.3">
      <c r="A118">
        <v>2</v>
      </c>
      <c r="B118">
        <v>4323.8900000000003</v>
      </c>
      <c r="C118">
        <f t="shared" si="2"/>
        <v>8647.7800000000007</v>
      </c>
    </row>
    <row r="119" spans="1:3" x14ac:dyDescent="0.3">
      <c r="A119">
        <v>1</v>
      </c>
      <c r="B119">
        <v>3507.73</v>
      </c>
      <c r="C119">
        <f t="shared" si="2"/>
        <v>3507.73</v>
      </c>
    </row>
    <row r="120" spans="1:3" x14ac:dyDescent="0.3">
      <c r="A120">
        <v>3</v>
      </c>
      <c r="B120">
        <v>3166.33</v>
      </c>
      <c r="C120">
        <f t="shared" si="2"/>
        <v>9498.99</v>
      </c>
    </row>
    <row r="121" spans="1:3" x14ac:dyDescent="0.3">
      <c r="A121">
        <v>6</v>
      </c>
      <c r="B121">
        <v>3887.65</v>
      </c>
      <c r="C121">
        <f t="shared" si="2"/>
        <v>23325.9</v>
      </c>
    </row>
    <row r="122" spans="1:3" x14ac:dyDescent="0.3">
      <c r="A122">
        <v>3</v>
      </c>
      <c r="B122">
        <v>2009.42</v>
      </c>
      <c r="C122">
        <f t="shared" si="2"/>
        <v>6028.26</v>
      </c>
    </row>
    <row r="123" spans="1:3" x14ac:dyDescent="0.3">
      <c r="A123">
        <v>5</v>
      </c>
      <c r="B123">
        <v>2982.76</v>
      </c>
      <c r="C123">
        <f t="shared" si="2"/>
        <v>14913.800000000001</v>
      </c>
    </row>
    <row r="124" spans="1:3" x14ac:dyDescent="0.3">
      <c r="A124">
        <v>3</v>
      </c>
      <c r="B124">
        <v>2231.7800000000002</v>
      </c>
      <c r="C124">
        <f t="shared" si="2"/>
        <v>6695.34</v>
      </c>
    </row>
    <row r="125" spans="1:3" x14ac:dyDescent="0.3">
      <c r="A125">
        <v>6</v>
      </c>
      <c r="B125">
        <v>1721.01</v>
      </c>
      <c r="C125">
        <f t="shared" si="2"/>
        <v>10326.06</v>
      </c>
    </row>
    <row r="126" spans="1:3" x14ac:dyDescent="0.3">
      <c r="A126">
        <v>10</v>
      </c>
      <c r="B126">
        <v>508.19</v>
      </c>
      <c r="C126">
        <f t="shared" si="2"/>
        <v>5081.8999999999996</v>
      </c>
    </row>
    <row r="127" spans="1:3" x14ac:dyDescent="0.3">
      <c r="A127">
        <v>5</v>
      </c>
      <c r="B127">
        <v>2986.64</v>
      </c>
      <c r="C127">
        <f t="shared" si="2"/>
        <v>14933.199999999999</v>
      </c>
    </row>
    <row r="128" spans="1:3" x14ac:dyDescent="0.3">
      <c r="A128">
        <v>3</v>
      </c>
      <c r="B128">
        <v>3749.29</v>
      </c>
      <c r="C128">
        <f t="shared" si="2"/>
        <v>11247.869999999999</v>
      </c>
    </row>
    <row r="129" spans="1:3" x14ac:dyDescent="0.3">
      <c r="A129">
        <v>2</v>
      </c>
      <c r="B129">
        <v>1243.31</v>
      </c>
      <c r="C129">
        <f t="shared" si="2"/>
        <v>2486.62</v>
      </c>
    </row>
    <row r="130" spans="1:3" x14ac:dyDescent="0.3">
      <c r="A130">
        <v>9</v>
      </c>
      <c r="B130">
        <v>3184.64</v>
      </c>
      <c r="C130">
        <f t="shared" si="2"/>
        <v>28661.759999999998</v>
      </c>
    </row>
    <row r="131" spans="1:3" x14ac:dyDescent="0.3">
      <c r="A131">
        <v>9</v>
      </c>
      <c r="B131">
        <v>4383.04</v>
      </c>
      <c r="C131">
        <f t="shared" si="2"/>
        <v>39447.360000000001</v>
      </c>
    </row>
    <row r="132" spans="1:3" x14ac:dyDescent="0.3">
      <c r="A132">
        <v>9</v>
      </c>
      <c r="B132">
        <v>307.10000000000002</v>
      </c>
      <c r="C132">
        <f t="shared" ref="C132:C195" si="3">A132*B132</f>
        <v>2763.9</v>
      </c>
    </row>
    <row r="133" spans="1:3" x14ac:dyDescent="0.3">
      <c r="A133">
        <v>3</v>
      </c>
      <c r="B133">
        <v>2047.19</v>
      </c>
      <c r="C133">
        <f t="shared" si="3"/>
        <v>6141.57</v>
      </c>
    </row>
    <row r="134" spans="1:3" x14ac:dyDescent="0.3">
      <c r="A134">
        <v>10</v>
      </c>
      <c r="B134">
        <v>478.46</v>
      </c>
      <c r="C134">
        <f t="shared" si="3"/>
        <v>4784.5999999999995</v>
      </c>
    </row>
    <row r="135" spans="1:3" x14ac:dyDescent="0.3">
      <c r="A135">
        <v>5</v>
      </c>
      <c r="B135">
        <v>3951.7</v>
      </c>
      <c r="C135">
        <f t="shared" si="3"/>
        <v>19758.5</v>
      </c>
    </row>
    <row r="136" spans="1:3" x14ac:dyDescent="0.3">
      <c r="A136">
        <v>4</v>
      </c>
      <c r="B136">
        <v>402.21</v>
      </c>
      <c r="C136">
        <f t="shared" si="3"/>
        <v>1608.84</v>
      </c>
    </row>
    <row r="137" spans="1:3" x14ac:dyDescent="0.3">
      <c r="A137">
        <v>1</v>
      </c>
      <c r="B137">
        <v>2319.4499999999998</v>
      </c>
      <c r="C137">
        <f t="shared" si="3"/>
        <v>2319.4499999999998</v>
      </c>
    </row>
    <row r="138" spans="1:3" x14ac:dyDescent="0.3">
      <c r="A138">
        <v>6</v>
      </c>
      <c r="B138">
        <v>428.8</v>
      </c>
      <c r="C138">
        <f t="shared" si="3"/>
        <v>2572.8000000000002</v>
      </c>
    </row>
    <row r="139" spans="1:3" x14ac:dyDescent="0.3">
      <c r="A139">
        <v>9</v>
      </c>
      <c r="B139">
        <v>3240.88</v>
      </c>
      <c r="C139">
        <f t="shared" si="3"/>
        <v>29167.920000000002</v>
      </c>
    </row>
    <row r="140" spans="1:3" x14ac:dyDescent="0.3">
      <c r="A140">
        <v>10</v>
      </c>
      <c r="B140">
        <v>3436.3</v>
      </c>
      <c r="C140">
        <f t="shared" si="3"/>
        <v>34363</v>
      </c>
    </row>
    <row r="141" spans="1:3" x14ac:dyDescent="0.3">
      <c r="A141">
        <v>8</v>
      </c>
      <c r="B141">
        <v>4438.9399999999996</v>
      </c>
      <c r="C141">
        <f t="shared" si="3"/>
        <v>35511.519999999997</v>
      </c>
    </row>
    <row r="142" spans="1:3" x14ac:dyDescent="0.3">
      <c r="A142">
        <v>7</v>
      </c>
      <c r="B142">
        <v>3787.42</v>
      </c>
      <c r="C142">
        <f t="shared" si="3"/>
        <v>26511.940000000002</v>
      </c>
    </row>
    <row r="143" spans="1:3" x14ac:dyDescent="0.3">
      <c r="A143">
        <v>9</v>
      </c>
      <c r="B143">
        <v>723.86</v>
      </c>
      <c r="C143">
        <f t="shared" si="3"/>
        <v>6514.74</v>
      </c>
    </row>
    <row r="144" spans="1:3" x14ac:dyDescent="0.3">
      <c r="A144">
        <v>2</v>
      </c>
      <c r="B144">
        <v>4537.49</v>
      </c>
      <c r="C144">
        <f t="shared" si="3"/>
        <v>9074.98</v>
      </c>
    </row>
    <row r="145" spans="1:3" x14ac:dyDescent="0.3">
      <c r="A145">
        <v>10</v>
      </c>
      <c r="B145">
        <v>4220.78</v>
      </c>
      <c r="C145">
        <f t="shared" si="3"/>
        <v>42207.799999999996</v>
      </c>
    </row>
    <row r="146" spans="1:3" x14ac:dyDescent="0.3">
      <c r="A146">
        <v>6</v>
      </c>
      <c r="B146">
        <v>693.85</v>
      </c>
      <c r="C146">
        <f t="shared" si="3"/>
        <v>4163.1000000000004</v>
      </c>
    </row>
    <row r="147" spans="1:3" x14ac:dyDescent="0.3">
      <c r="A147">
        <v>5</v>
      </c>
      <c r="B147">
        <v>4095.58</v>
      </c>
      <c r="C147">
        <f t="shared" si="3"/>
        <v>20477.900000000001</v>
      </c>
    </row>
    <row r="148" spans="1:3" x14ac:dyDescent="0.3">
      <c r="A148">
        <v>9</v>
      </c>
      <c r="B148">
        <v>1396.59</v>
      </c>
      <c r="C148">
        <f t="shared" si="3"/>
        <v>12569.31</v>
      </c>
    </row>
    <row r="149" spans="1:3" x14ac:dyDescent="0.3">
      <c r="A149">
        <v>2</v>
      </c>
      <c r="B149">
        <v>3380.7</v>
      </c>
      <c r="C149">
        <f t="shared" si="3"/>
        <v>6761.4</v>
      </c>
    </row>
    <row r="150" spans="1:3" x14ac:dyDescent="0.3">
      <c r="A150">
        <v>2</v>
      </c>
      <c r="B150">
        <v>500.58</v>
      </c>
      <c r="C150">
        <f t="shared" si="3"/>
        <v>1001.16</v>
      </c>
    </row>
    <row r="151" spans="1:3" x14ac:dyDescent="0.3">
      <c r="A151">
        <v>9</v>
      </c>
      <c r="B151">
        <v>1824.33</v>
      </c>
      <c r="C151">
        <f t="shared" si="3"/>
        <v>16418.97</v>
      </c>
    </row>
    <row r="152" spans="1:3" x14ac:dyDescent="0.3">
      <c r="A152">
        <v>9</v>
      </c>
      <c r="B152">
        <v>2865.09</v>
      </c>
      <c r="C152">
        <f t="shared" si="3"/>
        <v>25785.81</v>
      </c>
    </row>
    <row r="153" spans="1:3" x14ac:dyDescent="0.3">
      <c r="A153">
        <v>6</v>
      </c>
      <c r="B153">
        <v>1750.68</v>
      </c>
      <c r="C153">
        <f t="shared" si="3"/>
        <v>10504.08</v>
      </c>
    </row>
    <row r="154" spans="1:3" x14ac:dyDescent="0.3">
      <c r="A154">
        <v>7</v>
      </c>
      <c r="B154">
        <v>3257.17</v>
      </c>
      <c r="C154">
        <f t="shared" si="3"/>
        <v>22800.190000000002</v>
      </c>
    </row>
    <row r="155" spans="1:3" x14ac:dyDescent="0.3">
      <c r="A155">
        <v>1</v>
      </c>
      <c r="B155">
        <v>1773.23</v>
      </c>
      <c r="C155">
        <f t="shared" si="3"/>
        <v>1773.23</v>
      </c>
    </row>
    <row r="156" spans="1:3" x14ac:dyDescent="0.3">
      <c r="A156">
        <v>8</v>
      </c>
      <c r="B156">
        <v>1298.78</v>
      </c>
      <c r="C156">
        <f t="shared" si="3"/>
        <v>10390.24</v>
      </c>
    </row>
    <row r="157" spans="1:3" x14ac:dyDescent="0.3">
      <c r="A157">
        <v>7</v>
      </c>
      <c r="B157">
        <v>777.39</v>
      </c>
      <c r="C157">
        <f t="shared" si="3"/>
        <v>5441.73</v>
      </c>
    </row>
    <row r="158" spans="1:3" x14ac:dyDescent="0.3">
      <c r="A158">
        <v>9</v>
      </c>
      <c r="B158">
        <v>3364.22</v>
      </c>
      <c r="C158">
        <f t="shared" si="3"/>
        <v>30277.98</v>
      </c>
    </row>
    <row r="159" spans="1:3" x14ac:dyDescent="0.3">
      <c r="A159">
        <v>2</v>
      </c>
      <c r="B159">
        <v>2611.36</v>
      </c>
      <c r="C159">
        <f t="shared" si="3"/>
        <v>5222.72</v>
      </c>
    </row>
    <row r="160" spans="1:3" x14ac:dyDescent="0.3">
      <c r="A160">
        <v>5</v>
      </c>
      <c r="B160">
        <v>406.26</v>
      </c>
      <c r="C160">
        <f t="shared" si="3"/>
        <v>2031.3</v>
      </c>
    </row>
    <row r="161" spans="1:3" x14ac:dyDescent="0.3">
      <c r="A161">
        <v>5</v>
      </c>
      <c r="B161">
        <v>3816.59</v>
      </c>
      <c r="C161">
        <f t="shared" si="3"/>
        <v>19082.95</v>
      </c>
    </row>
    <row r="162" spans="1:3" x14ac:dyDescent="0.3">
      <c r="A162">
        <v>3</v>
      </c>
      <c r="B162">
        <v>2326.98</v>
      </c>
      <c r="C162">
        <f t="shared" si="3"/>
        <v>6980.9400000000005</v>
      </c>
    </row>
    <row r="163" spans="1:3" x14ac:dyDescent="0.3">
      <c r="A163">
        <v>1</v>
      </c>
      <c r="B163">
        <v>810.39</v>
      </c>
      <c r="C163">
        <f t="shared" si="3"/>
        <v>810.39</v>
      </c>
    </row>
    <row r="164" spans="1:3" x14ac:dyDescent="0.3">
      <c r="A164">
        <v>5</v>
      </c>
      <c r="B164">
        <v>1069.97</v>
      </c>
      <c r="C164">
        <f t="shared" si="3"/>
        <v>5349.85</v>
      </c>
    </row>
    <row r="165" spans="1:3" x14ac:dyDescent="0.3">
      <c r="A165">
        <v>2</v>
      </c>
      <c r="B165">
        <v>587.51</v>
      </c>
      <c r="C165">
        <f t="shared" si="3"/>
        <v>1175.02</v>
      </c>
    </row>
    <row r="166" spans="1:3" x14ac:dyDescent="0.3">
      <c r="A166">
        <v>10</v>
      </c>
      <c r="B166">
        <v>1225.3800000000001</v>
      </c>
      <c r="C166">
        <f t="shared" si="3"/>
        <v>12253.800000000001</v>
      </c>
    </row>
    <row r="167" spans="1:3" x14ac:dyDescent="0.3">
      <c r="A167">
        <v>2</v>
      </c>
      <c r="B167">
        <v>3895.84</v>
      </c>
      <c r="C167">
        <f t="shared" si="3"/>
        <v>7791.68</v>
      </c>
    </row>
    <row r="168" spans="1:3" x14ac:dyDescent="0.3">
      <c r="A168">
        <v>4</v>
      </c>
      <c r="B168">
        <v>4868.7700000000004</v>
      </c>
      <c r="C168">
        <f t="shared" si="3"/>
        <v>19475.080000000002</v>
      </c>
    </row>
    <row r="169" spans="1:3" x14ac:dyDescent="0.3">
      <c r="A169">
        <v>5</v>
      </c>
      <c r="B169">
        <v>2547.15</v>
      </c>
      <c r="C169">
        <f t="shared" si="3"/>
        <v>12735.75</v>
      </c>
    </row>
    <row r="170" spans="1:3" x14ac:dyDescent="0.3">
      <c r="A170">
        <v>4</v>
      </c>
      <c r="B170">
        <v>2093.79</v>
      </c>
      <c r="C170">
        <f t="shared" si="3"/>
        <v>8375.16</v>
      </c>
    </row>
    <row r="171" spans="1:3" x14ac:dyDescent="0.3">
      <c r="A171">
        <v>1</v>
      </c>
      <c r="B171">
        <v>3919.71</v>
      </c>
      <c r="C171">
        <f t="shared" si="3"/>
        <v>3919.71</v>
      </c>
    </row>
    <row r="172" spans="1:3" x14ac:dyDescent="0.3">
      <c r="A172">
        <v>4</v>
      </c>
      <c r="B172">
        <v>430.53</v>
      </c>
      <c r="C172">
        <f t="shared" si="3"/>
        <v>1722.12</v>
      </c>
    </row>
    <row r="173" spans="1:3" x14ac:dyDescent="0.3">
      <c r="A173">
        <v>9</v>
      </c>
      <c r="B173">
        <v>1355.63</v>
      </c>
      <c r="C173">
        <f t="shared" si="3"/>
        <v>12200.670000000002</v>
      </c>
    </row>
    <row r="174" spans="1:3" x14ac:dyDescent="0.3">
      <c r="A174">
        <v>6</v>
      </c>
      <c r="B174">
        <v>1489.81</v>
      </c>
      <c r="C174">
        <f t="shared" si="3"/>
        <v>8938.86</v>
      </c>
    </row>
    <row r="175" spans="1:3" x14ac:dyDescent="0.3">
      <c r="A175">
        <v>8</v>
      </c>
      <c r="B175">
        <v>3274.41</v>
      </c>
      <c r="C175">
        <f t="shared" si="3"/>
        <v>26195.279999999999</v>
      </c>
    </row>
    <row r="176" spans="1:3" x14ac:dyDescent="0.3">
      <c r="A176">
        <v>2</v>
      </c>
      <c r="B176">
        <v>2581.62</v>
      </c>
      <c r="C176">
        <f t="shared" si="3"/>
        <v>5163.24</v>
      </c>
    </row>
    <row r="177" spans="1:3" x14ac:dyDescent="0.3">
      <c r="A177">
        <v>2</v>
      </c>
      <c r="B177">
        <v>2852.48</v>
      </c>
      <c r="C177">
        <f t="shared" si="3"/>
        <v>5704.96</v>
      </c>
    </row>
    <row r="178" spans="1:3" x14ac:dyDescent="0.3">
      <c r="A178">
        <v>3</v>
      </c>
      <c r="B178">
        <v>3401.76</v>
      </c>
      <c r="C178">
        <f t="shared" si="3"/>
        <v>10205.280000000001</v>
      </c>
    </row>
    <row r="179" spans="1:3" x14ac:dyDescent="0.3">
      <c r="A179">
        <v>6</v>
      </c>
      <c r="B179">
        <v>1812.8</v>
      </c>
      <c r="C179">
        <f t="shared" si="3"/>
        <v>10876.8</v>
      </c>
    </row>
    <row r="180" spans="1:3" x14ac:dyDescent="0.3">
      <c r="A180">
        <v>8</v>
      </c>
      <c r="B180">
        <v>3966.01</v>
      </c>
      <c r="C180">
        <f t="shared" si="3"/>
        <v>31728.080000000002</v>
      </c>
    </row>
    <row r="181" spans="1:3" x14ac:dyDescent="0.3">
      <c r="A181">
        <v>1</v>
      </c>
      <c r="B181">
        <v>3080.66</v>
      </c>
      <c r="C181">
        <f t="shared" si="3"/>
        <v>3080.66</v>
      </c>
    </row>
    <row r="182" spans="1:3" x14ac:dyDescent="0.3">
      <c r="A182">
        <v>7</v>
      </c>
      <c r="B182">
        <v>2593.34</v>
      </c>
      <c r="C182">
        <f t="shared" si="3"/>
        <v>18153.38</v>
      </c>
    </row>
    <row r="183" spans="1:3" x14ac:dyDescent="0.3">
      <c r="A183">
        <v>8</v>
      </c>
      <c r="B183">
        <v>3515.88</v>
      </c>
      <c r="C183">
        <f t="shared" si="3"/>
        <v>28127.040000000001</v>
      </c>
    </row>
    <row r="184" spans="1:3" x14ac:dyDescent="0.3">
      <c r="A184">
        <v>8</v>
      </c>
      <c r="B184">
        <v>577.09</v>
      </c>
      <c r="C184">
        <f t="shared" si="3"/>
        <v>4616.72</v>
      </c>
    </row>
    <row r="185" spans="1:3" x14ac:dyDescent="0.3">
      <c r="A185">
        <v>10</v>
      </c>
      <c r="B185">
        <v>768.33</v>
      </c>
      <c r="C185">
        <f t="shared" si="3"/>
        <v>7683.3</v>
      </c>
    </row>
    <row r="186" spans="1:3" x14ac:dyDescent="0.3">
      <c r="A186">
        <v>4</v>
      </c>
      <c r="B186">
        <v>2183.48</v>
      </c>
      <c r="C186">
        <f t="shared" si="3"/>
        <v>8733.92</v>
      </c>
    </row>
    <row r="187" spans="1:3" x14ac:dyDescent="0.3">
      <c r="A187">
        <v>3</v>
      </c>
      <c r="B187">
        <v>329.99</v>
      </c>
      <c r="C187">
        <f t="shared" si="3"/>
        <v>989.97</v>
      </c>
    </row>
    <row r="188" spans="1:3" x14ac:dyDescent="0.3">
      <c r="A188">
        <v>7</v>
      </c>
      <c r="B188">
        <v>3525.06</v>
      </c>
      <c r="C188">
        <f t="shared" si="3"/>
        <v>24675.42</v>
      </c>
    </row>
    <row r="189" spans="1:3" x14ac:dyDescent="0.3">
      <c r="A189">
        <v>4</v>
      </c>
      <c r="B189">
        <v>1699.38</v>
      </c>
      <c r="C189">
        <f t="shared" si="3"/>
        <v>6797.52</v>
      </c>
    </row>
    <row r="190" spans="1:3" x14ac:dyDescent="0.3">
      <c r="A190">
        <v>8</v>
      </c>
      <c r="B190">
        <v>2488.02</v>
      </c>
      <c r="C190">
        <f t="shared" si="3"/>
        <v>19904.16</v>
      </c>
    </row>
    <row r="191" spans="1:3" x14ac:dyDescent="0.3">
      <c r="A191">
        <v>4</v>
      </c>
      <c r="B191">
        <v>1881.58</v>
      </c>
      <c r="C191">
        <f t="shared" si="3"/>
        <v>7526.32</v>
      </c>
    </row>
    <row r="192" spans="1:3" x14ac:dyDescent="0.3">
      <c r="A192">
        <v>7</v>
      </c>
      <c r="B192">
        <v>3915.83</v>
      </c>
      <c r="C192">
        <f t="shared" si="3"/>
        <v>27410.809999999998</v>
      </c>
    </row>
    <row r="193" spans="1:3" x14ac:dyDescent="0.3">
      <c r="A193">
        <v>8</v>
      </c>
      <c r="B193">
        <v>3650.96</v>
      </c>
      <c r="C193">
        <f t="shared" si="3"/>
        <v>29207.68</v>
      </c>
    </row>
    <row r="194" spans="1:3" x14ac:dyDescent="0.3">
      <c r="A194">
        <v>6</v>
      </c>
      <c r="B194">
        <v>3348.83</v>
      </c>
      <c r="C194">
        <f t="shared" si="3"/>
        <v>20092.98</v>
      </c>
    </row>
    <row r="195" spans="1:3" x14ac:dyDescent="0.3">
      <c r="A195">
        <v>5</v>
      </c>
      <c r="B195">
        <v>1543.69</v>
      </c>
      <c r="C195">
        <f t="shared" si="3"/>
        <v>7718.4500000000007</v>
      </c>
    </row>
    <row r="196" spans="1:3" x14ac:dyDescent="0.3">
      <c r="A196">
        <v>5</v>
      </c>
      <c r="B196">
        <v>1297.98</v>
      </c>
      <c r="C196">
        <f t="shared" ref="C196:C259" si="4">A196*B196</f>
        <v>6489.9</v>
      </c>
    </row>
    <row r="197" spans="1:3" x14ac:dyDescent="0.3">
      <c r="A197">
        <v>6</v>
      </c>
      <c r="B197">
        <v>2642.46</v>
      </c>
      <c r="C197">
        <f t="shared" si="4"/>
        <v>15854.76</v>
      </c>
    </row>
    <row r="198" spans="1:3" x14ac:dyDescent="0.3">
      <c r="A198">
        <v>6</v>
      </c>
      <c r="B198">
        <v>494.07</v>
      </c>
      <c r="C198">
        <f t="shared" si="4"/>
        <v>2964.42</v>
      </c>
    </row>
    <row r="199" spans="1:3" x14ac:dyDescent="0.3">
      <c r="A199">
        <v>6</v>
      </c>
      <c r="B199">
        <v>4640.58</v>
      </c>
      <c r="C199">
        <f t="shared" si="4"/>
        <v>27843.48</v>
      </c>
    </row>
    <row r="200" spans="1:3" x14ac:dyDescent="0.3">
      <c r="A200">
        <v>4</v>
      </c>
      <c r="B200">
        <v>1657.37</v>
      </c>
      <c r="C200">
        <f t="shared" si="4"/>
        <v>6629.48</v>
      </c>
    </row>
    <row r="201" spans="1:3" x14ac:dyDescent="0.3">
      <c r="A201">
        <v>3</v>
      </c>
      <c r="B201">
        <v>2485.6999999999998</v>
      </c>
      <c r="C201">
        <f t="shared" si="4"/>
        <v>7457.0999999999995</v>
      </c>
    </row>
    <row r="202" spans="1:3" x14ac:dyDescent="0.3">
      <c r="A202">
        <v>9</v>
      </c>
      <c r="B202">
        <v>541.59</v>
      </c>
      <c r="C202">
        <f t="shared" si="4"/>
        <v>4874.3100000000004</v>
      </c>
    </row>
    <row r="203" spans="1:3" x14ac:dyDescent="0.3">
      <c r="A203">
        <v>5</v>
      </c>
      <c r="B203">
        <v>904.42</v>
      </c>
      <c r="C203">
        <f t="shared" si="4"/>
        <v>4522.0999999999995</v>
      </c>
    </row>
    <row r="204" spans="1:3" x14ac:dyDescent="0.3">
      <c r="A204">
        <v>7</v>
      </c>
      <c r="B204">
        <v>1730.65</v>
      </c>
      <c r="C204">
        <f t="shared" si="4"/>
        <v>12114.550000000001</v>
      </c>
    </row>
    <row r="205" spans="1:3" x14ac:dyDescent="0.3">
      <c r="A205">
        <v>8</v>
      </c>
      <c r="B205">
        <v>2782.61</v>
      </c>
      <c r="C205">
        <f t="shared" si="4"/>
        <v>22260.880000000001</v>
      </c>
    </row>
    <row r="206" spans="1:3" x14ac:dyDescent="0.3">
      <c r="A206">
        <v>10</v>
      </c>
      <c r="B206">
        <v>2761.98</v>
      </c>
      <c r="C206">
        <f t="shared" si="4"/>
        <v>27619.8</v>
      </c>
    </row>
    <row r="207" spans="1:3" x14ac:dyDescent="0.3">
      <c r="A207">
        <v>8</v>
      </c>
      <c r="B207">
        <v>428.91</v>
      </c>
      <c r="C207">
        <f t="shared" si="4"/>
        <v>3431.28</v>
      </c>
    </row>
    <row r="208" spans="1:3" x14ac:dyDescent="0.3">
      <c r="A208">
        <v>1</v>
      </c>
      <c r="B208">
        <v>4934.3100000000004</v>
      </c>
      <c r="C208">
        <f t="shared" si="4"/>
        <v>4934.3100000000004</v>
      </c>
    </row>
    <row r="209" spans="1:3" x14ac:dyDescent="0.3">
      <c r="A209">
        <v>5</v>
      </c>
      <c r="B209">
        <v>1966</v>
      </c>
      <c r="C209">
        <f t="shared" si="4"/>
        <v>9830</v>
      </c>
    </row>
    <row r="210" spans="1:3" x14ac:dyDescent="0.3">
      <c r="A210">
        <v>9</v>
      </c>
      <c r="B210">
        <v>1871.9</v>
      </c>
      <c r="C210">
        <f t="shared" si="4"/>
        <v>16847.100000000002</v>
      </c>
    </row>
    <row r="211" spans="1:3" x14ac:dyDescent="0.3">
      <c r="A211">
        <v>6</v>
      </c>
      <c r="B211">
        <v>4670.4399999999996</v>
      </c>
      <c r="C211">
        <f t="shared" si="4"/>
        <v>28022.639999999999</v>
      </c>
    </row>
    <row r="212" spans="1:3" x14ac:dyDescent="0.3">
      <c r="A212">
        <v>3</v>
      </c>
      <c r="B212">
        <v>1610.86</v>
      </c>
      <c r="C212">
        <f t="shared" si="4"/>
        <v>4832.58</v>
      </c>
    </row>
    <row r="213" spans="1:3" x14ac:dyDescent="0.3">
      <c r="A213">
        <v>4</v>
      </c>
      <c r="B213">
        <v>3023.65</v>
      </c>
      <c r="C213">
        <f t="shared" si="4"/>
        <v>12094.6</v>
      </c>
    </row>
    <row r="214" spans="1:3" x14ac:dyDescent="0.3">
      <c r="A214">
        <v>6</v>
      </c>
      <c r="B214">
        <v>3156.97</v>
      </c>
      <c r="C214">
        <f t="shared" si="4"/>
        <v>18941.82</v>
      </c>
    </row>
    <row r="215" spans="1:3" x14ac:dyDescent="0.3">
      <c r="A215">
        <v>9</v>
      </c>
      <c r="B215">
        <v>666.78</v>
      </c>
      <c r="C215">
        <f t="shared" si="4"/>
        <v>6001.0199999999995</v>
      </c>
    </row>
    <row r="216" spans="1:3" x14ac:dyDescent="0.3">
      <c r="A216">
        <v>9</v>
      </c>
      <c r="B216">
        <v>3865.62</v>
      </c>
      <c r="C216">
        <f t="shared" si="4"/>
        <v>34790.58</v>
      </c>
    </row>
    <row r="217" spans="1:3" x14ac:dyDescent="0.3">
      <c r="A217">
        <v>9</v>
      </c>
      <c r="B217">
        <v>2735.49</v>
      </c>
      <c r="C217">
        <f t="shared" si="4"/>
        <v>24619.409999999996</v>
      </c>
    </row>
    <row r="218" spans="1:3" x14ac:dyDescent="0.3">
      <c r="A218">
        <v>5</v>
      </c>
      <c r="B218">
        <v>187.84</v>
      </c>
      <c r="C218">
        <f t="shared" si="4"/>
        <v>939.2</v>
      </c>
    </row>
    <row r="219" spans="1:3" x14ac:dyDescent="0.3">
      <c r="A219">
        <v>9</v>
      </c>
      <c r="B219">
        <v>4580.76</v>
      </c>
      <c r="C219">
        <f t="shared" si="4"/>
        <v>41226.840000000004</v>
      </c>
    </row>
    <row r="220" spans="1:3" x14ac:dyDescent="0.3">
      <c r="A220">
        <v>5</v>
      </c>
      <c r="B220">
        <v>2135.4899999999998</v>
      </c>
      <c r="C220">
        <f t="shared" si="4"/>
        <v>10677.449999999999</v>
      </c>
    </row>
    <row r="221" spans="1:3" x14ac:dyDescent="0.3">
      <c r="A221">
        <v>3</v>
      </c>
      <c r="B221">
        <v>3036.92</v>
      </c>
      <c r="C221">
        <f t="shared" si="4"/>
        <v>9110.76</v>
      </c>
    </row>
    <row r="222" spans="1:3" x14ac:dyDescent="0.3">
      <c r="A222">
        <v>9</v>
      </c>
      <c r="B222">
        <v>4706.1899999999996</v>
      </c>
      <c r="C222">
        <f t="shared" si="4"/>
        <v>42355.71</v>
      </c>
    </row>
    <row r="223" spans="1:3" x14ac:dyDescent="0.3">
      <c r="A223">
        <v>3</v>
      </c>
      <c r="B223">
        <v>2886.45</v>
      </c>
      <c r="C223">
        <f t="shared" si="4"/>
        <v>8659.3499999999985</v>
      </c>
    </row>
    <row r="224" spans="1:3" x14ac:dyDescent="0.3">
      <c r="A224">
        <v>3</v>
      </c>
      <c r="B224">
        <v>2854.47</v>
      </c>
      <c r="C224">
        <f t="shared" si="4"/>
        <v>8563.41</v>
      </c>
    </row>
    <row r="225" spans="1:3" x14ac:dyDescent="0.3">
      <c r="A225">
        <v>9</v>
      </c>
      <c r="B225">
        <v>264.85000000000002</v>
      </c>
      <c r="C225">
        <f t="shared" si="4"/>
        <v>2383.65</v>
      </c>
    </row>
    <row r="226" spans="1:3" x14ac:dyDescent="0.3">
      <c r="A226">
        <v>3</v>
      </c>
      <c r="B226">
        <v>4709.3900000000003</v>
      </c>
      <c r="C226">
        <f t="shared" si="4"/>
        <v>14128.170000000002</v>
      </c>
    </row>
    <row r="227" spans="1:3" x14ac:dyDescent="0.3">
      <c r="A227">
        <v>5</v>
      </c>
      <c r="B227">
        <v>51.41</v>
      </c>
      <c r="C227">
        <f t="shared" si="4"/>
        <v>257.04999999999995</v>
      </c>
    </row>
    <row r="228" spans="1:3" x14ac:dyDescent="0.3">
      <c r="A228">
        <v>7</v>
      </c>
      <c r="B228">
        <v>2559.4899999999998</v>
      </c>
      <c r="C228">
        <f t="shared" si="4"/>
        <v>17916.43</v>
      </c>
    </row>
    <row r="229" spans="1:3" x14ac:dyDescent="0.3">
      <c r="A229">
        <v>9</v>
      </c>
      <c r="B229">
        <v>4288.42</v>
      </c>
      <c r="C229">
        <f t="shared" si="4"/>
        <v>38595.78</v>
      </c>
    </row>
    <row r="230" spans="1:3" x14ac:dyDescent="0.3">
      <c r="A230">
        <v>9</v>
      </c>
      <c r="B230">
        <v>2355.16</v>
      </c>
      <c r="C230">
        <f t="shared" si="4"/>
        <v>21196.44</v>
      </c>
    </row>
    <row r="231" spans="1:3" x14ac:dyDescent="0.3">
      <c r="A231">
        <v>4</v>
      </c>
      <c r="B231">
        <v>2959.94</v>
      </c>
      <c r="C231">
        <f t="shared" si="4"/>
        <v>11839.76</v>
      </c>
    </row>
    <row r="232" spans="1:3" x14ac:dyDescent="0.3">
      <c r="A232">
        <v>9</v>
      </c>
      <c r="B232">
        <v>1027.28</v>
      </c>
      <c r="C232">
        <f t="shared" si="4"/>
        <v>9245.52</v>
      </c>
    </row>
    <row r="233" spans="1:3" x14ac:dyDescent="0.3">
      <c r="A233">
        <v>8</v>
      </c>
      <c r="B233">
        <v>1359.4</v>
      </c>
      <c r="C233">
        <f t="shared" si="4"/>
        <v>10875.2</v>
      </c>
    </row>
    <row r="234" spans="1:3" x14ac:dyDescent="0.3">
      <c r="A234">
        <v>8</v>
      </c>
      <c r="B234">
        <v>4603.83</v>
      </c>
      <c r="C234">
        <f t="shared" si="4"/>
        <v>36830.639999999999</v>
      </c>
    </row>
    <row r="235" spans="1:3" x14ac:dyDescent="0.3">
      <c r="A235">
        <v>8</v>
      </c>
      <c r="B235">
        <v>4649.7</v>
      </c>
      <c r="C235">
        <f t="shared" si="4"/>
        <v>37197.599999999999</v>
      </c>
    </row>
    <row r="236" spans="1:3" x14ac:dyDescent="0.3">
      <c r="A236">
        <v>9</v>
      </c>
      <c r="B236">
        <v>704.65</v>
      </c>
      <c r="C236">
        <f t="shared" si="4"/>
        <v>6341.8499999999995</v>
      </c>
    </row>
    <row r="237" spans="1:3" x14ac:dyDescent="0.3">
      <c r="A237">
        <v>10</v>
      </c>
      <c r="B237">
        <v>2533.64</v>
      </c>
      <c r="C237">
        <f t="shared" si="4"/>
        <v>25336.399999999998</v>
      </c>
    </row>
    <row r="238" spans="1:3" x14ac:dyDescent="0.3">
      <c r="A238">
        <v>10</v>
      </c>
      <c r="B238">
        <v>436.1</v>
      </c>
      <c r="C238">
        <f t="shared" si="4"/>
        <v>4361</v>
      </c>
    </row>
    <row r="239" spans="1:3" x14ac:dyDescent="0.3">
      <c r="A239">
        <v>5</v>
      </c>
      <c r="B239">
        <v>627.23</v>
      </c>
      <c r="C239">
        <f t="shared" si="4"/>
        <v>3136.15</v>
      </c>
    </row>
    <row r="240" spans="1:3" x14ac:dyDescent="0.3">
      <c r="A240">
        <v>8</v>
      </c>
      <c r="B240">
        <v>3805.12</v>
      </c>
      <c r="C240">
        <f t="shared" si="4"/>
        <v>30440.959999999999</v>
      </c>
    </row>
    <row r="241" spans="1:3" x14ac:dyDescent="0.3">
      <c r="A241">
        <v>10</v>
      </c>
      <c r="B241">
        <v>4091.6</v>
      </c>
      <c r="C241">
        <f t="shared" si="4"/>
        <v>40916</v>
      </c>
    </row>
    <row r="242" spans="1:3" x14ac:dyDescent="0.3">
      <c r="A242">
        <v>5</v>
      </c>
      <c r="B242">
        <v>2163.2800000000002</v>
      </c>
      <c r="C242">
        <f t="shared" si="4"/>
        <v>10816.400000000001</v>
      </c>
    </row>
    <row r="243" spans="1:3" x14ac:dyDescent="0.3">
      <c r="A243">
        <v>8</v>
      </c>
      <c r="B243">
        <v>180.61</v>
      </c>
      <c r="C243">
        <f t="shared" si="4"/>
        <v>1444.88</v>
      </c>
    </row>
    <row r="244" spans="1:3" x14ac:dyDescent="0.3">
      <c r="A244">
        <v>3</v>
      </c>
      <c r="B244">
        <v>1532.16</v>
      </c>
      <c r="C244">
        <f t="shared" si="4"/>
        <v>4596.4800000000005</v>
      </c>
    </row>
    <row r="245" spans="1:3" x14ac:dyDescent="0.3">
      <c r="A245">
        <v>3</v>
      </c>
      <c r="B245">
        <v>2799.89</v>
      </c>
      <c r="C245">
        <f t="shared" si="4"/>
        <v>8399.67</v>
      </c>
    </row>
    <row r="246" spans="1:3" x14ac:dyDescent="0.3">
      <c r="A246">
        <v>7</v>
      </c>
      <c r="B246">
        <v>3747.88</v>
      </c>
      <c r="C246">
        <f t="shared" si="4"/>
        <v>26235.16</v>
      </c>
    </row>
    <row r="247" spans="1:3" x14ac:dyDescent="0.3">
      <c r="A247">
        <v>9</v>
      </c>
      <c r="B247">
        <v>3454.16</v>
      </c>
      <c r="C247">
        <f t="shared" si="4"/>
        <v>31087.439999999999</v>
      </c>
    </row>
    <row r="248" spans="1:3" x14ac:dyDescent="0.3">
      <c r="A248">
        <v>8</v>
      </c>
      <c r="B248">
        <v>1856.06</v>
      </c>
      <c r="C248">
        <f t="shared" si="4"/>
        <v>14848.48</v>
      </c>
    </row>
    <row r="249" spans="1:3" x14ac:dyDescent="0.3">
      <c r="A249">
        <v>3</v>
      </c>
      <c r="B249">
        <v>3503.3</v>
      </c>
      <c r="C249">
        <f t="shared" si="4"/>
        <v>10509.900000000001</v>
      </c>
    </row>
    <row r="250" spans="1:3" x14ac:dyDescent="0.3">
      <c r="A250">
        <v>6</v>
      </c>
      <c r="B250">
        <v>2496.94</v>
      </c>
      <c r="C250">
        <f t="shared" si="4"/>
        <v>14981.64</v>
      </c>
    </row>
    <row r="251" spans="1:3" x14ac:dyDescent="0.3">
      <c r="A251">
        <v>5</v>
      </c>
      <c r="B251">
        <v>4282.6400000000003</v>
      </c>
      <c r="C251">
        <f t="shared" si="4"/>
        <v>21413.200000000001</v>
      </c>
    </row>
    <row r="252" spans="1:3" x14ac:dyDescent="0.3">
      <c r="A252">
        <v>1</v>
      </c>
      <c r="B252">
        <v>1925.24</v>
      </c>
      <c r="C252">
        <f t="shared" si="4"/>
        <v>1925.24</v>
      </c>
    </row>
    <row r="253" spans="1:3" x14ac:dyDescent="0.3">
      <c r="A253">
        <v>9</v>
      </c>
      <c r="B253">
        <v>1357.07</v>
      </c>
      <c r="C253">
        <f t="shared" si="4"/>
        <v>12213.63</v>
      </c>
    </row>
    <row r="254" spans="1:3" x14ac:dyDescent="0.3">
      <c r="A254">
        <v>4</v>
      </c>
      <c r="B254">
        <v>2076.96</v>
      </c>
      <c r="C254">
        <f t="shared" si="4"/>
        <v>8307.84</v>
      </c>
    </row>
    <row r="255" spans="1:3" x14ac:dyDescent="0.3">
      <c r="A255">
        <v>5</v>
      </c>
      <c r="B255">
        <v>4759.13</v>
      </c>
      <c r="C255">
        <f t="shared" si="4"/>
        <v>23795.65</v>
      </c>
    </row>
    <row r="256" spans="1:3" x14ac:dyDescent="0.3">
      <c r="A256">
        <v>9</v>
      </c>
      <c r="B256">
        <v>1711.18</v>
      </c>
      <c r="C256">
        <f t="shared" si="4"/>
        <v>15400.62</v>
      </c>
    </row>
    <row r="257" spans="1:3" x14ac:dyDescent="0.3">
      <c r="A257">
        <v>8</v>
      </c>
      <c r="B257">
        <v>593.64</v>
      </c>
      <c r="C257">
        <f t="shared" si="4"/>
        <v>4749.12</v>
      </c>
    </row>
    <row r="258" spans="1:3" x14ac:dyDescent="0.3">
      <c r="A258">
        <v>4</v>
      </c>
      <c r="B258">
        <v>4139.0200000000004</v>
      </c>
      <c r="C258">
        <f t="shared" si="4"/>
        <v>16556.080000000002</v>
      </c>
    </row>
    <row r="259" spans="1:3" x14ac:dyDescent="0.3">
      <c r="A259">
        <v>9</v>
      </c>
      <c r="B259">
        <v>3728.57</v>
      </c>
      <c r="C259">
        <f t="shared" si="4"/>
        <v>33557.130000000005</v>
      </c>
    </row>
    <row r="260" spans="1:3" x14ac:dyDescent="0.3">
      <c r="A260">
        <v>3</v>
      </c>
      <c r="B260">
        <v>1306.17</v>
      </c>
      <c r="C260">
        <f t="shared" ref="C260:C323" si="5">A260*B260</f>
        <v>3918.51</v>
      </c>
    </row>
    <row r="261" spans="1:3" x14ac:dyDescent="0.3">
      <c r="A261">
        <v>8</v>
      </c>
      <c r="B261">
        <v>4574.95</v>
      </c>
      <c r="C261">
        <f t="shared" si="5"/>
        <v>36599.599999999999</v>
      </c>
    </row>
    <row r="262" spans="1:3" x14ac:dyDescent="0.3">
      <c r="A262">
        <v>7</v>
      </c>
      <c r="B262">
        <v>105.82</v>
      </c>
      <c r="C262">
        <f t="shared" si="5"/>
        <v>740.74</v>
      </c>
    </row>
    <row r="263" spans="1:3" x14ac:dyDescent="0.3">
      <c r="A263">
        <v>4</v>
      </c>
      <c r="B263">
        <v>4615.93</v>
      </c>
      <c r="C263">
        <f t="shared" si="5"/>
        <v>18463.72</v>
      </c>
    </row>
    <row r="264" spans="1:3" x14ac:dyDescent="0.3">
      <c r="A264">
        <v>9</v>
      </c>
      <c r="B264">
        <v>3469.57</v>
      </c>
      <c r="C264">
        <f t="shared" si="5"/>
        <v>31226.13</v>
      </c>
    </row>
    <row r="265" spans="1:3" x14ac:dyDescent="0.3">
      <c r="A265">
        <v>5</v>
      </c>
      <c r="B265">
        <v>1098.1400000000001</v>
      </c>
      <c r="C265">
        <f t="shared" si="5"/>
        <v>5490.7000000000007</v>
      </c>
    </row>
    <row r="266" spans="1:3" x14ac:dyDescent="0.3">
      <c r="A266">
        <v>3</v>
      </c>
      <c r="B266">
        <v>1610.75</v>
      </c>
      <c r="C266">
        <f t="shared" si="5"/>
        <v>4832.25</v>
      </c>
    </row>
    <row r="267" spans="1:3" x14ac:dyDescent="0.3">
      <c r="A267">
        <v>1</v>
      </c>
      <c r="B267">
        <v>4954.99</v>
      </c>
      <c r="C267">
        <f t="shared" si="5"/>
        <v>4954.99</v>
      </c>
    </row>
    <row r="268" spans="1:3" x14ac:dyDescent="0.3">
      <c r="A268">
        <v>1</v>
      </c>
      <c r="B268">
        <v>401.52</v>
      </c>
      <c r="C268">
        <f t="shared" si="5"/>
        <v>401.52</v>
      </c>
    </row>
    <row r="269" spans="1:3" x14ac:dyDescent="0.3">
      <c r="A269">
        <v>9</v>
      </c>
      <c r="B269">
        <v>3628.83</v>
      </c>
      <c r="C269">
        <f t="shared" si="5"/>
        <v>32659.47</v>
      </c>
    </row>
    <row r="270" spans="1:3" x14ac:dyDescent="0.3">
      <c r="A270">
        <v>6</v>
      </c>
      <c r="B270">
        <v>1684.57</v>
      </c>
      <c r="C270">
        <f t="shared" si="5"/>
        <v>10107.42</v>
      </c>
    </row>
    <row r="271" spans="1:3" x14ac:dyDescent="0.3">
      <c r="A271">
        <v>5</v>
      </c>
      <c r="B271">
        <v>1481.54</v>
      </c>
      <c r="C271">
        <f t="shared" si="5"/>
        <v>7407.7</v>
      </c>
    </row>
    <row r="272" spans="1:3" x14ac:dyDescent="0.3">
      <c r="A272">
        <v>8</v>
      </c>
      <c r="B272">
        <v>4470.0200000000004</v>
      </c>
      <c r="C272">
        <f t="shared" si="5"/>
        <v>35760.160000000003</v>
      </c>
    </row>
    <row r="273" spans="1:3" x14ac:dyDescent="0.3">
      <c r="A273">
        <v>1</v>
      </c>
      <c r="B273">
        <v>3746.07</v>
      </c>
      <c r="C273">
        <f t="shared" si="5"/>
        <v>3746.07</v>
      </c>
    </row>
    <row r="274" spans="1:3" x14ac:dyDescent="0.3">
      <c r="A274">
        <v>10</v>
      </c>
      <c r="B274">
        <v>51.08</v>
      </c>
      <c r="C274">
        <f t="shared" si="5"/>
        <v>510.79999999999995</v>
      </c>
    </row>
    <row r="275" spans="1:3" x14ac:dyDescent="0.3">
      <c r="A275">
        <v>4</v>
      </c>
      <c r="B275">
        <v>4914.71</v>
      </c>
      <c r="C275">
        <f t="shared" si="5"/>
        <v>19658.84</v>
      </c>
    </row>
    <row r="276" spans="1:3" x14ac:dyDescent="0.3">
      <c r="A276">
        <v>6</v>
      </c>
      <c r="B276">
        <v>554.15</v>
      </c>
      <c r="C276">
        <f t="shared" si="5"/>
        <v>3324.8999999999996</v>
      </c>
    </row>
    <row r="277" spans="1:3" x14ac:dyDescent="0.3">
      <c r="A277">
        <v>5</v>
      </c>
      <c r="B277">
        <v>3809.6</v>
      </c>
      <c r="C277">
        <f t="shared" si="5"/>
        <v>19048</v>
      </c>
    </row>
    <row r="278" spans="1:3" x14ac:dyDescent="0.3">
      <c r="A278">
        <v>10</v>
      </c>
      <c r="B278">
        <v>4976.0600000000004</v>
      </c>
      <c r="C278">
        <f t="shared" si="5"/>
        <v>49760.600000000006</v>
      </c>
    </row>
    <row r="279" spans="1:3" x14ac:dyDescent="0.3">
      <c r="A279">
        <v>1</v>
      </c>
      <c r="B279">
        <v>1640.64</v>
      </c>
      <c r="C279">
        <f t="shared" si="5"/>
        <v>1640.64</v>
      </c>
    </row>
    <row r="280" spans="1:3" x14ac:dyDescent="0.3">
      <c r="A280">
        <v>4</v>
      </c>
      <c r="B280">
        <v>4341.32</v>
      </c>
      <c r="C280">
        <f t="shared" si="5"/>
        <v>17365.28</v>
      </c>
    </row>
    <row r="281" spans="1:3" x14ac:dyDescent="0.3">
      <c r="A281">
        <v>9</v>
      </c>
      <c r="B281">
        <v>1553.01</v>
      </c>
      <c r="C281">
        <f t="shared" si="5"/>
        <v>13977.09</v>
      </c>
    </row>
    <row r="282" spans="1:3" x14ac:dyDescent="0.3">
      <c r="A282">
        <v>8</v>
      </c>
      <c r="B282">
        <v>2962.81</v>
      </c>
      <c r="C282">
        <f t="shared" si="5"/>
        <v>23702.48</v>
      </c>
    </row>
    <row r="283" spans="1:3" x14ac:dyDescent="0.3">
      <c r="A283">
        <v>3</v>
      </c>
      <c r="B283">
        <v>2934.26</v>
      </c>
      <c r="C283">
        <f t="shared" si="5"/>
        <v>8802.7800000000007</v>
      </c>
    </row>
    <row r="284" spans="1:3" x14ac:dyDescent="0.3">
      <c r="A284">
        <v>3</v>
      </c>
      <c r="B284">
        <v>3425.97</v>
      </c>
      <c r="C284">
        <f t="shared" si="5"/>
        <v>10277.91</v>
      </c>
    </row>
    <row r="285" spans="1:3" x14ac:dyDescent="0.3">
      <c r="A285">
        <v>3</v>
      </c>
      <c r="B285">
        <v>1083.9000000000001</v>
      </c>
      <c r="C285">
        <f t="shared" si="5"/>
        <v>3251.7000000000003</v>
      </c>
    </row>
    <row r="286" spans="1:3" x14ac:dyDescent="0.3">
      <c r="A286">
        <v>4</v>
      </c>
      <c r="B286">
        <v>588.19000000000005</v>
      </c>
      <c r="C286">
        <f t="shared" si="5"/>
        <v>2352.7600000000002</v>
      </c>
    </row>
    <row r="287" spans="1:3" x14ac:dyDescent="0.3">
      <c r="A287">
        <v>7</v>
      </c>
      <c r="B287">
        <v>535.13</v>
      </c>
      <c r="C287">
        <f t="shared" si="5"/>
        <v>3745.91</v>
      </c>
    </row>
    <row r="288" spans="1:3" x14ac:dyDescent="0.3">
      <c r="A288">
        <v>8</v>
      </c>
      <c r="B288">
        <v>2449.63</v>
      </c>
      <c r="C288">
        <f t="shared" si="5"/>
        <v>19597.04</v>
      </c>
    </row>
    <row r="289" spans="1:3" x14ac:dyDescent="0.3">
      <c r="A289">
        <v>9</v>
      </c>
      <c r="B289">
        <v>4367.42</v>
      </c>
      <c r="C289">
        <f t="shared" si="5"/>
        <v>39306.78</v>
      </c>
    </row>
    <row r="290" spans="1:3" x14ac:dyDescent="0.3">
      <c r="A290">
        <v>1</v>
      </c>
      <c r="B290">
        <v>3048.12</v>
      </c>
      <c r="C290">
        <f t="shared" si="5"/>
        <v>3048.12</v>
      </c>
    </row>
    <row r="291" spans="1:3" x14ac:dyDescent="0.3">
      <c r="A291">
        <v>4</v>
      </c>
      <c r="B291">
        <v>1747.65</v>
      </c>
      <c r="C291">
        <f t="shared" si="5"/>
        <v>6990.6</v>
      </c>
    </row>
    <row r="292" spans="1:3" x14ac:dyDescent="0.3">
      <c r="A292">
        <v>8</v>
      </c>
      <c r="B292">
        <v>2835.49</v>
      </c>
      <c r="C292">
        <f t="shared" si="5"/>
        <v>22683.919999999998</v>
      </c>
    </row>
    <row r="293" spans="1:3" x14ac:dyDescent="0.3">
      <c r="A293">
        <v>4</v>
      </c>
      <c r="B293">
        <v>3412.98</v>
      </c>
      <c r="C293">
        <f t="shared" si="5"/>
        <v>13651.92</v>
      </c>
    </row>
    <row r="294" spans="1:3" x14ac:dyDescent="0.3">
      <c r="A294">
        <v>2</v>
      </c>
      <c r="B294">
        <v>769.68</v>
      </c>
      <c r="C294">
        <f t="shared" si="5"/>
        <v>1539.36</v>
      </c>
    </row>
    <row r="295" spans="1:3" x14ac:dyDescent="0.3">
      <c r="A295">
        <v>1</v>
      </c>
      <c r="B295">
        <v>4939.38</v>
      </c>
      <c r="C295">
        <f t="shared" si="5"/>
        <v>4939.38</v>
      </c>
    </row>
    <row r="296" spans="1:3" x14ac:dyDescent="0.3">
      <c r="A296">
        <v>5</v>
      </c>
      <c r="B296">
        <v>2340.17</v>
      </c>
      <c r="C296">
        <f t="shared" si="5"/>
        <v>11700.85</v>
      </c>
    </row>
    <row r="297" spans="1:3" x14ac:dyDescent="0.3">
      <c r="A297">
        <v>3</v>
      </c>
      <c r="B297">
        <v>1218.0999999999999</v>
      </c>
      <c r="C297">
        <f t="shared" si="5"/>
        <v>3654.2999999999997</v>
      </c>
    </row>
    <row r="298" spans="1:3" x14ac:dyDescent="0.3">
      <c r="A298">
        <v>7</v>
      </c>
      <c r="B298">
        <v>490.64</v>
      </c>
      <c r="C298">
        <f t="shared" si="5"/>
        <v>3434.48</v>
      </c>
    </row>
    <row r="299" spans="1:3" x14ac:dyDescent="0.3">
      <c r="A299">
        <v>4</v>
      </c>
      <c r="B299">
        <v>4520.18</v>
      </c>
      <c r="C299">
        <f t="shared" si="5"/>
        <v>18080.72</v>
      </c>
    </row>
    <row r="300" spans="1:3" x14ac:dyDescent="0.3">
      <c r="A300">
        <v>2</v>
      </c>
      <c r="B300">
        <v>2394.79</v>
      </c>
      <c r="C300">
        <f t="shared" si="5"/>
        <v>4789.58</v>
      </c>
    </row>
    <row r="301" spans="1:3" x14ac:dyDescent="0.3">
      <c r="A301">
        <v>3</v>
      </c>
      <c r="B301">
        <v>4847.74</v>
      </c>
      <c r="C301">
        <f t="shared" si="5"/>
        <v>14543.22</v>
      </c>
    </row>
    <row r="302" spans="1:3" x14ac:dyDescent="0.3">
      <c r="A302">
        <v>2</v>
      </c>
      <c r="B302">
        <v>3276.61</v>
      </c>
      <c r="C302">
        <f t="shared" si="5"/>
        <v>6553.22</v>
      </c>
    </row>
    <row r="303" spans="1:3" x14ac:dyDescent="0.3">
      <c r="A303">
        <v>6</v>
      </c>
      <c r="B303">
        <v>3446.15</v>
      </c>
      <c r="C303">
        <f t="shared" si="5"/>
        <v>20676.900000000001</v>
      </c>
    </row>
    <row r="304" spans="1:3" x14ac:dyDescent="0.3">
      <c r="A304">
        <v>10</v>
      </c>
      <c r="B304">
        <v>3936.75</v>
      </c>
      <c r="C304">
        <f t="shared" si="5"/>
        <v>39367.5</v>
      </c>
    </row>
    <row r="305" spans="1:3" x14ac:dyDescent="0.3">
      <c r="A305">
        <v>3</v>
      </c>
      <c r="B305">
        <v>1734.71</v>
      </c>
      <c r="C305">
        <f t="shared" si="5"/>
        <v>5204.13</v>
      </c>
    </row>
    <row r="306" spans="1:3" x14ac:dyDescent="0.3">
      <c r="A306">
        <v>9</v>
      </c>
      <c r="B306">
        <v>1119.52</v>
      </c>
      <c r="C306">
        <f t="shared" si="5"/>
        <v>10075.68</v>
      </c>
    </row>
    <row r="307" spans="1:3" x14ac:dyDescent="0.3">
      <c r="A307">
        <v>5</v>
      </c>
      <c r="B307">
        <v>94.01</v>
      </c>
      <c r="C307">
        <f t="shared" si="5"/>
        <v>470.05</v>
      </c>
    </row>
    <row r="308" spans="1:3" x14ac:dyDescent="0.3">
      <c r="A308">
        <v>3</v>
      </c>
      <c r="B308">
        <v>4412.05</v>
      </c>
      <c r="C308">
        <f t="shared" si="5"/>
        <v>13236.150000000001</v>
      </c>
    </row>
    <row r="309" spans="1:3" x14ac:dyDescent="0.3">
      <c r="A309">
        <v>3</v>
      </c>
      <c r="B309">
        <v>1558.63</v>
      </c>
      <c r="C309">
        <f t="shared" si="5"/>
        <v>4675.8900000000003</v>
      </c>
    </row>
    <row r="310" spans="1:3" x14ac:dyDescent="0.3">
      <c r="A310">
        <v>6</v>
      </c>
      <c r="B310">
        <v>2916.86</v>
      </c>
      <c r="C310">
        <f t="shared" si="5"/>
        <v>17501.16</v>
      </c>
    </row>
    <row r="311" spans="1:3" x14ac:dyDescent="0.3">
      <c r="A311">
        <v>2</v>
      </c>
      <c r="B311">
        <v>3830.28</v>
      </c>
      <c r="C311">
        <f t="shared" si="5"/>
        <v>7660.56</v>
      </c>
    </row>
    <row r="312" spans="1:3" x14ac:dyDescent="0.3">
      <c r="A312">
        <v>3</v>
      </c>
      <c r="B312">
        <v>859.49</v>
      </c>
      <c r="C312">
        <f t="shared" si="5"/>
        <v>2578.4700000000003</v>
      </c>
    </row>
    <row r="313" spans="1:3" x14ac:dyDescent="0.3">
      <c r="A313">
        <v>3</v>
      </c>
      <c r="B313">
        <v>4485.72</v>
      </c>
      <c r="C313">
        <f t="shared" si="5"/>
        <v>13457.16</v>
      </c>
    </row>
    <row r="314" spans="1:3" x14ac:dyDescent="0.3">
      <c r="A314">
        <v>10</v>
      </c>
      <c r="B314">
        <v>4521.1000000000004</v>
      </c>
      <c r="C314">
        <f t="shared" si="5"/>
        <v>45211</v>
      </c>
    </row>
    <row r="315" spans="1:3" x14ac:dyDescent="0.3">
      <c r="A315">
        <v>3</v>
      </c>
      <c r="B315">
        <v>3097.09</v>
      </c>
      <c r="C315">
        <f t="shared" si="5"/>
        <v>9291.27</v>
      </c>
    </row>
    <row r="316" spans="1:3" x14ac:dyDescent="0.3">
      <c r="A316">
        <v>7</v>
      </c>
      <c r="B316">
        <v>3588.03</v>
      </c>
      <c r="C316">
        <f t="shared" si="5"/>
        <v>25116.210000000003</v>
      </c>
    </row>
    <row r="317" spans="1:3" x14ac:dyDescent="0.3">
      <c r="A317">
        <v>5</v>
      </c>
      <c r="B317">
        <v>4072.9</v>
      </c>
      <c r="C317">
        <f t="shared" si="5"/>
        <v>20364.5</v>
      </c>
    </row>
    <row r="318" spans="1:3" x14ac:dyDescent="0.3">
      <c r="A318">
        <v>4</v>
      </c>
      <c r="B318">
        <v>720.78</v>
      </c>
      <c r="C318">
        <f t="shared" si="5"/>
        <v>2883.12</v>
      </c>
    </row>
    <row r="319" spans="1:3" x14ac:dyDescent="0.3">
      <c r="A319">
        <v>3</v>
      </c>
      <c r="B319">
        <v>2978.02</v>
      </c>
      <c r="C319">
        <f t="shared" si="5"/>
        <v>8934.06</v>
      </c>
    </row>
    <row r="320" spans="1:3" x14ac:dyDescent="0.3">
      <c r="A320">
        <v>2</v>
      </c>
      <c r="B320">
        <v>948.16</v>
      </c>
      <c r="C320">
        <f t="shared" si="5"/>
        <v>1896.32</v>
      </c>
    </row>
    <row r="321" spans="1:3" x14ac:dyDescent="0.3">
      <c r="A321">
        <v>6</v>
      </c>
      <c r="B321">
        <v>917.82</v>
      </c>
      <c r="C321">
        <f t="shared" si="5"/>
        <v>5506.92</v>
      </c>
    </row>
    <row r="322" spans="1:3" x14ac:dyDescent="0.3">
      <c r="A322">
        <v>3</v>
      </c>
      <c r="B322">
        <v>4951.47</v>
      </c>
      <c r="C322">
        <f t="shared" si="5"/>
        <v>14854.41</v>
      </c>
    </row>
    <row r="323" spans="1:3" x14ac:dyDescent="0.3">
      <c r="A323">
        <v>10</v>
      </c>
      <c r="B323">
        <v>397.41</v>
      </c>
      <c r="C323">
        <f t="shared" si="5"/>
        <v>3974.1000000000004</v>
      </c>
    </row>
    <row r="324" spans="1:3" x14ac:dyDescent="0.3">
      <c r="A324">
        <v>6</v>
      </c>
      <c r="B324">
        <v>4942.93</v>
      </c>
      <c r="C324">
        <f t="shared" ref="C324:C387" si="6">A324*B324</f>
        <v>29657.58</v>
      </c>
    </row>
    <row r="325" spans="1:3" x14ac:dyDescent="0.3">
      <c r="A325">
        <v>8</v>
      </c>
      <c r="B325">
        <v>1675.07</v>
      </c>
      <c r="C325">
        <f t="shared" si="6"/>
        <v>13400.56</v>
      </c>
    </row>
    <row r="326" spans="1:3" x14ac:dyDescent="0.3">
      <c r="A326">
        <v>5</v>
      </c>
      <c r="B326">
        <v>4245.41</v>
      </c>
      <c r="C326">
        <f t="shared" si="6"/>
        <v>21227.05</v>
      </c>
    </row>
    <row r="327" spans="1:3" x14ac:dyDescent="0.3">
      <c r="A327">
        <v>8</v>
      </c>
      <c r="B327">
        <v>1266.4000000000001</v>
      </c>
      <c r="C327">
        <f t="shared" si="6"/>
        <v>10131.200000000001</v>
      </c>
    </row>
    <row r="328" spans="1:3" x14ac:dyDescent="0.3">
      <c r="A328">
        <v>2</v>
      </c>
      <c r="B328">
        <v>2415.35</v>
      </c>
      <c r="C328">
        <f t="shared" si="6"/>
        <v>4830.7</v>
      </c>
    </row>
    <row r="329" spans="1:3" x14ac:dyDescent="0.3">
      <c r="A329">
        <v>1</v>
      </c>
      <c r="B329">
        <v>4868.6000000000004</v>
      </c>
      <c r="C329">
        <f t="shared" si="6"/>
        <v>4868.6000000000004</v>
      </c>
    </row>
    <row r="330" spans="1:3" x14ac:dyDescent="0.3">
      <c r="A330">
        <v>6</v>
      </c>
      <c r="B330">
        <v>192.49</v>
      </c>
      <c r="C330">
        <f t="shared" si="6"/>
        <v>1154.94</v>
      </c>
    </row>
    <row r="331" spans="1:3" x14ac:dyDescent="0.3">
      <c r="A331">
        <v>5</v>
      </c>
      <c r="B331">
        <v>3085.5</v>
      </c>
      <c r="C331">
        <f t="shared" si="6"/>
        <v>15427.5</v>
      </c>
    </row>
    <row r="332" spans="1:3" x14ac:dyDescent="0.3">
      <c r="A332">
        <v>1</v>
      </c>
      <c r="B332">
        <v>3445.19</v>
      </c>
      <c r="C332">
        <f t="shared" si="6"/>
        <v>3445.19</v>
      </c>
    </row>
    <row r="333" spans="1:3" x14ac:dyDescent="0.3">
      <c r="A333">
        <v>7</v>
      </c>
      <c r="B333">
        <v>4729.24</v>
      </c>
      <c r="C333">
        <f t="shared" si="6"/>
        <v>33104.68</v>
      </c>
    </row>
    <row r="334" spans="1:3" x14ac:dyDescent="0.3">
      <c r="A334">
        <v>5</v>
      </c>
      <c r="B334">
        <v>3491.38</v>
      </c>
      <c r="C334">
        <f t="shared" si="6"/>
        <v>17456.900000000001</v>
      </c>
    </row>
    <row r="335" spans="1:3" x14ac:dyDescent="0.3">
      <c r="A335">
        <v>10</v>
      </c>
      <c r="B335">
        <v>3056.54</v>
      </c>
      <c r="C335">
        <f t="shared" si="6"/>
        <v>30565.4</v>
      </c>
    </row>
    <row r="336" spans="1:3" x14ac:dyDescent="0.3">
      <c r="A336">
        <v>1</v>
      </c>
      <c r="B336">
        <v>1415.99</v>
      </c>
      <c r="C336">
        <f t="shared" si="6"/>
        <v>1415.99</v>
      </c>
    </row>
    <row r="337" spans="1:3" x14ac:dyDescent="0.3">
      <c r="A337">
        <v>4</v>
      </c>
      <c r="B337">
        <v>4243.46</v>
      </c>
      <c r="C337">
        <f t="shared" si="6"/>
        <v>16973.84</v>
      </c>
    </row>
    <row r="338" spans="1:3" x14ac:dyDescent="0.3">
      <c r="A338">
        <v>2</v>
      </c>
      <c r="B338">
        <v>3841.22</v>
      </c>
      <c r="C338">
        <f t="shared" si="6"/>
        <v>7682.44</v>
      </c>
    </row>
    <row r="339" spans="1:3" x14ac:dyDescent="0.3">
      <c r="A339">
        <v>9</v>
      </c>
      <c r="B339">
        <v>2018.05</v>
      </c>
      <c r="C339">
        <f t="shared" si="6"/>
        <v>18162.45</v>
      </c>
    </row>
    <row r="340" spans="1:3" x14ac:dyDescent="0.3">
      <c r="A340">
        <v>9</v>
      </c>
      <c r="B340">
        <v>4321.1000000000004</v>
      </c>
      <c r="C340">
        <f t="shared" si="6"/>
        <v>38889.9</v>
      </c>
    </row>
    <row r="341" spans="1:3" x14ac:dyDescent="0.3">
      <c r="A341">
        <v>10</v>
      </c>
      <c r="B341">
        <v>4758.4799999999996</v>
      </c>
      <c r="C341">
        <f t="shared" si="6"/>
        <v>47584.799999999996</v>
      </c>
    </row>
    <row r="342" spans="1:3" x14ac:dyDescent="0.3">
      <c r="A342">
        <v>1</v>
      </c>
      <c r="B342">
        <v>2295.27</v>
      </c>
      <c r="C342">
        <f t="shared" si="6"/>
        <v>2295.27</v>
      </c>
    </row>
    <row r="343" spans="1:3" x14ac:dyDescent="0.3">
      <c r="A343">
        <v>4</v>
      </c>
      <c r="B343">
        <v>991.92</v>
      </c>
      <c r="C343">
        <f t="shared" si="6"/>
        <v>3967.68</v>
      </c>
    </row>
    <row r="344" spans="1:3" x14ac:dyDescent="0.3">
      <c r="A344">
        <v>5</v>
      </c>
      <c r="B344">
        <v>4637.08</v>
      </c>
      <c r="C344">
        <f t="shared" si="6"/>
        <v>23185.4</v>
      </c>
    </row>
    <row r="345" spans="1:3" x14ac:dyDescent="0.3">
      <c r="A345">
        <v>7</v>
      </c>
      <c r="B345">
        <v>4424.0200000000004</v>
      </c>
      <c r="C345">
        <f t="shared" si="6"/>
        <v>30968.140000000003</v>
      </c>
    </row>
    <row r="346" spans="1:3" x14ac:dyDescent="0.3">
      <c r="A346">
        <v>10</v>
      </c>
      <c r="B346">
        <v>3635.01</v>
      </c>
      <c r="C346">
        <f t="shared" si="6"/>
        <v>36350.100000000006</v>
      </c>
    </row>
    <row r="347" spans="1:3" x14ac:dyDescent="0.3">
      <c r="A347">
        <v>10</v>
      </c>
      <c r="B347">
        <v>4992.3900000000003</v>
      </c>
      <c r="C347">
        <f t="shared" si="6"/>
        <v>49923.9</v>
      </c>
    </row>
    <row r="348" spans="1:3" x14ac:dyDescent="0.3">
      <c r="A348">
        <v>8</v>
      </c>
      <c r="B348">
        <v>695.29</v>
      </c>
      <c r="C348">
        <f t="shared" si="6"/>
        <v>5562.32</v>
      </c>
    </row>
    <row r="349" spans="1:3" x14ac:dyDescent="0.3">
      <c r="A349">
        <v>1</v>
      </c>
      <c r="B349">
        <v>3229.42</v>
      </c>
      <c r="C349">
        <f t="shared" si="6"/>
        <v>3229.42</v>
      </c>
    </row>
    <row r="350" spans="1:3" x14ac:dyDescent="0.3">
      <c r="A350">
        <v>1</v>
      </c>
      <c r="B350">
        <v>2756.08</v>
      </c>
      <c r="C350">
        <f t="shared" si="6"/>
        <v>2756.08</v>
      </c>
    </row>
    <row r="351" spans="1:3" x14ac:dyDescent="0.3">
      <c r="A351">
        <v>3</v>
      </c>
      <c r="B351">
        <v>3295.98</v>
      </c>
      <c r="C351">
        <f t="shared" si="6"/>
        <v>9887.94</v>
      </c>
    </row>
    <row r="352" spans="1:3" x14ac:dyDescent="0.3">
      <c r="A352">
        <v>2</v>
      </c>
      <c r="B352">
        <v>4366.03</v>
      </c>
      <c r="C352">
        <f t="shared" si="6"/>
        <v>8732.06</v>
      </c>
    </row>
    <row r="353" spans="1:3" x14ac:dyDescent="0.3">
      <c r="A353">
        <v>7</v>
      </c>
      <c r="B353">
        <v>4596.51</v>
      </c>
      <c r="C353">
        <f t="shared" si="6"/>
        <v>32175.57</v>
      </c>
    </row>
    <row r="354" spans="1:3" x14ac:dyDescent="0.3">
      <c r="A354">
        <v>9</v>
      </c>
      <c r="B354">
        <v>3184.46</v>
      </c>
      <c r="C354">
        <f t="shared" si="6"/>
        <v>28660.14</v>
      </c>
    </row>
    <row r="355" spans="1:3" x14ac:dyDescent="0.3">
      <c r="A355">
        <v>10</v>
      </c>
      <c r="B355">
        <v>377.6</v>
      </c>
      <c r="C355">
        <f t="shared" si="6"/>
        <v>3776</v>
      </c>
    </row>
    <row r="356" spans="1:3" x14ac:dyDescent="0.3">
      <c r="A356">
        <v>8</v>
      </c>
      <c r="B356">
        <v>663.92</v>
      </c>
      <c r="C356">
        <f t="shared" si="6"/>
        <v>5311.36</v>
      </c>
    </row>
    <row r="357" spans="1:3" x14ac:dyDescent="0.3">
      <c r="A357">
        <v>6</v>
      </c>
      <c r="B357">
        <v>522.48</v>
      </c>
      <c r="C357">
        <f t="shared" si="6"/>
        <v>3134.88</v>
      </c>
    </row>
    <row r="358" spans="1:3" x14ac:dyDescent="0.3">
      <c r="A358">
        <v>10</v>
      </c>
      <c r="B358">
        <v>4783.49</v>
      </c>
      <c r="C358">
        <f t="shared" si="6"/>
        <v>47834.899999999994</v>
      </c>
    </row>
    <row r="359" spans="1:3" x14ac:dyDescent="0.3">
      <c r="A359">
        <v>1</v>
      </c>
      <c r="B359">
        <v>3502.78</v>
      </c>
      <c r="C359">
        <f t="shared" si="6"/>
        <v>3502.78</v>
      </c>
    </row>
    <row r="360" spans="1:3" x14ac:dyDescent="0.3">
      <c r="A360">
        <v>3</v>
      </c>
      <c r="B360">
        <v>1902.97</v>
      </c>
      <c r="C360">
        <f t="shared" si="6"/>
        <v>5708.91</v>
      </c>
    </row>
    <row r="361" spans="1:3" x14ac:dyDescent="0.3">
      <c r="A361">
        <v>2</v>
      </c>
      <c r="B361">
        <v>4990.53</v>
      </c>
      <c r="C361">
        <f t="shared" si="6"/>
        <v>9981.06</v>
      </c>
    </row>
    <row r="362" spans="1:3" x14ac:dyDescent="0.3">
      <c r="A362">
        <v>4</v>
      </c>
      <c r="B362">
        <v>2385.5100000000002</v>
      </c>
      <c r="C362">
        <f t="shared" si="6"/>
        <v>9542.0400000000009</v>
      </c>
    </row>
    <row r="363" spans="1:3" x14ac:dyDescent="0.3">
      <c r="A363">
        <v>6</v>
      </c>
      <c r="B363">
        <v>4318.12</v>
      </c>
      <c r="C363">
        <f t="shared" si="6"/>
        <v>25908.720000000001</v>
      </c>
    </row>
    <row r="364" spans="1:3" x14ac:dyDescent="0.3">
      <c r="A364">
        <v>5</v>
      </c>
      <c r="B364">
        <v>4217.55</v>
      </c>
      <c r="C364">
        <f t="shared" si="6"/>
        <v>21087.75</v>
      </c>
    </row>
    <row r="365" spans="1:3" x14ac:dyDescent="0.3">
      <c r="A365">
        <v>10</v>
      </c>
      <c r="B365">
        <v>2435.7199999999998</v>
      </c>
      <c r="C365">
        <f t="shared" si="6"/>
        <v>24357.199999999997</v>
      </c>
    </row>
    <row r="366" spans="1:3" x14ac:dyDescent="0.3">
      <c r="A366">
        <v>2</v>
      </c>
      <c r="B366">
        <v>1010.66</v>
      </c>
      <c r="C366">
        <f t="shared" si="6"/>
        <v>2021.32</v>
      </c>
    </row>
    <row r="367" spans="1:3" x14ac:dyDescent="0.3">
      <c r="A367">
        <v>9</v>
      </c>
      <c r="B367">
        <v>1303.8800000000001</v>
      </c>
      <c r="C367">
        <f t="shared" si="6"/>
        <v>11734.920000000002</v>
      </c>
    </row>
    <row r="368" spans="1:3" x14ac:dyDescent="0.3">
      <c r="A368">
        <v>6</v>
      </c>
      <c r="B368">
        <v>4809.37</v>
      </c>
      <c r="C368">
        <f t="shared" si="6"/>
        <v>28856.22</v>
      </c>
    </row>
    <row r="369" spans="1:3" x14ac:dyDescent="0.3">
      <c r="A369">
        <v>4</v>
      </c>
      <c r="B369">
        <v>308.82</v>
      </c>
      <c r="C369">
        <f t="shared" si="6"/>
        <v>1235.28</v>
      </c>
    </row>
    <row r="370" spans="1:3" x14ac:dyDescent="0.3">
      <c r="A370">
        <v>5</v>
      </c>
      <c r="B370">
        <v>4333.4399999999996</v>
      </c>
      <c r="C370">
        <f t="shared" si="6"/>
        <v>21667.199999999997</v>
      </c>
    </row>
    <row r="371" spans="1:3" x14ac:dyDescent="0.3">
      <c r="A371">
        <v>9</v>
      </c>
      <c r="B371">
        <v>4676.76</v>
      </c>
      <c r="C371">
        <f t="shared" si="6"/>
        <v>42090.840000000004</v>
      </c>
    </row>
    <row r="372" spans="1:3" x14ac:dyDescent="0.3">
      <c r="A372">
        <v>8</v>
      </c>
      <c r="B372">
        <v>3193.98</v>
      </c>
      <c r="C372">
        <f t="shared" si="6"/>
        <v>25551.84</v>
      </c>
    </row>
    <row r="373" spans="1:3" x14ac:dyDescent="0.3">
      <c r="A373">
        <v>2</v>
      </c>
      <c r="B373">
        <v>2840.09</v>
      </c>
      <c r="C373">
        <f t="shared" si="6"/>
        <v>5680.18</v>
      </c>
    </row>
    <row r="374" spans="1:3" x14ac:dyDescent="0.3">
      <c r="A374">
        <v>2</v>
      </c>
      <c r="B374">
        <v>3264.99</v>
      </c>
      <c r="C374">
        <f t="shared" si="6"/>
        <v>6529.98</v>
      </c>
    </row>
    <row r="375" spans="1:3" x14ac:dyDescent="0.3">
      <c r="A375">
        <v>3</v>
      </c>
      <c r="B375">
        <v>3380.22</v>
      </c>
      <c r="C375">
        <f t="shared" si="6"/>
        <v>10140.66</v>
      </c>
    </row>
    <row r="376" spans="1:3" x14ac:dyDescent="0.3">
      <c r="A376">
        <v>7</v>
      </c>
      <c r="B376">
        <v>2131.0300000000002</v>
      </c>
      <c r="C376">
        <f t="shared" si="6"/>
        <v>14917.210000000001</v>
      </c>
    </row>
    <row r="377" spans="1:3" x14ac:dyDescent="0.3">
      <c r="A377">
        <v>7</v>
      </c>
      <c r="B377">
        <v>2294.7600000000002</v>
      </c>
      <c r="C377">
        <f t="shared" si="6"/>
        <v>16063.320000000002</v>
      </c>
    </row>
    <row r="378" spans="1:3" x14ac:dyDescent="0.3">
      <c r="A378">
        <v>8</v>
      </c>
      <c r="B378">
        <v>4526.37</v>
      </c>
      <c r="C378">
        <f t="shared" si="6"/>
        <v>36210.959999999999</v>
      </c>
    </row>
    <row r="379" spans="1:3" x14ac:dyDescent="0.3">
      <c r="A379">
        <v>3</v>
      </c>
      <c r="B379">
        <v>3594.16</v>
      </c>
      <c r="C379">
        <f t="shared" si="6"/>
        <v>10782.48</v>
      </c>
    </row>
    <row r="380" spans="1:3" x14ac:dyDescent="0.3">
      <c r="A380">
        <v>5</v>
      </c>
      <c r="B380">
        <v>1698.19</v>
      </c>
      <c r="C380">
        <f t="shared" si="6"/>
        <v>8490.9500000000007</v>
      </c>
    </row>
    <row r="381" spans="1:3" x14ac:dyDescent="0.3">
      <c r="A381">
        <v>9</v>
      </c>
      <c r="B381">
        <v>1188.8900000000001</v>
      </c>
      <c r="C381">
        <f t="shared" si="6"/>
        <v>10700.01</v>
      </c>
    </row>
    <row r="382" spans="1:3" x14ac:dyDescent="0.3">
      <c r="A382">
        <v>8</v>
      </c>
      <c r="B382">
        <v>1263.6400000000001</v>
      </c>
      <c r="C382">
        <f t="shared" si="6"/>
        <v>10109.120000000001</v>
      </c>
    </row>
    <row r="383" spans="1:3" x14ac:dyDescent="0.3">
      <c r="A383">
        <v>9</v>
      </c>
      <c r="B383">
        <v>2499.44</v>
      </c>
      <c r="C383">
        <f t="shared" si="6"/>
        <v>22494.959999999999</v>
      </c>
    </row>
    <row r="384" spans="1:3" x14ac:dyDescent="0.3">
      <c r="A384">
        <v>2</v>
      </c>
      <c r="B384">
        <v>687.98</v>
      </c>
      <c r="C384">
        <f t="shared" si="6"/>
        <v>1375.96</v>
      </c>
    </row>
    <row r="385" spans="1:3" x14ac:dyDescent="0.3">
      <c r="A385">
        <v>2</v>
      </c>
      <c r="B385">
        <v>3624.4</v>
      </c>
      <c r="C385">
        <f t="shared" si="6"/>
        <v>7248.8</v>
      </c>
    </row>
    <row r="386" spans="1:3" x14ac:dyDescent="0.3">
      <c r="A386">
        <v>1</v>
      </c>
      <c r="B386">
        <v>4056.97</v>
      </c>
      <c r="C386">
        <f t="shared" si="6"/>
        <v>4056.97</v>
      </c>
    </row>
    <row r="387" spans="1:3" x14ac:dyDescent="0.3">
      <c r="A387">
        <v>2</v>
      </c>
      <c r="B387">
        <v>3303.62</v>
      </c>
      <c r="C387">
        <f t="shared" si="6"/>
        <v>6607.24</v>
      </c>
    </row>
    <row r="388" spans="1:3" x14ac:dyDescent="0.3">
      <c r="A388">
        <v>4</v>
      </c>
      <c r="B388">
        <v>4131.21</v>
      </c>
      <c r="C388">
        <f t="shared" ref="C388:C451" si="7">A388*B388</f>
        <v>16524.84</v>
      </c>
    </row>
    <row r="389" spans="1:3" x14ac:dyDescent="0.3">
      <c r="A389">
        <v>5</v>
      </c>
      <c r="B389">
        <v>3127.04</v>
      </c>
      <c r="C389">
        <f t="shared" si="7"/>
        <v>15635.2</v>
      </c>
    </row>
    <row r="390" spans="1:3" x14ac:dyDescent="0.3">
      <c r="A390">
        <v>7</v>
      </c>
      <c r="B390">
        <v>3076.2</v>
      </c>
      <c r="C390">
        <f t="shared" si="7"/>
        <v>21533.399999999998</v>
      </c>
    </row>
    <row r="391" spans="1:3" x14ac:dyDescent="0.3">
      <c r="A391">
        <v>4</v>
      </c>
      <c r="B391">
        <v>734.93</v>
      </c>
      <c r="C391">
        <f t="shared" si="7"/>
        <v>2939.72</v>
      </c>
    </row>
    <row r="392" spans="1:3" x14ac:dyDescent="0.3">
      <c r="A392">
        <v>5</v>
      </c>
      <c r="B392">
        <v>1718.38</v>
      </c>
      <c r="C392">
        <f t="shared" si="7"/>
        <v>8591.9000000000015</v>
      </c>
    </row>
    <row r="393" spans="1:3" x14ac:dyDescent="0.3">
      <c r="A393">
        <v>5</v>
      </c>
      <c r="B393">
        <v>2233.6799999999998</v>
      </c>
      <c r="C393">
        <f t="shared" si="7"/>
        <v>11168.4</v>
      </c>
    </row>
    <row r="394" spans="1:3" x14ac:dyDescent="0.3">
      <c r="A394">
        <v>8</v>
      </c>
      <c r="B394">
        <v>2395.7199999999998</v>
      </c>
      <c r="C394">
        <f t="shared" si="7"/>
        <v>19165.759999999998</v>
      </c>
    </row>
    <row r="395" spans="1:3" x14ac:dyDescent="0.3">
      <c r="A395">
        <v>7</v>
      </c>
      <c r="B395">
        <v>1795.51</v>
      </c>
      <c r="C395">
        <f t="shared" si="7"/>
        <v>12568.57</v>
      </c>
    </row>
    <row r="396" spans="1:3" x14ac:dyDescent="0.3">
      <c r="A396">
        <v>5</v>
      </c>
      <c r="B396">
        <v>4117.1000000000004</v>
      </c>
      <c r="C396">
        <f t="shared" si="7"/>
        <v>20585.5</v>
      </c>
    </row>
    <row r="397" spans="1:3" x14ac:dyDescent="0.3">
      <c r="A397">
        <v>5</v>
      </c>
      <c r="B397">
        <v>3076.54</v>
      </c>
      <c r="C397">
        <f t="shared" si="7"/>
        <v>15382.7</v>
      </c>
    </row>
    <row r="398" spans="1:3" x14ac:dyDescent="0.3">
      <c r="A398">
        <v>5</v>
      </c>
      <c r="B398">
        <v>550.29999999999995</v>
      </c>
      <c r="C398">
        <f t="shared" si="7"/>
        <v>2751.5</v>
      </c>
    </row>
    <row r="399" spans="1:3" x14ac:dyDescent="0.3">
      <c r="A399">
        <v>10</v>
      </c>
      <c r="B399">
        <v>2959.8</v>
      </c>
      <c r="C399">
        <f t="shared" si="7"/>
        <v>29598</v>
      </c>
    </row>
    <row r="400" spans="1:3" x14ac:dyDescent="0.3">
      <c r="A400">
        <v>9</v>
      </c>
      <c r="B400">
        <v>1668.35</v>
      </c>
      <c r="C400">
        <f t="shared" si="7"/>
        <v>15015.15</v>
      </c>
    </row>
    <row r="401" spans="1:3" x14ac:dyDescent="0.3">
      <c r="A401">
        <v>5</v>
      </c>
      <c r="B401">
        <v>4101.8599999999997</v>
      </c>
      <c r="C401">
        <f t="shared" si="7"/>
        <v>20509.3</v>
      </c>
    </row>
    <row r="402" spans="1:3" x14ac:dyDescent="0.3">
      <c r="A402">
        <v>5</v>
      </c>
      <c r="B402">
        <v>1821.37</v>
      </c>
      <c r="C402">
        <f t="shared" si="7"/>
        <v>9106.8499999999985</v>
      </c>
    </row>
    <row r="403" spans="1:3" x14ac:dyDescent="0.3">
      <c r="A403">
        <v>8</v>
      </c>
      <c r="B403">
        <v>3397.82</v>
      </c>
      <c r="C403">
        <f t="shared" si="7"/>
        <v>27182.560000000001</v>
      </c>
    </row>
    <row r="404" spans="1:3" x14ac:dyDescent="0.3">
      <c r="A404">
        <v>5</v>
      </c>
      <c r="B404">
        <v>3558.96</v>
      </c>
      <c r="C404">
        <f t="shared" si="7"/>
        <v>17794.8</v>
      </c>
    </row>
    <row r="405" spans="1:3" x14ac:dyDescent="0.3">
      <c r="A405">
        <v>1</v>
      </c>
      <c r="B405">
        <v>3666.82</v>
      </c>
      <c r="C405">
        <f t="shared" si="7"/>
        <v>3666.82</v>
      </c>
    </row>
    <row r="406" spans="1:3" x14ac:dyDescent="0.3">
      <c r="A406">
        <v>8</v>
      </c>
      <c r="B406">
        <v>4575.6099999999997</v>
      </c>
      <c r="C406">
        <f t="shared" si="7"/>
        <v>36604.879999999997</v>
      </c>
    </row>
    <row r="407" spans="1:3" x14ac:dyDescent="0.3">
      <c r="A407">
        <v>8</v>
      </c>
      <c r="B407">
        <v>2143.35</v>
      </c>
      <c r="C407">
        <f t="shared" si="7"/>
        <v>17146.8</v>
      </c>
    </row>
    <row r="408" spans="1:3" x14ac:dyDescent="0.3">
      <c r="A408">
        <v>1</v>
      </c>
      <c r="B408">
        <v>4876.92</v>
      </c>
      <c r="C408">
        <f t="shared" si="7"/>
        <v>4876.92</v>
      </c>
    </row>
    <row r="409" spans="1:3" x14ac:dyDescent="0.3">
      <c r="A409">
        <v>5</v>
      </c>
      <c r="B409">
        <v>283.95999999999998</v>
      </c>
      <c r="C409">
        <f t="shared" si="7"/>
        <v>1419.8</v>
      </c>
    </row>
    <row r="410" spans="1:3" x14ac:dyDescent="0.3">
      <c r="A410">
        <v>2</v>
      </c>
      <c r="B410">
        <v>1462.68</v>
      </c>
      <c r="C410">
        <f t="shared" si="7"/>
        <v>2925.36</v>
      </c>
    </row>
    <row r="411" spans="1:3" x14ac:dyDescent="0.3">
      <c r="A411">
        <v>3</v>
      </c>
      <c r="B411">
        <v>2405.66</v>
      </c>
      <c r="C411">
        <f t="shared" si="7"/>
        <v>7216.98</v>
      </c>
    </row>
    <row r="412" spans="1:3" x14ac:dyDescent="0.3">
      <c r="A412">
        <v>1</v>
      </c>
      <c r="B412">
        <v>4547.2</v>
      </c>
      <c r="C412">
        <f t="shared" si="7"/>
        <v>4547.2</v>
      </c>
    </row>
    <row r="413" spans="1:3" x14ac:dyDescent="0.3">
      <c r="A413">
        <v>2</v>
      </c>
      <c r="B413">
        <v>988.09</v>
      </c>
      <c r="C413">
        <f t="shared" si="7"/>
        <v>1976.18</v>
      </c>
    </row>
    <row r="414" spans="1:3" x14ac:dyDescent="0.3">
      <c r="A414">
        <v>7</v>
      </c>
      <c r="B414">
        <v>2669.17</v>
      </c>
      <c r="C414">
        <f t="shared" si="7"/>
        <v>18684.190000000002</v>
      </c>
    </row>
    <row r="415" spans="1:3" x14ac:dyDescent="0.3">
      <c r="A415">
        <v>3</v>
      </c>
      <c r="B415">
        <v>2574.2600000000002</v>
      </c>
      <c r="C415">
        <f t="shared" si="7"/>
        <v>7722.7800000000007</v>
      </c>
    </row>
    <row r="416" spans="1:3" x14ac:dyDescent="0.3">
      <c r="A416">
        <v>9</v>
      </c>
      <c r="B416">
        <v>4495.6400000000003</v>
      </c>
      <c r="C416">
        <f t="shared" si="7"/>
        <v>40460.76</v>
      </c>
    </row>
    <row r="417" spans="1:3" x14ac:dyDescent="0.3">
      <c r="A417">
        <v>3</v>
      </c>
      <c r="B417">
        <v>4319.09</v>
      </c>
      <c r="C417">
        <f t="shared" si="7"/>
        <v>12957.27</v>
      </c>
    </row>
    <row r="418" spans="1:3" x14ac:dyDescent="0.3">
      <c r="A418">
        <v>2</v>
      </c>
      <c r="B418">
        <v>2671.86</v>
      </c>
      <c r="C418">
        <f t="shared" si="7"/>
        <v>5343.72</v>
      </c>
    </row>
    <row r="419" spans="1:3" x14ac:dyDescent="0.3">
      <c r="A419">
        <v>5</v>
      </c>
      <c r="B419">
        <v>2209.3200000000002</v>
      </c>
      <c r="C419">
        <f t="shared" si="7"/>
        <v>11046.6</v>
      </c>
    </row>
    <row r="420" spans="1:3" x14ac:dyDescent="0.3">
      <c r="A420">
        <v>3</v>
      </c>
      <c r="B420">
        <v>1119.47</v>
      </c>
      <c r="C420">
        <f t="shared" si="7"/>
        <v>3358.41</v>
      </c>
    </row>
    <row r="421" spans="1:3" x14ac:dyDescent="0.3">
      <c r="A421">
        <v>8</v>
      </c>
      <c r="B421">
        <v>286.33</v>
      </c>
      <c r="C421">
        <f t="shared" si="7"/>
        <v>2290.64</v>
      </c>
    </row>
    <row r="422" spans="1:3" x14ac:dyDescent="0.3">
      <c r="A422">
        <v>7</v>
      </c>
      <c r="B422">
        <v>2533.67</v>
      </c>
      <c r="C422">
        <f t="shared" si="7"/>
        <v>17735.690000000002</v>
      </c>
    </row>
    <row r="423" spans="1:3" x14ac:dyDescent="0.3">
      <c r="A423">
        <v>3</v>
      </c>
      <c r="B423">
        <v>73.38</v>
      </c>
      <c r="C423">
        <f t="shared" si="7"/>
        <v>220.14</v>
      </c>
    </row>
    <row r="424" spans="1:3" x14ac:dyDescent="0.3">
      <c r="A424">
        <v>7</v>
      </c>
      <c r="B424">
        <v>4785.2299999999996</v>
      </c>
      <c r="C424">
        <f t="shared" si="7"/>
        <v>33496.61</v>
      </c>
    </row>
    <row r="425" spans="1:3" x14ac:dyDescent="0.3">
      <c r="A425">
        <v>7</v>
      </c>
      <c r="B425">
        <v>3336.33</v>
      </c>
      <c r="C425">
        <f t="shared" si="7"/>
        <v>23354.309999999998</v>
      </c>
    </row>
    <row r="426" spans="1:3" x14ac:dyDescent="0.3">
      <c r="A426">
        <v>8</v>
      </c>
      <c r="B426">
        <v>1274.6199999999999</v>
      </c>
      <c r="C426">
        <f t="shared" si="7"/>
        <v>10196.959999999999</v>
      </c>
    </row>
    <row r="427" spans="1:3" x14ac:dyDescent="0.3">
      <c r="A427">
        <v>10</v>
      </c>
      <c r="B427">
        <v>1773.98</v>
      </c>
      <c r="C427">
        <f t="shared" si="7"/>
        <v>17739.8</v>
      </c>
    </row>
    <row r="428" spans="1:3" x14ac:dyDescent="0.3">
      <c r="A428">
        <v>2</v>
      </c>
      <c r="B428">
        <v>2754.84</v>
      </c>
      <c r="C428">
        <f t="shared" si="7"/>
        <v>5509.68</v>
      </c>
    </row>
    <row r="429" spans="1:3" x14ac:dyDescent="0.3">
      <c r="A429">
        <v>3</v>
      </c>
      <c r="B429">
        <v>241.34</v>
      </c>
      <c r="C429">
        <f t="shared" si="7"/>
        <v>724.02</v>
      </c>
    </row>
    <row r="430" spans="1:3" x14ac:dyDescent="0.3">
      <c r="A430">
        <v>10</v>
      </c>
      <c r="B430">
        <v>3299.52</v>
      </c>
      <c r="C430">
        <f t="shared" si="7"/>
        <v>32995.199999999997</v>
      </c>
    </row>
    <row r="431" spans="1:3" x14ac:dyDescent="0.3">
      <c r="A431">
        <v>4</v>
      </c>
      <c r="B431">
        <v>2700.49</v>
      </c>
      <c r="C431">
        <f t="shared" si="7"/>
        <v>10801.96</v>
      </c>
    </row>
    <row r="432" spans="1:3" x14ac:dyDescent="0.3">
      <c r="A432">
        <v>8</v>
      </c>
      <c r="B432">
        <v>3363.51</v>
      </c>
      <c r="C432">
        <f t="shared" si="7"/>
        <v>26908.080000000002</v>
      </c>
    </row>
    <row r="433" spans="1:3" x14ac:dyDescent="0.3">
      <c r="A433">
        <v>7</v>
      </c>
      <c r="B433">
        <v>534.19000000000005</v>
      </c>
      <c r="C433">
        <f t="shared" si="7"/>
        <v>3739.3300000000004</v>
      </c>
    </row>
    <row r="434" spans="1:3" x14ac:dyDescent="0.3">
      <c r="A434">
        <v>6</v>
      </c>
      <c r="B434">
        <v>383.34</v>
      </c>
      <c r="C434">
        <f t="shared" si="7"/>
        <v>2300.04</v>
      </c>
    </row>
    <row r="435" spans="1:3" x14ac:dyDescent="0.3">
      <c r="A435">
        <v>5</v>
      </c>
      <c r="B435">
        <v>2801.91</v>
      </c>
      <c r="C435">
        <f t="shared" si="7"/>
        <v>14009.55</v>
      </c>
    </row>
    <row r="436" spans="1:3" x14ac:dyDescent="0.3">
      <c r="A436">
        <v>9</v>
      </c>
      <c r="B436">
        <v>4414.62</v>
      </c>
      <c r="C436">
        <f t="shared" si="7"/>
        <v>39731.58</v>
      </c>
    </row>
    <row r="437" spans="1:3" x14ac:dyDescent="0.3">
      <c r="A437">
        <v>5</v>
      </c>
      <c r="B437">
        <v>2399.8000000000002</v>
      </c>
      <c r="C437">
        <f t="shared" si="7"/>
        <v>11999</v>
      </c>
    </row>
    <row r="438" spans="1:3" x14ac:dyDescent="0.3">
      <c r="A438">
        <v>4</v>
      </c>
      <c r="B438">
        <v>3427.73</v>
      </c>
      <c r="C438">
        <f t="shared" si="7"/>
        <v>13710.92</v>
      </c>
    </row>
    <row r="439" spans="1:3" x14ac:dyDescent="0.3">
      <c r="A439">
        <v>9</v>
      </c>
      <c r="B439">
        <v>3499.97</v>
      </c>
      <c r="C439">
        <f t="shared" si="7"/>
        <v>31499.73</v>
      </c>
    </row>
    <row r="440" spans="1:3" x14ac:dyDescent="0.3">
      <c r="A440">
        <v>10</v>
      </c>
      <c r="B440">
        <v>477.03</v>
      </c>
      <c r="C440">
        <f t="shared" si="7"/>
        <v>4770.2999999999993</v>
      </c>
    </row>
    <row r="441" spans="1:3" x14ac:dyDescent="0.3">
      <c r="A441">
        <v>1</v>
      </c>
      <c r="B441">
        <v>4227.1000000000004</v>
      </c>
      <c r="C441">
        <f t="shared" si="7"/>
        <v>4227.1000000000004</v>
      </c>
    </row>
    <row r="442" spans="1:3" x14ac:dyDescent="0.3">
      <c r="A442">
        <v>3</v>
      </c>
      <c r="B442">
        <v>243.28</v>
      </c>
      <c r="C442">
        <f t="shared" si="7"/>
        <v>729.84</v>
      </c>
    </row>
    <row r="443" spans="1:3" x14ac:dyDescent="0.3">
      <c r="A443">
        <v>2</v>
      </c>
      <c r="B443">
        <v>4864.8</v>
      </c>
      <c r="C443">
        <f t="shared" si="7"/>
        <v>9729.6</v>
      </c>
    </row>
    <row r="444" spans="1:3" x14ac:dyDescent="0.3">
      <c r="A444">
        <v>3</v>
      </c>
      <c r="B444">
        <v>2111.5700000000002</v>
      </c>
      <c r="C444">
        <f t="shared" si="7"/>
        <v>6334.7100000000009</v>
      </c>
    </row>
    <row r="445" spans="1:3" x14ac:dyDescent="0.3">
      <c r="A445">
        <v>3</v>
      </c>
      <c r="B445">
        <v>1766.55</v>
      </c>
      <c r="C445">
        <f t="shared" si="7"/>
        <v>5299.65</v>
      </c>
    </row>
    <row r="446" spans="1:3" x14ac:dyDescent="0.3">
      <c r="A446">
        <v>10</v>
      </c>
      <c r="B446">
        <v>2698.08</v>
      </c>
      <c r="C446">
        <f t="shared" si="7"/>
        <v>26980.799999999999</v>
      </c>
    </row>
    <row r="447" spans="1:3" x14ac:dyDescent="0.3">
      <c r="A447">
        <v>4</v>
      </c>
      <c r="B447">
        <v>132.38999999999999</v>
      </c>
      <c r="C447">
        <f t="shared" si="7"/>
        <v>529.55999999999995</v>
      </c>
    </row>
    <row r="448" spans="1:3" x14ac:dyDescent="0.3">
      <c r="A448">
        <v>4</v>
      </c>
      <c r="B448">
        <v>2243.44</v>
      </c>
      <c r="C448">
        <f t="shared" si="7"/>
        <v>8973.76</v>
      </c>
    </row>
    <row r="449" spans="1:3" x14ac:dyDescent="0.3">
      <c r="A449">
        <v>2</v>
      </c>
      <c r="B449">
        <v>2145.73</v>
      </c>
      <c r="C449">
        <f t="shared" si="7"/>
        <v>4291.46</v>
      </c>
    </row>
    <row r="450" spans="1:3" x14ac:dyDescent="0.3">
      <c r="A450">
        <v>6</v>
      </c>
      <c r="B450">
        <v>1916.87</v>
      </c>
      <c r="C450">
        <f t="shared" si="7"/>
        <v>11501.22</v>
      </c>
    </row>
    <row r="451" spans="1:3" x14ac:dyDescent="0.3">
      <c r="A451">
        <v>1</v>
      </c>
      <c r="B451">
        <v>3596.52</v>
      </c>
      <c r="C451">
        <f t="shared" si="7"/>
        <v>3596.52</v>
      </c>
    </row>
    <row r="452" spans="1:3" x14ac:dyDescent="0.3">
      <c r="A452">
        <v>5</v>
      </c>
      <c r="B452">
        <v>634.72</v>
      </c>
      <c r="C452">
        <f t="shared" ref="C452:C515" si="8">A452*B452</f>
        <v>3173.6000000000004</v>
      </c>
    </row>
    <row r="453" spans="1:3" x14ac:dyDescent="0.3">
      <c r="A453">
        <v>6</v>
      </c>
      <c r="B453">
        <v>4622</v>
      </c>
      <c r="C453">
        <f t="shared" si="8"/>
        <v>27732</v>
      </c>
    </row>
    <row r="454" spans="1:3" x14ac:dyDescent="0.3">
      <c r="A454">
        <v>7</v>
      </c>
      <c r="B454">
        <v>3568.02</v>
      </c>
      <c r="C454">
        <f t="shared" si="8"/>
        <v>24976.14</v>
      </c>
    </row>
    <row r="455" spans="1:3" x14ac:dyDescent="0.3">
      <c r="A455">
        <v>7</v>
      </c>
      <c r="B455">
        <v>577.44000000000005</v>
      </c>
      <c r="C455">
        <f t="shared" si="8"/>
        <v>4042.0800000000004</v>
      </c>
    </row>
    <row r="456" spans="1:3" x14ac:dyDescent="0.3">
      <c r="A456">
        <v>6</v>
      </c>
      <c r="B456">
        <v>774.78</v>
      </c>
      <c r="C456">
        <f t="shared" si="8"/>
        <v>4648.68</v>
      </c>
    </row>
    <row r="457" spans="1:3" x14ac:dyDescent="0.3">
      <c r="A457">
        <v>7</v>
      </c>
      <c r="B457">
        <v>2139.63</v>
      </c>
      <c r="C457">
        <f t="shared" si="8"/>
        <v>14977.41</v>
      </c>
    </row>
    <row r="458" spans="1:3" x14ac:dyDescent="0.3">
      <c r="A458">
        <v>4</v>
      </c>
      <c r="B458">
        <v>3573.71</v>
      </c>
      <c r="C458">
        <f t="shared" si="8"/>
        <v>14294.84</v>
      </c>
    </row>
    <row r="459" spans="1:3" x14ac:dyDescent="0.3">
      <c r="A459">
        <v>5</v>
      </c>
      <c r="B459">
        <v>1894.23</v>
      </c>
      <c r="C459">
        <f t="shared" si="8"/>
        <v>9471.15</v>
      </c>
    </row>
    <row r="460" spans="1:3" x14ac:dyDescent="0.3">
      <c r="A460">
        <v>1</v>
      </c>
      <c r="B460">
        <v>706.26</v>
      </c>
      <c r="C460">
        <f t="shared" si="8"/>
        <v>706.26</v>
      </c>
    </row>
    <row r="461" spans="1:3" x14ac:dyDescent="0.3">
      <c r="A461">
        <v>2</v>
      </c>
      <c r="B461">
        <v>3748.68</v>
      </c>
      <c r="C461">
        <f t="shared" si="8"/>
        <v>7497.36</v>
      </c>
    </row>
    <row r="462" spans="1:3" x14ac:dyDescent="0.3">
      <c r="A462">
        <v>4</v>
      </c>
      <c r="B462">
        <v>1000.84</v>
      </c>
      <c r="C462">
        <f t="shared" si="8"/>
        <v>4003.36</v>
      </c>
    </row>
    <row r="463" spans="1:3" x14ac:dyDescent="0.3">
      <c r="A463">
        <v>10</v>
      </c>
      <c r="B463">
        <v>1702.55</v>
      </c>
      <c r="C463">
        <f t="shared" si="8"/>
        <v>17025.5</v>
      </c>
    </row>
    <row r="464" spans="1:3" x14ac:dyDescent="0.3">
      <c r="A464">
        <v>2</v>
      </c>
      <c r="B464">
        <v>2950.35</v>
      </c>
      <c r="C464">
        <f t="shared" si="8"/>
        <v>5900.7</v>
      </c>
    </row>
    <row r="465" spans="1:3" x14ac:dyDescent="0.3">
      <c r="A465">
        <v>3</v>
      </c>
      <c r="B465">
        <v>3240.7</v>
      </c>
      <c r="C465">
        <f t="shared" si="8"/>
        <v>9722.0999999999985</v>
      </c>
    </row>
    <row r="466" spans="1:3" x14ac:dyDescent="0.3">
      <c r="A466">
        <v>8</v>
      </c>
      <c r="B466">
        <v>4717.29</v>
      </c>
      <c r="C466">
        <f t="shared" si="8"/>
        <v>37738.32</v>
      </c>
    </row>
    <row r="467" spans="1:3" x14ac:dyDescent="0.3">
      <c r="A467">
        <v>3</v>
      </c>
      <c r="B467">
        <v>3136.63</v>
      </c>
      <c r="C467">
        <f t="shared" si="8"/>
        <v>9409.89</v>
      </c>
    </row>
    <row r="468" spans="1:3" x14ac:dyDescent="0.3">
      <c r="A468">
        <v>6</v>
      </c>
      <c r="B468">
        <v>4084.87</v>
      </c>
      <c r="C468">
        <f t="shared" si="8"/>
        <v>24509.22</v>
      </c>
    </row>
    <row r="469" spans="1:3" x14ac:dyDescent="0.3">
      <c r="A469">
        <v>1</v>
      </c>
      <c r="B469">
        <v>1687.77</v>
      </c>
      <c r="C469">
        <f t="shared" si="8"/>
        <v>1687.77</v>
      </c>
    </row>
    <row r="470" spans="1:3" x14ac:dyDescent="0.3">
      <c r="A470">
        <v>1</v>
      </c>
      <c r="B470">
        <v>4385.3100000000004</v>
      </c>
      <c r="C470">
        <f t="shared" si="8"/>
        <v>4385.3100000000004</v>
      </c>
    </row>
    <row r="471" spans="1:3" x14ac:dyDescent="0.3">
      <c r="A471">
        <v>1</v>
      </c>
      <c r="B471">
        <v>3444.01</v>
      </c>
      <c r="C471">
        <f t="shared" si="8"/>
        <v>3444.01</v>
      </c>
    </row>
    <row r="472" spans="1:3" x14ac:dyDescent="0.3">
      <c r="A472">
        <v>3</v>
      </c>
      <c r="B472">
        <v>742.79</v>
      </c>
      <c r="C472">
        <f t="shared" si="8"/>
        <v>2228.37</v>
      </c>
    </row>
    <row r="473" spans="1:3" x14ac:dyDescent="0.3">
      <c r="A473">
        <v>4</v>
      </c>
      <c r="B473">
        <v>1157.97</v>
      </c>
      <c r="C473">
        <f t="shared" si="8"/>
        <v>4631.88</v>
      </c>
    </row>
    <row r="474" spans="1:3" x14ac:dyDescent="0.3">
      <c r="A474">
        <v>3</v>
      </c>
      <c r="B474">
        <v>4628.12</v>
      </c>
      <c r="C474">
        <f t="shared" si="8"/>
        <v>13884.36</v>
      </c>
    </row>
    <row r="475" spans="1:3" x14ac:dyDescent="0.3">
      <c r="A475">
        <v>10</v>
      </c>
      <c r="B475">
        <v>3076.48</v>
      </c>
      <c r="C475">
        <f t="shared" si="8"/>
        <v>30764.799999999999</v>
      </c>
    </row>
    <row r="476" spans="1:3" x14ac:dyDescent="0.3">
      <c r="A476">
        <v>2</v>
      </c>
      <c r="B476">
        <v>2093.71</v>
      </c>
      <c r="C476">
        <f t="shared" si="8"/>
        <v>4187.42</v>
      </c>
    </row>
    <row r="477" spans="1:3" x14ac:dyDescent="0.3">
      <c r="A477">
        <v>5</v>
      </c>
      <c r="B477">
        <v>3336.71</v>
      </c>
      <c r="C477">
        <f t="shared" si="8"/>
        <v>16683.55</v>
      </c>
    </row>
    <row r="478" spans="1:3" x14ac:dyDescent="0.3">
      <c r="A478">
        <v>1</v>
      </c>
      <c r="B478">
        <v>3364.79</v>
      </c>
      <c r="C478">
        <f t="shared" si="8"/>
        <v>3364.79</v>
      </c>
    </row>
    <row r="479" spans="1:3" x14ac:dyDescent="0.3">
      <c r="A479">
        <v>1</v>
      </c>
      <c r="B479">
        <v>502.97</v>
      </c>
      <c r="C479">
        <f t="shared" si="8"/>
        <v>502.97</v>
      </c>
    </row>
    <row r="480" spans="1:3" x14ac:dyDescent="0.3">
      <c r="A480">
        <v>6</v>
      </c>
      <c r="B480">
        <v>3192.93</v>
      </c>
      <c r="C480">
        <f t="shared" si="8"/>
        <v>19157.579999999998</v>
      </c>
    </row>
    <row r="481" spans="1:3" x14ac:dyDescent="0.3">
      <c r="A481">
        <v>5</v>
      </c>
      <c r="B481">
        <v>3064.77</v>
      </c>
      <c r="C481">
        <f t="shared" si="8"/>
        <v>15323.85</v>
      </c>
    </row>
    <row r="482" spans="1:3" x14ac:dyDescent="0.3">
      <c r="A482">
        <v>10</v>
      </c>
      <c r="B482">
        <v>4756.04</v>
      </c>
      <c r="C482">
        <f t="shared" si="8"/>
        <v>47560.4</v>
      </c>
    </row>
    <row r="483" spans="1:3" x14ac:dyDescent="0.3">
      <c r="A483">
        <v>10</v>
      </c>
      <c r="B483">
        <v>2464.8200000000002</v>
      </c>
      <c r="C483">
        <f t="shared" si="8"/>
        <v>24648.2</v>
      </c>
    </row>
    <row r="484" spans="1:3" x14ac:dyDescent="0.3">
      <c r="A484">
        <v>8</v>
      </c>
      <c r="B484">
        <v>4877</v>
      </c>
      <c r="C484">
        <f t="shared" si="8"/>
        <v>39016</v>
      </c>
    </row>
    <row r="485" spans="1:3" x14ac:dyDescent="0.3">
      <c r="A485">
        <v>3</v>
      </c>
      <c r="B485">
        <v>4704.59</v>
      </c>
      <c r="C485">
        <f t="shared" si="8"/>
        <v>14113.77</v>
      </c>
    </row>
    <row r="486" spans="1:3" x14ac:dyDescent="0.3">
      <c r="A486">
        <v>7</v>
      </c>
      <c r="B486">
        <v>2749.52</v>
      </c>
      <c r="C486">
        <f t="shared" si="8"/>
        <v>19246.64</v>
      </c>
    </row>
    <row r="487" spans="1:3" x14ac:dyDescent="0.3">
      <c r="A487">
        <v>5</v>
      </c>
      <c r="B487">
        <v>3107.74</v>
      </c>
      <c r="C487">
        <f t="shared" si="8"/>
        <v>15538.699999999999</v>
      </c>
    </row>
    <row r="488" spans="1:3" x14ac:dyDescent="0.3">
      <c r="A488">
        <v>5</v>
      </c>
      <c r="B488">
        <v>3160.56</v>
      </c>
      <c r="C488">
        <f t="shared" si="8"/>
        <v>15802.8</v>
      </c>
    </row>
    <row r="489" spans="1:3" x14ac:dyDescent="0.3">
      <c r="A489">
        <v>4</v>
      </c>
      <c r="B489">
        <v>2044.27</v>
      </c>
      <c r="C489">
        <f t="shared" si="8"/>
        <v>8177.08</v>
      </c>
    </row>
    <row r="490" spans="1:3" x14ac:dyDescent="0.3">
      <c r="A490">
        <v>2</v>
      </c>
      <c r="B490">
        <v>227.31</v>
      </c>
      <c r="C490">
        <f t="shared" si="8"/>
        <v>454.62</v>
      </c>
    </row>
    <row r="491" spans="1:3" x14ac:dyDescent="0.3">
      <c r="A491">
        <v>6</v>
      </c>
      <c r="B491">
        <v>4358.6499999999996</v>
      </c>
      <c r="C491">
        <f t="shared" si="8"/>
        <v>26151.899999999998</v>
      </c>
    </row>
    <row r="492" spans="1:3" x14ac:dyDescent="0.3">
      <c r="A492">
        <v>8</v>
      </c>
      <c r="B492">
        <v>4723.6000000000004</v>
      </c>
      <c r="C492">
        <f t="shared" si="8"/>
        <v>37788.800000000003</v>
      </c>
    </row>
    <row r="493" spans="1:3" x14ac:dyDescent="0.3">
      <c r="A493">
        <v>8</v>
      </c>
      <c r="B493">
        <v>59.46</v>
      </c>
      <c r="C493">
        <f t="shared" si="8"/>
        <v>475.68</v>
      </c>
    </row>
    <row r="494" spans="1:3" x14ac:dyDescent="0.3">
      <c r="A494">
        <v>9</v>
      </c>
      <c r="B494">
        <v>1432</v>
      </c>
      <c r="C494">
        <f t="shared" si="8"/>
        <v>12888</v>
      </c>
    </row>
    <row r="495" spans="1:3" x14ac:dyDescent="0.3">
      <c r="A495">
        <v>1</v>
      </c>
      <c r="B495">
        <v>3541.03</v>
      </c>
      <c r="C495">
        <f t="shared" si="8"/>
        <v>3541.03</v>
      </c>
    </row>
    <row r="496" spans="1:3" x14ac:dyDescent="0.3">
      <c r="A496">
        <v>9</v>
      </c>
      <c r="B496">
        <v>3846.21</v>
      </c>
      <c r="C496">
        <f t="shared" si="8"/>
        <v>34615.89</v>
      </c>
    </row>
    <row r="497" spans="1:3" x14ac:dyDescent="0.3">
      <c r="A497">
        <v>10</v>
      </c>
      <c r="B497">
        <v>2046.44</v>
      </c>
      <c r="C497">
        <f t="shared" si="8"/>
        <v>20464.400000000001</v>
      </c>
    </row>
    <row r="498" spans="1:3" x14ac:dyDescent="0.3">
      <c r="A498">
        <v>9</v>
      </c>
      <c r="B498">
        <v>1459.37</v>
      </c>
      <c r="C498">
        <f t="shared" si="8"/>
        <v>13134.329999999998</v>
      </c>
    </row>
    <row r="499" spans="1:3" x14ac:dyDescent="0.3">
      <c r="A499">
        <v>9</v>
      </c>
      <c r="B499">
        <v>3736.59</v>
      </c>
      <c r="C499">
        <f t="shared" si="8"/>
        <v>33629.31</v>
      </c>
    </row>
    <row r="500" spans="1:3" x14ac:dyDescent="0.3">
      <c r="A500">
        <v>9</v>
      </c>
      <c r="B500">
        <v>3518.42</v>
      </c>
      <c r="C500">
        <f t="shared" si="8"/>
        <v>31665.78</v>
      </c>
    </row>
    <row r="501" spans="1:3" x14ac:dyDescent="0.3">
      <c r="A501">
        <v>9</v>
      </c>
      <c r="B501">
        <v>1520.49</v>
      </c>
      <c r="C501">
        <f t="shared" si="8"/>
        <v>13684.41</v>
      </c>
    </row>
    <row r="502" spans="1:3" x14ac:dyDescent="0.3">
      <c r="A502">
        <v>9</v>
      </c>
      <c r="B502">
        <v>3902.52</v>
      </c>
      <c r="C502">
        <f t="shared" si="8"/>
        <v>35122.68</v>
      </c>
    </row>
    <row r="503" spans="1:3" x14ac:dyDescent="0.3">
      <c r="A503">
        <v>9</v>
      </c>
      <c r="B503">
        <v>1055.67</v>
      </c>
      <c r="C503">
        <f t="shared" si="8"/>
        <v>9501.0300000000007</v>
      </c>
    </row>
    <row r="504" spans="1:3" x14ac:dyDescent="0.3">
      <c r="A504">
        <v>7</v>
      </c>
      <c r="B504">
        <v>2948.72</v>
      </c>
      <c r="C504">
        <f t="shared" si="8"/>
        <v>20641.039999999997</v>
      </c>
    </row>
    <row r="505" spans="1:3" x14ac:dyDescent="0.3">
      <c r="A505">
        <v>4</v>
      </c>
      <c r="B505">
        <v>1813.99</v>
      </c>
      <c r="C505">
        <f t="shared" si="8"/>
        <v>7255.96</v>
      </c>
    </row>
    <row r="506" spans="1:3" x14ac:dyDescent="0.3">
      <c r="A506">
        <v>4</v>
      </c>
      <c r="B506">
        <v>4530.5</v>
      </c>
      <c r="C506">
        <f t="shared" si="8"/>
        <v>18122</v>
      </c>
    </row>
    <row r="507" spans="1:3" x14ac:dyDescent="0.3">
      <c r="A507">
        <v>9</v>
      </c>
      <c r="B507">
        <v>3993.7</v>
      </c>
      <c r="C507">
        <f t="shared" si="8"/>
        <v>35943.299999999996</v>
      </c>
    </row>
    <row r="508" spans="1:3" x14ac:dyDescent="0.3">
      <c r="A508">
        <v>4</v>
      </c>
      <c r="B508">
        <v>2550.66</v>
      </c>
      <c r="C508">
        <f t="shared" si="8"/>
        <v>10202.64</v>
      </c>
    </row>
    <row r="509" spans="1:3" x14ac:dyDescent="0.3">
      <c r="A509">
        <v>4</v>
      </c>
      <c r="B509">
        <v>3044.36</v>
      </c>
      <c r="C509">
        <f t="shared" si="8"/>
        <v>12177.44</v>
      </c>
    </row>
    <row r="510" spans="1:3" x14ac:dyDescent="0.3">
      <c r="A510">
        <v>8</v>
      </c>
      <c r="B510">
        <v>3425.99</v>
      </c>
      <c r="C510">
        <f t="shared" si="8"/>
        <v>27407.919999999998</v>
      </c>
    </row>
    <row r="511" spans="1:3" x14ac:dyDescent="0.3">
      <c r="A511">
        <v>8</v>
      </c>
      <c r="B511">
        <v>3994.16</v>
      </c>
      <c r="C511">
        <f t="shared" si="8"/>
        <v>31953.279999999999</v>
      </c>
    </row>
    <row r="512" spans="1:3" x14ac:dyDescent="0.3">
      <c r="A512">
        <v>3</v>
      </c>
      <c r="B512">
        <v>1538.94</v>
      </c>
      <c r="C512">
        <f t="shared" si="8"/>
        <v>4616.82</v>
      </c>
    </row>
    <row r="513" spans="1:3" x14ac:dyDescent="0.3">
      <c r="A513">
        <v>10</v>
      </c>
      <c r="B513">
        <v>2769.13</v>
      </c>
      <c r="C513">
        <f t="shared" si="8"/>
        <v>27691.300000000003</v>
      </c>
    </row>
    <row r="514" spans="1:3" x14ac:dyDescent="0.3">
      <c r="A514">
        <v>3</v>
      </c>
      <c r="B514">
        <v>4061.86</v>
      </c>
      <c r="C514">
        <f t="shared" si="8"/>
        <v>12185.58</v>
      </c>
    </row>
    <row r="515" spans="1:3" x14ac:dyDescent="0.3">
      <c r="A515">
        <v>9</v>
      </c>
      <c r="B515">
        <v>4327.68</v>
      </c>
      <c r="C515">
        <f t="shared" si="8"/>
        <v>38949.120000000003</v>
      </c>
    </row>
    <row r="516" spans="1:3" x14ac:dyDescent="0.3">
      <c r="A516">
        <v>5</v>
      </c>
      <c r="B516">
        <v>3333.94</v>
      </c>
      <c r="C516">
        <f t="shared" ref="C516:C579" si="9">A516*B516</f>
        <v>16669.7</v>
      </c>
    </row>
    <row r="517" spans="1:3" x14ac:dyDescent="0.3">
      <c r="A517">
        <v>6</v>
      </c>
      <c r="B517">
        <v>4366.91</v>
      </c>
      <c r="C517">
        <f t="shared" si="9"/>
        <v>26201.46</v>
      </c>
    </row>
    <row r="518" spans="1:3" x14ac:dyDescent="0.3">
      <c r="A518">
        <v>9</v>
      </c>
      <c r="B518">
        <v>2022.93</v>
      </c>
      <c r="C518">
        <f t="shared" si="9"/>
        <v>18206.37</v>
      </c>
    </row>
    <row r="519" spans="1:3" x14ac:dyDescent="0.3">
      <c r="A519">
        <v>4</v>
      </c>
      <c r="B519">
        <v>331.75</v>
      </c>
      <c r="C519">
        <f t="shared" si="9"/>
        <v>1327</v>
      </c>
    </row>
    <row r="520" spans="1:3" x14ac:dyDescent="0.3">
      <c r="A520">
        <v>2</v>
      </c>
      <c r="B520">
        <v>663.22</v>
      </c>
      <c r="C520">
        <f t="shared" si="9"/>
        <v>1326.44</v>
      </c>
    </row>
    <row r="521" spans="1:3" x14ac:dyDescent="0.3">
      <c r="A521">
        <v>1</v>
      </c>
      <c r="B521">
        <v>2432.7600000000002</v>
      </c>
      <c r="C521">
        <f t="shared" si="9"/>
        <v>2432.7600000000002</v>
      </c>
    </row>
    <row r="522" spans="1:3" x14ac:dyDescent="0.3">
      <c r="A522">
        <v>3</v>
      </c>
      <c r="B522">
        <v>335.47</v>
      </c>
      <c r="C522">
        <f t="shared" si="9"/>
        <v>1006.4100000000001</v>
      </c>
    </row>
    <row r="523" spans="1:3" x14ac:dyDescent="0.3">
      <c r="A523">
        <v>7</v>
      </c>
      <c r="B523">
        <v>2892.33</v>
      </c>
      <c r="C523">
        <f t="shared" si="9"/>
        <v>20246.309999999998</v>
      </c>
    </row>
    <row r="524" spans="1:3" x14ac:dyDescent="0.3">
      <c r="A524">
        <v>6</v>
      </c>
      <c r="B524">
        <v>304.11</v>
      </c>
      <c r="C524">
        <f t="shared" si="9"/>
        <v>1824.66</v>
      </c>
    </row>
    <row r="525" spans="1:3" x14ac:dyDescent="0.3">
      <c r="A525">
        <v>1</v>
      </c>
      <c r="B525">
        <v>1375.02</v>
      </c>
      <c r="C525">
        <f t="shared" si="9"/>
        <v>1375.02</v>
      </c>
    </row>
    <row r="526" spans="1:3" x14ac:dyDescent="0.3">
      <c r="A526">
        <v>5</v>
      </c>
      <c r="B526">
        <v>231.36</v>
      </c>
      <c r="C526">
        <f t="shared" si="9"/>
        <v>1156.8000000000002</v>
      </c>
    </row>
    <row r="527" spans="1:3" x14ac:dyDescent="0.3">
      <c r="A527">
        <v>10</v>
      </c>
      <c r="B527">
        <v>1637.55</v>
      </c>
      <c r="C527">
        <f t="shared" si="9"/>
        <v>16375.5</v>
      </c>
    </row>
    <row r="528" spans="1:3" x14ac:dyDescent="0.3">
      <c r="A528">
        <v>1</v>
      </c>
      <c r="B528">
        <v>2682.39</v>
      </c>
      <c r="C528">
        <f t="shared" si="9"/>
        <v>2682.39</v>
      </c>
    </row>
    <row r="529" spans="1:3" x14ac:dyDescent="0.3">
      <c r="A529">
        <v>1</v>
      </c>
      <c r="B529">
        <v>374.6</v>
      </c>
      <c r="C529">
        <f t="shared" si="9"/>
        <v>374.6</v>
      </c>
    </row>
    <row r="530" spans="1:3" x14ac:dyDescent="0.3">
      <c r="A530">
        <v>2</v>
      </c>
      <c r="B530">
        <v>3731.51</v>
      </c>
      <c r="C530">
        <f t="shared" si="9"/>
        <v>7463.02</v>
      </c>
    </row>
    <row r="531" spans="1:3" x14ac:dyDescent="0.3">
      <c r="A531">
        <v>7</v>
      </c>
      <c r="B531">
        <v>3449.88</v>
      </c>
      <c r="C531">
        <f t="shared" si="9"/>
        <v>24149.16</v>
      </c>
    </row>
    <row r="532" spans="1:3" x14ac:dyDescent="0.3">
      <c r="A532">
        <v>10</v>
      </c>
      <c r="B532">
        <v>1670.81</v>
      </c>
      <c r="C532">
        <f t="shared" si="9"/>
        <v>16708.099999999999</v>
      </c>
    </row>
    <row r="533" spans="1:3" x14ac:dyDescent="0.3">
      <c r="A533">
        <v>1</v>
      </c>
      <c r="B533">
        <v>1326.61</v>
      </c>
      <c r="C533">
        <f t="shared" si="9"/>
        <v>1326.61</v>
      </c>
    </row>
    <row r="534" spans="1:3" x14ac:dyDescent="0.3">
      <c r="A534">
        <v>3</v>
      </c>
      <c r="B534">
        <v>3453.86</v>
      </c>
      <c r="C534">
        <f t="shared" si="9"/>
        <v>10361.58</v>
      </c>
    </row>
    <row r="535" spans="1:3" x14ac:dyDescent="0.3">
      <c r="A535">
        <v>9</v>
      </c>
      <c r="B535">
        <v>2321.89</v>
      </c>
      <c r="C535">
        <f t="shared" si="9"/>
        <v>20897.009999999998</v>
      </c>
    </row>
    <row r="536" spans="1:3" x14ac:dyDescent="0.3">
      <c r="A536">
        <v>6</v>
      </c>
      <c r="B536">
        <v>4873.62</v>
      </c>
      <c r="C536">
        <f t="shared" si="9"/>
        <v>29241.72</v>
      </c>
    </row>
    <row r="537" spans="1:3" x14ac:dyDescent="0.3">
      <c r="A537">
        <v>3</v>
      </c>
      <c r="B537">
        <v>2793.6</v>
      </c>
      <c r="C537">
        <f t="shared" si="9"/>
        <v>8380.7999999999993</v>
      </c>
    </row>
    <row r="538" spans="1:3" x14ac:dyDescent="0.3">
      <c r="A538">
        <v>9</v>
      </c>
      <c r="B538">
        <v>1793.13</v>
      </c>
      <c r="C538">
        <f t="shared" si="9"/>
        <v>16138.170000000002</v>
      </c>
    </row>
    <row r="539" spans="1:3" x14ac:dyDescent="0.3">
      <c r="A539">
        <v>8</v>
      </c>
      <c r="B539">
        <v>1305.54</v>
      </c>
      <c r="C539">
        <f t="shared" si="9"/>
        <v>10444.32</v>
      </c>
    </row>
    <row r="540" spans="1:3" x14ac:dyDescent="0.3">
      <c r="A540">
        <v>2</v>
      </c>
      <c r="B540">
        <v>3236.32</v>
      </c>
      <c r="C540">
        <f t="shared" si="9"/>
        <v>6472.64</v>
      </c>
    </row>
    <row r="541" spans="1:3" x14ac:dyDescent="0.3">
      <c r="A541">
        <v>6</v>
      </c>
      <c r="B541">
        <v>4223.6400000000003</v>
      </c>
      <c r="C541">
        <f t="shared" si="9"/>
        <v>25341.840000000004</v>
      </c>
    </row>
    <row r="542" spans="1:3" x14ac:dyDescent="0.3">
      <c r="A542">
        <v>6</v>
      </c>
      <c r="B542">
        <v>1307.9000000000001</v>
      </c>
      <c r="C542">
        <f t="shared" si="9"/>
        <v>7847.4000000000005</v>
      </c>
    </row>
    <row r="543" spans="1:3" x14ac:dyDescent="0.3">
      <c r="A543">
        <v>4</v>
      </c>
      <c r="B543">
        <v>4139.93</v>
      </c>
      <c r="C543">
        <f t="shared" si="9"/>
        <v>16559.72</v>
      </c>
    </row>
    <row r="544" spans="1:3" x14ac:dyDescent="0.3">
      <c r="A544">
        <v>10</v>
      </c>
      <c r="B544">
        <v>4898.0200000000004</v>
      </c>
      <c r="C544">
        <f t="shared" si="9"/>
        <v>48980.200000000004</v>
      </c>
    </row>
    <row r="545" spans="1:3" x14ac:dyDescent="0.3">
      <c r="A545">
        <v>5</v>
      </c>
      <c r="B545">
        <v>4274.68</v>
      </c>
      <c r="C545">
        <f t="shared" si="9"/>
        <v>21373.4</v>
      </c>
    </row>
    <row r="546" spans="1:3" x14ac:dyDescent="0.3">
      <c r="A546">
        <v>2</v>
      </c>
      <c r="B546">
        <v>4228.76</v>
      </c>
      <c r="C546">
        <f t="shared" si="9"/>
        <v>8457.52</v>
      </c>
    </row>
    <row r="547" spans="1:3" x14ac:dyDescent="0.3">
      <c r="A547">
        <v>10</v>
      </c>
      <c r="B547">
        <v>4189.97</v>
      </c>
      <c r="C547">
        <f t="shared" si="9"/>
        <v>41899.700000000004</v>
      </c>
    </row>
    <row r="548" spans="1:3" x14ac:dyDescent="0.3">
      <c r="A548">
        <v>10</v>
      </c>
      <c r="B548">
        <v>1663.21</v>
      </c>
      <c r="C548">
        <f t="shared" si="9"/>
        <v>16632.099999999999</v>
      </c>
    </row>
    <row r="549" spans="1:3" x14ac:dyDescent="0.3">
      <c r="A549">
        <v>1</v>
      </c>
      <c r="B549">
        <v>2203.7199999999998</v>
      </c>
      <c r="C549">
        <f t="shared" si="9"/>
        <v>2203.7199999999998</v>
      </c>
    </row>
    <row r="550" spans="1:3" x14ac:dyDescent="0.3">
      <c r="A550">
        <v>3</v>
      </c>
      <c r="B550">
        <v>2417.8000000000002</v>
      </c>
      <c r="C550">
        <f t="shared" si="9"/>
        <v>7253.4000000000005</v>
      </c>
    </row>
    <row r="551" spans="1:3" x14ac:dyDescent="0.3">
      <c r="A551">
        <v>8</v>
      </c>
      <c r="B551">
        <v>4403.62</v>
      </c>
      <c r="C551">
        <f t="shared" si="9"/>
        <v>35228.959999999999</v>
      </c>
    </row>
    <row r="552" spans="1:3" x14ac:dyDescent="0.3">
      <c r="A552">
        <v>2</v>
      </c>
      <c r="B552">
        <v>1670.89</v>
      </c>
      <c r="C552">
        <f t="shared" si="9"/>
        <v>3341.78</v>
      </c>
    </row>
    <row r="553" spans="1:3" x14ac:dyDescent="0.3">
      <c r="A553">
        <v>5</v>
      </c>
      <c r="B553">
        <v>128.51</v>
      </c>
      <c r="C553">
        <f t="shared" si="9"/>
        <v>642.54999999999995</v>
      </c>
    </row>
    <row r="554" spans="1:3" x14ac:dyDescent="0.3">
      <c r="A554">
        <v>7</v>
      </c>
      <c r="B554">
        <v>1150.4100000000001</v>
      </c>
      <c r="C554">
        <f t="shared" si="9"/>
        <v>8052.8700000000008</v>
      </c>
    </row>
    <row r="555" spans="1:3" x14ac:dyDescent="0.3">
      <c r="A555">
        <v>8</v>
      </c>
      <c r="B555">
        <v>4731.78</v>
      </c>
      <c r="C555">
        <f t="shared" si="9"/>
        <v>37854.239999999998</v>
      </c>
    </row>
    <row r="556" spans="1:3" x14ac:dyDescent="0.3">
      <c r="A556">
        <v>3</v>
      </c>
      <c r="B556">
        <v>63.05</v>
      </c>
      <c r="C556">
        <f t="shared" si="9"/>
        <v>189.14999999999998</v>
      </c>
    </row>
    <row r="557" spans="1:3" x14ac:dyDescent="0.3">
      <c r="A557">
        <v>9</v>
      </c>
      <c r="B557">
        <v>415.49</v>
      </c>
      <c r="C557">
        <f t="shared" si="9"/>
        <v>3739.41</v>
      </c>
    </row>
    <row r="558" spans="1:3" x14ac:dyDescent="0.3">
      <c r="A558">
        <v>2</v>
      </c>
      <c r="B558">
        <v>3489.83</v>
      </c>
      <c r="C558">
        <f t="shared" si="9"/>
        <v>6979.66</v>
      </c>
    </row>
    <row r="559" spans="1:3" x14ac:dyDescent="0.3">
      <c r="A559">
        <v>10</v>
      </c>
      <c r="B559">
        <v>2640.62</v>
      </c>
      <c r="C559">
        <f t="shared" si="9"/>
        <v>26406.199999999997</v>
      </c>
    </row>
    <row r="560" spans="1:3" x14ac:dyDescent="0.3">
      <c r="A560">
        <v>1</v>
      </c>
      <c r="B560">
        <v>4228.5200000000004</v>
      </c>
      <c r="C560">
        <f t="shared" si="9"/>
        <v>4228.5200000000004</v>
      </c>
    </row>
    <row r="561" spans="1:3" x14ac:dyDescent="0.3">
      <c r="A561">
        <v>9</v>
      </c>
      <c r="B561">
        <v>4954.91</v>
      </c>
      <c r="C561">
        <f t="shared" si="9"/>
        <v>44594.19</v>
      </c>
    </row>
    <row r="562" spans="1:3" x14ac:dyDescent="0.3">
      <c r="A562">
        <v>1</v>
      </c>
      <c r="B562">
        <v>3342.11</v>
      </c>
      <c r="C562">
        <f t="shared" si="9"/>
        <v>3342.11</v>
      </c>
    </row>
    <row r="563" spans="1:3" x14ac:dyDescent="0.3">
      <c r="A563">
        <v>6</v>
      </c>
      <c r="B563">
        <v>3913.71</v>
      </c>
      <c r="C563">
        <f t="shared" si="9"/>
        <v>23482.260000000002</v>
      </c>
    </row>
    <row r="564" spans="1:3" x14ac:dyDescent="0.3">
      <c r="A564">
        <v>9</v>
      </c>
      <c r="B564">
        <v>1789.86</v>
      </c>
      <c r="C564">
        <f t="shared" si="9"/>
        <v>16108.74</v>
      </c>
    </row>
    <row r="565" spans="1:3" x14ac:dyDescent="0.3">
      <c r="A565">
        <v>8</v>
      </c>
      <c r="B565">
        <v>4907.4799999999996</v>
      </c>
      <c r="C565">
        <f t="shared" si="9"/>
        <v>39259.839999999997</v>
      </c>
    </row>
    <row r="566" spans="1:3" x14ac:dyDescent="0.3">
      <c r="A566">
        <v>9</v>
      </c>
      <c r="B566">
        <v>2335.91</v>
      </c>
      <c r="C566">
        <f t="shared" si="9"/>
        <v>21023.19</v>
      </c>
    </row>
    <row r="567" spans="1:3" x14ac:dyDescent="0.3">
      <c r="A567">
        <v>4</v>
      </c>
      <c r="B567">
        <v>3284.06</v>
      </c>
      <c r="C567">
        <f t="shared" si="9"/>
        <v>13136.24</v>
      </c>
    </row>
    <row r="568" spans="1:3" x14ac:dyDescent="0.3">
      <c r="A568">
        <v>7</v>
      </c>
      <c r="B568">
        <v>1001.59</v>
      </c>
      <c r="C568">
        <f t="shared" si="9"/>
        <v>7011.13</v>
      </c>
    </row>
    <row r="569" spans="1:3" x14ac:dyDescent="0.3">
      <c r="A569">
        <v>10</v>
      </c>
      <c r="B569">
        <v>459.88</v>
      </c>
      <c r="C569">
        <f t="shared" si="9"/>
        <v>4598.8</v>
      </c>
    </row>
    <row r="570" spans="1:3" x14ac:dyDescent="0.3">
      <c r="A570">
        <v>5</v>
      </c>
      <c r="B570">
        <v>3298.13</v>
      </c>
      <c r="C570">
        <f t="shared" si="9"/>
        <v>16490.650000000001</v>
      </c>
    </row>
    <row r="571" spans="1:3" x14ac:dyDescent="0.3">
      <c r="A571">
        <v>5</v>
      </c>
      <c r="B571">
        <v>1557.42</v>
      </c>
      <c r="C571">
        <f t="shared" si="9"/>
        <v>7787.1</v>
      </c>
    </row>
    <row r="572" spans="1:3" x14ac:dyDescent="0.3">
      <c r="A572">
        <v>4</v>
      </c>
      <c r="B572">
        <v>4948.2299999999996</v>
      </c>
      <c r="C572">
        <f t="shared" si="9"/>
        <v>19792.919999999998</v>
      </c>
    </row>
    <row r="573" spans="1:3" x14ac:dyDescent="0.3">
      <c r="A573">
        <v>8</v>
      </c>
      <c r="B573">
        <v>2318.52</v>
      </c>
      <c r="C573">
        <f t="shared" si="9"/>
        <v>18548.16</v>
      </c>
    </row>
    <row r="574" spans="1:3" x14ac:dyDescent="0.3">
      <c r="A574">
        <v>1</v>
      </c>
      <c r="B574">
        <v>2482.0500000000002</v>
      </c>
      <c r="C574">
        <f t="shared" si="9"/>
        <v>2482.0500000000002</v>
      </c>
    </row>
    <row r="575" spans="1:3" x14ac:dyDescent="0.3">
      <c r="A575">
        <v>1</v>
      </c>
      <c r="B575">
        <v>1322.5</v>
      </c>
      <c r="C575">
        <f t="shared" si="9"/>
        <v>1322.5</v>
      </c>
    </row>
    <row r="576" spans="1:3" x14ac:dyDescent="0.3">
      <c r="A576">
        <v>6</v>
      </c>
      <c r="B576">
        <v>508.92</v>
      </c>
      <c r="C576">
        <f t="shared" si="9"/>
        <v>3053.52</v>
      </c>
    </row>
    <row r="577" spans="1:3" x14ac:dyDescent="0.3">
      <c r="A577">
        <v>8</v>
      </c>
      <c r="B577">
        <v>601.52</v>
      </c>
      <c r="C577">
        <f t="shared" si="9"/>
        <v>4812.16</v>
      </c>
    </row>
    <row r="578" spans="1:3" x14ac:dyDescent="0.3">
      <c r="A578">
        <v>10</v>
      </c>
      <c r="B578">
        <v>3793.29</v>
      </c>
      <c r="C578">
        <f t="shared" si="9"/>
        <v>37932.9</v>
      </c>
    </row>
    <row r="579" spans="1:3" x14ac:dyDescent="0.3">
      <c r="A579">
        <v>6</v>
      </c>
      <c r="B579">
        <v>764.73</v>
      </c>
      <c r="C579">
        <f t="shared" si="9"/>
        <v>4588.38</v>
      </c>
    </row>
    <row r="580" spans="1:3" x14ac:dyDescent="0.3">
      <c r="A580">
        <v>10</v>
      </c>
      <c r="B580">
        <v>768.13</v>
      </c>
      <c r="C580">
        <f t="shared" ref="C580:C643" si="10">A580*B580</f>
        <v>7681.3</v>
      </c>
    </row>
    <row r="581" spans="1:3" x14ac:dyDescent="0.3">
      <c r="A581">
        <v>5</v>
      </c>
      <c r="B581">
        <v>432.65</v>
      </c>
      <c r="C581">
        <f t="shared" si="10"/>
        <v>2163.25</v>
      </c>
    </row>
    <row r="582" spans="1:3" x14ac:dyDescent="0.3">
      <c r="A582">
        <v>8</v>
      </c>
      <c r="B582">
        <v>3236.07</v>
      </c>
      <c r="C582">
        <f t="shared" si="10"/>
        <v>25888.560000000001</v>
      </c>
    </row>
    <row r="583" spans="1:3" x14ac:dyDescent="0.3">
      <c r="A583">
        <v>6</v>
      </c>
      <c r="B583">
        <v>2233.44</v>
      </c>
      <c r="C583">
        <f t="shared" si="10"/>
        <v>13400.64</v>
      </c>
    </row>
    <row r="584" spans="1:3" x14ac:dyDescent="0.3">
      <c r="A584">
        <v>2</v>
      </c>
      <c r="B584">
        <v>4201.3900000000003</v>
      </c>
      <c r="C584">
        <f t="shared" si="10"/>
        <v>8402.7800000000007</v>
      </c>
    </row>
    <row r="585" spans="1:3" x14ac:dyDescent="0.3">
      <c r="A585">
        <v>3</v>
      </c>
      <c r="B585">
        <v>1442.54</v>
      </c>
      <c r="C585">
        <f t="shared" si="10"/>
        <v>4327.62</v>
      </c>
    </row>
    <row r="586" spans="1:3" x14ac:dyDescent="0.3">
      <c r="A586">
        <v>7</v>
      </c>
      <c r="B586">
        <v>2248.9</v>
      </c>
      <c r="C586">
        <f t="shared" si="10"/>
        <v>15742.300000000001</v>
      </c>
    </row>
    <row r="587" spans="1:3" x14ac:dyDescent="0.3">
      <c r="A587">
        <v>9</v>
      </c>
      <c r="B587">
        <v>4009.63</v>
      </c>
      <c r="C587">
        <f t="shared" si="10"/>
        <v>36086.67</v>
      </c>
    </row>
    <row r="588" spans="1:3" x14ac:dyDescent="0.3">
      <c r="A588">
        <v>7</v>
      </c>
      <c r="B588">
        <v>3540.95</v>
      </c>
      <c r="C588">
        <f t="shared" si="10"/>
        <v>24786.649999999998</v>
      </c>
    </row>
    <row r="589" spans="1:3" x14ac:dyDescent="0.3">
      <c r="A589">
        <v>10</v>
      </c>
      <c r="B589">
        <v>4991.34</v>
      </c>
      <c r="C589">
        <f t="shared" si="10"/>
        <v>49913.4</v>
      </c>
    </row>
    <row r="590" spans="1:3" x14ac:dyDescent="0.3">
      <c r="A590">
        <v>6</v>
      </c>
      <c r="B590">
        <v>225.82</v>
      </c>
      <c r="C590">
        <f t="shared" si="10"/>
        <v>1354.92</v>
      </c>
    </row>
    <row r="591" spans="1:3" x14ac:dyDescent="0.3">
      <c r="A591">
        <v>1</v>
      </c>
      <c r="B591">
        <v>674.83</v>
      </c>
      <c r="C591">
        <f t="shared" si="10"/>
        <v>674.83</v>
      </c>
    </row>
    <row r="592" spans="1:3" x14ac:dyDescent="0.3">
      <c r="A592">
        <v>2</v>
      </c>
      <c r="B592">
        <v>1965.45</v>
      </c>
      <c r="C592">
        <f t="shared" si="10"/>
        <v>3930.9</v>
      </c>
    </row>
    <row r="593" spans="1:3" x14ac:dyDescent="0.3">
      <c r="A593">
        <v>5</v>
      </c>
      <c r="B593">
        <v>2799.44</v>
      </c>
      <c r="C593">
        <f t="shared" si="10"/>
        <v>13997.2</v>
      </c>
    </row>
    <row r="594" spans="1:3" x14ac:dyDescent="0.3">
      <c r="A594">
        <v>8</v>
      </c>
      <c r="B594">
        <v>4481.07</v>
      </c>
      <c r="C594">
        <f t="shared" si="10"/>
        <v>35848.559999999998</v>
      </c>
    </row>
    <row r="595" spans="1:3" x14ac:dyDescent="0.3">
      <c r="A595">
        <v>7</v>
      </c>
      <c r="B595">
        <v>1775.18</v>
      </c>
      <c r="C595">
        <f t="shared" si="10"/>
        <v>12426.26</v>
      </c>
    </row>
    <row r="596" spans="1:3" x14ac:dyDescent="0.3">
      <c r="A596">
        <v>7</v>
      </c>
      <c r="B596">
        <v>4546.79</v>
      </c>
      <c r="C596">
        <f t="shared" si="10"/>
        <v>31827.53</v>
      </c>
    </row>
    <row r="597" spans="1:3" x14ac:dyDescent="0.3">
      <c r="A597">
        <v>3</v>
      </c>
      <c r="B597">
        <v>96.88</v>
      </c>
      <c r="C597">
        <f t="shared" si="10"/>
        <v>290.64</v>
      </c>
    </row>
    <row r="598" spans="1:3" x14ac:dyDescent="0.3">
      <c r="A598">
        <v>9</v>
      </c>
      <c r="B598">
        <v>411.13</v>
      </c>
      <c r="C598">
        <f t="shared" si="10"/>
        <v>3700.17</v>
      </c>
    </row>
    <row r="599" spans="1:3" x14ac:dyDescent="0.3">
      <c r="A599">
        <v>1</v>
      </c>
      <c r="B599">
        <v>1082.58</v>
      </c>
      <c r="C599">
        <f t="shared" si="10"/>
        <v>1082.58</v>
      </c>
    </row>
    <row r="600" spans="1:3" x14ac:dyDescent="0.3">
      <c r="A600">
        <v>8</v>
      </c>
      <c r="B600">
        <v>2302.7800000000002</v>
      </c>
      <c r="C600">
        <f t="shared" si="10"/>
        <v>18422.240000000002</v>
      </c>
    </row>
    <row r="601" spans="1:3" x14ac:dyDescent="0.3">
      <c r="A601">
        <v>4</v>
      </c>
      <c r="B601">
        <v>2360.7399999999998</v>
      </c>
      <c r="C601">
        <f t="shared" si="10"/>
        <v>9442.9599999999991</v>
      </c>
    </row>
    <row r="602" spans="1:3" x14ac:dyDescent="0.3">
      <c r="A602">
        <v>1</v>
      </c>
      <c r="B602">
        <v>482.15</v>
      </c>
      <c r="C602">
        <f t="shared" si="10"/>
        <v>482.15</v>
      </c>
    </row>
    <row r="603" spans="1:3" x14ac:dyDescent="0.3">
      <c r="A603">
        <v>3</v>
      </c>
      <c r="B603">
        <v>2960.56</v>
      </c>
      <c r="C603">
        <f t="shared" si="10"/>
        <v>8881.68</v>
      </c>
    </row>
    <row r="604" spans="1:3" x14ac:dyDescent="0.3">
      <c r="A604">
        <v>5</v>
      </c>
      <c r="B604">
        <v>1466.18</v>
      </c>
      <c r="C604">
        <f t="shared" si="10"/>
        <v>7330.9000000000005</v>
      </c>
    </row>
    <row r="605" spans="1:3" x14ac:dyDescent="0.3">
      <c r="A605">
        <v>10</v>
      </c>
      <c r="B605">
        <v>4625.57</v>
      </c>
      <c r="C605">
        <f t="shared" si="10"/>
        <v>46255.7</v>
      </c>
    </row>
    <row r="606" spans="1:3" x14ac:dyDescent="0.3">
      <c r="A606">
        <v>8</v>
      </c>
      <c r="B606">
        <v>4944.78</v>
      </c>
      <c r="C606">
        <f t="shared" si="10"/>
        <v>39558.239999999998</v>
      </c>
    </row>
    <row r="607" spans="1:3" x14ac:dyDescent="0.3">
      <c r="A607">
        <v>9</v>
      </c>
      <c r="B607">
        <v>2286.73</v>
      </c>
      <c r="C607">
        <f t="shared" si="10"/>
        <v>20580.57</v>
      </c>
    </row>
    <row r="608" spans="1:3" x14ac:dyDescent="0.3">
      <c r="A608">
        <v>5</v>
      </c>
      <c r="B608">
        <v>2717.08</v>
      </c>
      <c r="C608">
        <f t="shared" si="10"/>
        <v>13585.4</v>
      </c>
    </row>
    <row r="609" spans="1:3" x14ac:dyDescent="0.3">
      <c r="A609">
        <v>1</v>
      </c>
      <c r="B609">
        <v>4101.21</v>
      </c>
      <c r="C609">
        <f t="shared" si="10"/>
        <v>4101.21</v>
      </c>
    </row>
    <row r="610" spans="1:3" x14ac:dyDescent="0.3">
      <c r="A610">
        <v>10</v>
      </c>
      <c r="B610">
        <v>2246.2399999999998</v>
      </c>
      <c r="C610">
        <f t="shared" si="10"/>
        <v>22462.399999999998</v>
      </c>
    </row>
    <row r="611" spans="1:3" x14ac:dyDescent="0.3">
      <c r="A611">
        <v>8</v>
      </c>
      <c r="B611">
        <v>3012.51</v>
      </c>
      <c r="C611">
        <f t="shared" si="10"/>
        <v>24100.080000000002</v>
      </c>
    </row>
    <row r="612" spans="1:3" x14ac:dyDescent="0.3">
      <c r="A612">
        <v>6</v>
      </c>
      <c r="B612">
        <v>4806.1099999999997</v>
      </c>
      <c r="C612">
        <f t="shared" si="10"/>
        <v>28836.659999999996</v>
      </c>
    </row>
    <row r="613" spans="1:3" x14ac:dyDescent="0.3">
      <c r="A613">
        <v>6</v>
      </c>
      <c r="B613">
        <v>3139.3</v>
      </c>
      <c r="C613">
        <f t="shared" si="10"/>
        <v>18835.800000000003</v>
      </c>
    </row>
    <row r="614" spans="1:3" x14ac:dyDescent="0.3">
      <c r="A614">
        <v>8</v>
      </c>
      <c r="B614">
        <v>1769.1</v>
      </c>
      <c r="C614">
        <f t="shared" si="10"/>
        <v>14152.8</v>
      </c>
    </row>
    <row r="615" spans="1:3" x14ac:dyDescent="0.3">
      <c r="A615">
        <v>3</v>
      </c>
      <c r="B615">
        <v>4679.6400000000003</v>
      </c>
      <c r="C615">
        <f t="shared" si="10"/>
        <v>14038.920000000002</v>
      </c>
    </row>
    <row r="616" spans="1:3" x14ac:dyDescent="0.3">
      <c r="A616">
        <v>8</v>
      </c>
      <c r="B616">
        <v>1577.83</v>
      </c>
      <c r="C616">
        <f t="shared" si="10"/>
        <v>12622.64</v>
      </c>
    </row>
    <row r="617" spans="1:3" x14ac:dyDescent="0.3">
      <c r="A617">
        <v>6</v>
      </c>
      <c r="B617">
        <v>4856.55</v>
      </c>
      <c r="C617">
        <f t="shared" si="10"/>
        <v>29139.300000000003</v>
      </c>
    </row>
    <row r="618" spans="1:3" x14ac:dyDescent="0.3">
      <c r="A618">
        <v>10</v>
      </c>
      <c r="B618">
        <v>326.76</v>
      </c>
      <c r="C618">
        <f t="shared" si="10"/>
        <v>3267.6</v>
      </c>
    </row>
    <row r="619" spans="1:3" x14ac:dyDescent="0.3">
      <c r="A619">
        <v>6</v>
      </c>
      <c r="B619">
        <v>3608.33</v>
      </c>
      <c r="C619">
        <f t="shared" si="10"/>
        <v>21649.98</v>
      </c>
    </row>
    <row r="620" spans="1:3" x14ac:dyDescent="0.3">
      <c r="A620">
        <v>9</v>
      </c>
      <c r="B620">
        <v>1808.81</v>
      </c>
      <c r="C620">
        <f t="shared" si="10"/>
        <v>16279.289999999999</v>
      </c>
    </row>
    <row r="621" spans="1:3" x14ac:dyDescent="0.3">
      <c r="A621">
        <v>8</v>
      </c>
      <c r="B621">
        <v>4509.7299999999996</v>
      </c>
      <c r="C621">
        <f t="shared" si="10"/>
        <v>36077.839999999997</v>
      </c>
    </row>
    <row r="622" spans="1:3" x14ac:dyDescent="0.3">
      <c r="A622">
        <v>7</v>
      </c>
      <c r="B622">
        <v>575.73</v>
      </c>
      <c r="C622">
        <f t="shared" si="10"/>
        <v>4030.11</v>
      </c>
    </row>
    <row r="623" spans="1:3" x14ac:dyDescent="0.3">
      <c r="A623">
        <v>5</v>
      </c>
      <c r="B623">
        <v>319.48</v>
      </c>
      <c r="C623">
        <f t="shared" si="10"/>
        <v>1597.4</v>
      </c>
    </row>
    <row r="624" spans="1:3" x14ac:dyDescent="0.3">
      <c r="A624">
        <v>10</v>
      </c>
      <c r="B624">
        <v>1313.82</v>
      </c>
      <c r="C624">
        <f t="shared" si="10"/>
        <v>13138.199999999999</v>
      </c>
    </row>
    <row r="625" spans="1:3" x14ac:dyDescent="0.3">
      <c r="A625">
        <v>7</v>
      </c>
      <c r="B625">
        <v>2064.23</v>
      </c>
      <c r="C625">
        <f t="shared" si="10"/>
        <v>14449.61</v>
      </c>
    </row>
    <row r="626" spans="1:3" x14ac:dyDescent="0.3">
      <c r="A626">
        <v>9</v>
      </c>
      <c r="B626">
        <v>2987.49</v>
      </c>
      <c r="C626">
        <f t="shared" si="10"/>
        <v>26887.409999999996</v>
      </c>
    </row>
    <row r="627" spans="1:3" x14ac:dyDescent="0.3">
      <c r="A627">
        <v>6</v>
      </c>
      <c r="B627">
        <v>4437.09</v>
      </c>
      <c r="C627">
        <f t="shared" si="10"/>
        <v>26622.54</v>
      </c>
    </row>
    <row r="628" spans="1:3" x14ac:dyDescent="0.3">
      <c r="A628">
        <v>7</v>
      </c>
      <c r="B628">
        <v>3127.87</v>
      </c>
      <c r="C628">
        <f t="shared" si="10"/>
        <v>21895.09</v>
      </c>
    </row>
    <row r="629" spans="1:3" x14ac:dyDescent="0.3">
      <c r="A629">
        <v>3</v>
      </c>
      <c r="B629">
        <v>1085.8599999999999</v>
      </c>
      <c r="C629">
        <f t="shared" si="10"/>
        <v>3257.58</v>
      </c>
    </row>
    <row r="630" spans="1:3" x14ac:dyDescent="0.3">
      <c r="A630">
        <v>1</v>
      </c>
      <c r="B630">
        <v>121.4</v>
      </c>
      <c r="C630">
        <f t="shared" si="10"/>
        <v>121.4</v>
      </c>
    </row>
    <row r="631" spans="1:3" x14ac:dyDescent="0.3">
      <c r="A631">
        <v>6</v>
      </c>
      <c r="B631">
        <v>4587.28</v>
      </c>
      <c r="C631">
        <f t="shared" si="10"/>
        <v>27523.68</v>
      </c>
    </row>
    <row r="632" spans="1:3" x14ac:dyDescent="0.3">
      <c r="A632">
        <v>7</v>
      </c>
      <c r="B632">
        <v>2787.13</v>
      </c>
      <c r="C632">
        <f t="shared" si="10"/>
        <v>19509.91</v>
      </c>
    </row>
    <row r="633" spans="1:3" x14ac:dyDescent="0.3">
      <c r="A633">
        <v>5</v>
      </c>
      <c r="B633">
        <v>2497.66</v>
      </c>
      <c r="C633">
        <f t="shared" si="10"/>
        <v>12488.3</v>
      </c>
    </row>
    <row r="634" spans="1:3" x14ac:dyDescent="0.3">
      <c r="A634">
        <v>6</v>
      </c>
      <c r="B634">
        <v>1277.0999999999999</v>
      </c>
      <c r="C634">
        <f t="shared" si="10"/>
        <v>7662.5999999999995</v>
      </c>
    </row>
    <row r="635" spans="1:3" x14ac:dyDescent="0.3">
      <c r="A635">
        <v>9</v>
      </c>
      <c r="B635">
        <v>3845.26</v>
      </c>
      <c r="C635">
        <f t="shared" si="10"/>
        <v>34607.340000000004</v>
      </c>
    </row>
    <row r="636" spans="1:3" x14ac:dyDescent="0.3">
      <c r="A636">
        <v>7</v>
      </c>
      <c r="B636">
        <v>1135.18</v>
      </c>
      <c r="C636">
        <f t="shared" si="10"/>
        <v>7946.26</v>
      </c>
    </row>
    <row r="637" spans="1:3" x14ac:dyDescent="0.3">
      <c r="A637">
        <v>6</v>
      </c>
      <c r="B637">
        <v>3532.4</v>
      </c>
      <c r="C637">
        <f t="shared" si="10"/>
        <v>21194.400000000001</v>
      </c>
    </row>
    <row r="638" spans="1:3" x14ac:dyDescent="0.3">
      <c r="A638">
        <v>6</v>
      </c>
      <c r="B638">
        <v>1855.23</v>
      </c>
      <c r="C638">
        <f t="shared" si="10"/>
        <v>11131.380000000001</v>
      </c>
    </row>
    <row r="639" spans="1:3" x14ac:dyDescent="0.3">
      <c r="A639">
        <v>7</v>
      </c>
      <c r="B639">
        <v>251.31</v>
      </c>
      <c r="C639">
        <f t="shared" si="10"/>
        <v>1759.17</v>
      </c>
    </row>
    <row r="640" spans="1:3" x14ac:dyDescent="0.3">
      <c r="A640">
        <v>3</v>
      </c>
      <c r="B640">
        <v>1150.77</v>
      </c>
      <c r="C640">
        <f t="shared" si="10"/>
        <v>3452.31</v>
      </c>
    </row>
    <row r="641" spans="1:3" x14ac:dyDescent="0.3">
      <c r="A641">
        <v>8</v>
      </c>
      <c r="B641">
        <v>2389.46</v>
      </c>
      <c r="C641">
        <f t="shared" si="10"/>
        <v>19115.68</v>
      </c>
    </row>
    <row r="642" spans="1:3" x14ac:dyDescent="0.3">
      <c r="A642">
        <v>4</v>
      </c>
      <c r="B642">
        <v>3780.24</v>
      </c>
      <c r="C642">
        <f t="shared" si="10"/>
        <v>15120.96</v>
      </c>
    </row>
    <row r="643" spans="1:3" x14ac:dyDescent="0.3">
      <c r="A643">
        <v>2</v>
      </c>
      <c r="B643">
        <v>93.8</v>
      </c>
      <c r="C643">
        <f t="shared" si="10"/>
        <v>187.6</v>
      </c>
    </row>
    <row r="644" spans="1:3" x14ac:dyDescent="0.3">
      <c r="A644">
        <v>8</v>
      </c>
      <c r="B644">
        <v>3493.53</v>
      </c>
      <c r="C644">
        <f t="shared" ref="C644:C707" si="11">A644*B644</f>
        <v>27948.240000000002</v>
      </c>
    </row>
    <row r="645" spans="1:3" x14ac:dyDescent="0.3">
      <c r="A645">
        <v>1</v>
      </c>
      <c r="B645">
        <v>99.65</v>
      </c>
      <c r="C645">
        <f t="shared" si="11"/>
        <v>99.65</v>
      </c>
    </row>
    <row r="646" spans="1:3" x14ac:dyDescent="0.3">
      <c r="A646">
        <v>10</v>
      </c>
      <c r="B646">
        <v>1802.73</v>
      </c>
      <c r="C646">
        <f t="shared" si="11"/>
        <v>18027.3</v>
      </c>
    </row>
    <row r="647" spans="1:3" x14ac:dyDescent="0.3">
      <c r="A647">
        <v>1</v>
      </c>
      <c r="B647">
        <v>1439.52</v>
      </c>
      <c r="C647">
        <f t="shared" si="11"/>
        <v>1439.52</v>
      </c>
    </row>
    <row r="648" spans="1:3" x14ac:dyDescent="0.3">
      <c r="A648">
        <v>1</v>
      </c>
      <c r="B648">
        <v>2321.86</v>
      </c>
      <c r="C648">
        <f t="shared" si="11"/>
        <v>2321.86</v>
      </c>
    </row>
    <row r="649" spans="1:3" x14ac:dyDescent="0.3">
      <c r="A649">
        <v>7</v>
      </c>
      <c r="B649">
        <v>4593.24</v>
      </c>
      <c r="C649">
        <f t="shared" si="11"/>
        <v>32152.68</v>
      </c>
    </row>
    <row r="650" spans="1:3" x14ac:dyDescent="0.3">
      <c r="A650">
        <v>2</v>
      </c>
      <c r="B650">
        <v>1161.94</v>
      </c>
      <c r="C650">
        <f t="shared" si="11"/>
        <v>2323.88</v>
      </c>
    </row>
    <row r="651" spans="1:3" x14ac:dyDescent="0.3">
      <c r="A651">
        <v>4</v>
      </c>
      <c r="B651">
        <v>1384.08</v>
      </c>
      <c r="C651">
        <f t="shared" si="11"/>
        <v>5536.32</v>
      </c>
    </row>
    <row r="652" spans="1:3" x14ac:dyDescent="0.3">
      <c r="A652">
        <v>9</v>
      </c>
      <c r="B652">
        <v>1837.24</v>
      </c>
      <c r="C652">
        <f t="shared" si="11"/>
        <v>16535.16</v>
      </c>
    </row>
    <row r="653" spans="1:3" x14ac:dyDescent="0.3">
      <c r="A653">
        <v>4</v>
      </c>
      <c r="B653">
        <v>402.75</v>
      </c>
      <c r="C653">
        <f t="shared" si="11"/>
        <v>1611</v>
      </c>
    </row>
    <row r="654" spans="1:3" x14ac:dyDescent="0.3">
      <c r="A654">
        <v>7</v>
      </c>
      <c r="B654">
        <v>519.07000000000005</v>
      </c>
      <c r="C654">
        <f t="shared" si="11"/>
        <v>3633.4900000000002</v>
      </c>
    </row>
    <row r="655" spans="1:3" x14ac:dyDescent="0.3">
      <c r="A655">
        <v>5</v>
      </c>
      <c r="B655">
        <v>4590.4399999999996</v>
      </c>
      <c r="C655">
        <f t="shared" si="11"/>
        <v>22952.199999999997</v>
      </c>
    </row>
    <row r="656" spans="1:3" x14ac:dyDescent="0.3">
      <c r="A656">
        <v>2</v>
      </c>
      <c r="B656">
        <v>1623.92</v>
      </c>
      <c r="C656">
        <f t="shared" si="11"/>
        <v>3247.84</v>
      </c>
    </row>
    <row r="657" spans="1:3" x14ac:dyDescent="0.3">
      <c r="A657">
        <v>8</v>
      </c>
      <c r="B657">
        <v>4866.49</v>
      </c>
      <c r="C657">
        <f t="shared" si="11"/>
        <v>38931.919999999998</v>
      </c>
    </row>
    <row r="658" spans="1:3" x14ac:dyDescent="0.3">
      <c r="A658">
        <v>3</v>
      </c>
      <c r="B658">
        <v>4246.4799999999996</v>
      </c>
      <c r="C658">
        <f t="shared" si="11"/>
        <v>12739.439999999999</v>
      </c>
    </row>
    <row r="659" spans="1:3" x14ac:dyDescent="0.3">
      <c r="A659">
        <v>10</v>
      </c>
      <c r="B659">
        <v>750.94</v>
      </c>
      <c r="C659">
        <f t="shared" si="11"/>
        <v>7509.4000000000005</v>
      </c>
    </row>
    <row r="660" spans="1:3" x14ac:dyDescent="0.3">
      <c r="A660">
        <v>2</v>
      </c>
      <c r="B660">
        <v>4661.74</v>
      </c>
      <c r="C660">
        <f t="shared" si="11"/>
        <v>9323.48</v>
      </c>
    </row>
    <row r="661" spans="1:3" x14ac:dyDescent="0.3">
      <c r="A661">
        <v>6</v>
      </c>
      <c r="B661">
        <v>3228.73</v>
      </c>
      <c r="C661">
        <f t="shared" si="11"/>
        <v>19372.38</v>
      </c>
    </row>
    <row r="662" spans="1:3" x14ac:dyDescent="0.3">
      <c r="A662">
        <v>4</v>
      </c>
      <c r="B662">
        <v>2766.06</v>
      </c>
      <c r="C662">
        <f t="shared" si="11"/>
        <v>11064.24</v>
      </c>
    </row>
    <row r="663" spans="1:3" x14ac:dyDescent="0.3">
      <c r="A663">
        <v>5</v>
      </c>
      <c r="B663">
        <v>3943.61</v>
      </c>
      <c r="C663">
        <f t="shared" si="11"/>
        <v>19718.05</v>
      </c>
    </row>
    <row r="664" spans="1:3" x14ac:dyDescent="0.3">
      <c r="A664">
        <v>1</v>
      </c>
      <c r="B664">
        <v>3753.16</v>
      </c>
      <c r="C664">
        <f t="shared" si="11"/>
        <v>3753.16</v>
      </c>
    </row>
    <row r="665" spans="1:3" x14ac:dyDescent="0.3">
      <c r="A665">
        <v>6</v>
      </c>
      <c r="B665">
        <v>881.13</v>
      </c>
      <c r="C665">
        <f t="shared" si="11"/>
        <v>5286.78</v>
      </c>
    </row>
    <row r="666" spans="1:3" x14ac:dyDescent="0.3">
      <c r="A666">
        <v>10</v>
      </c>
      <c r="B666">
        <v>3083.24</v>
      </c>
      <c r="C666">
        <f t="shared" si="11"/>
        <v>30832.399999999998</v>
      </c>
    </row>
    <row r="667" spans="1:3" x14ac:dyDescent="0.3">
      <c r="A667">
        <v>9</v>
      </c>
      <c r="B667">
        <v>4504.3900000000003</v>
      </c>
      <c r="C667">
        <f t="shared" si="11"/>
        <v>40539.51</v>
      </c>
    </row>
    <row r="668" spans="1:3" x14ac:dyDescent="0.3">
      <c r="A668">
        <v>1</v>
      </c>
      <c r="B668">
        <v>1621.84</v>
      </c>
      <c r="C668">
        <f t="shared" si="11"/>
        <v>1621.84</v>
      </c>
    </row>
    <row r="669" spans="1:3" x14ac:dyDescent="0.3">
      <c r="A669">
        <v>10</v>
      </c>
      <c r="B669">
        <v>4744.16</v>
      </c>
      <c r="C669">
        <f t="shared" si="11"/>
        <v>47441.599999999999</v>
      </c>
    </row>
    <row r="670" spans="1:3" x14ac:dyDescent="0.3">
      <c r="A670">
        <v>5</v>
      </c>
      <c r="B670">
        <v>2481.29</v>
      </c>
      <c r="C670">
        <f t="shared" si="11"/>
        <v>12406.45</v>
      </c>
    </row>
    <row r="671" spans="1:3" x14ac:dyDescent="0.3">
      <c r="A671">
        <v>1</v>
      </c>
      <c r="B671">
        <v>3106.82</v>
      </c>
      <c r="C671">
        <f t="shared" si="11"/>
        <v>3106.82</v>
      </c>
    </row>
    <row r="672" spans="1:3" x14ac:dyDescent="0.3">
      <c r="A672">
        <v>8</v>
      </c>
      <c r="B672">
        <v>508.65</v>
      </c>
      <c r="C672">
        <f t="shared" si="11"/>
        <v>4069.2</v>
      </c>
    </row>
    <row r="673" spans="1:3" x14ac:dyDescent="0.3">
      <c r="A673">
        <v>2</v>
      </c>
      <c r="B673">
        <v>4483.7700000000004</v>
      </c>
      <c r="C673">
        <f t="shared" si="11"/>
        <v>8967.5400000000009</v>
      </c>
    </row>
    <row r="674" spans="1:3" x14ac:dyDescent="0.3">
      <c r="A674">
        <v>6</v>
      </c>
      <c r="B674">
        <v>2215.8000000000002</v>
      </c>
      <c r="C674">
        <f t="shared" si="11"/>
        <v>13294.800000000001</v>
      </c>
    </row>
    <row r="675" spans="1:3" x14ac:dyDescent="0.3">
      <c r="A675">
        <v>10</v>
      </c>
      <c r="B675">
        <v>2371.77</v>
      </c>
      <c r="C675">
        <f t="shared" si="11"/>
        <v>23717.7</v>
      </c>
    </row>
    <row r="676" spans="1:3" x14ac:dyDescent="0.3">
      <c r="A676">
        <v>10</v>
      </c>
      <c r="B676">
        <v>4886.3900000000003</v>
      </c>
      <c r="C676">
        <f t="shared" si="11"/>
        <v>48863.9</v>
      </c>
    </row>
    <row r="677" spans="1:3" x14ac:dyDescent="0.3">
      <c r="A677">
        <v>4</v>
      </c>
      <c r="B677">
        <v>1694.65</v>
      </c>
      <c r="C677">
        <f t="shared" si="11"/>
        <v>6778.6</v>
      </c>
    </row>
    <row r="678" spans="1:3" x14ac:dyDescent="0.3">
      <c r="A678">
        <v>2</v>
      </c>
      <c r="B678">
        <v>2443.36</v>
      </c>
      <c r="C678">
        <f t="shared" si="11"/>
        <v>4886.72</v>
      </c>
    </row>
    <row r="679" spans="1:3" x14ac:dyDescent="0.3">
      <c r="A679">
        <v>5</v>
      </c>
      <c r="B679">
        <v>4844.83</v>
      </c>
      <c r="C679">
        <f t="shared" si="11"/>
        <v>24224.15</v>
      </c>
    </row>
    <row r="680" spans="1:3" x14ac:dyDescent="0.3">
      <c r="A680">
        <v>1</v>
      </c>
      <c r="B680">
        <v>2966.59</v>
      </c>
      <c r="C680">
        <f t="shared" si="11"/>
        <v>2966.59</v>
      </c>
    </row>
    <row r="681" spans="1:3" x14ac:dyDescent="0.3">
      <c r="A681">
        <v>8</v>
      </c>
      <c r="B681">
        <v>4039.44</v>
      </c>
      <c r="C681">
        <f t="shared" si="11"/>
        <v>32315.52</v>
      </c>
    </row>
    <row r="682" spans="1:3" x14ac:dyDescent="0.3">
      <c r="A682">
        <v>7</v>
      </c>
      <c r="B682">
        <v>92.56</v>
      </c>
      <c r="C682">
        <f t="shared" si="11"/>
        <v>647.92000000000007</v>
      </c>
    </row>
    <row r="683" spans="1:3" x14ac:dyDescent="0.3">
      <c r="A683">
        <v>6</v>
      </c>
      <c r="B683">
        <v>2107.4899999999998</v>
      </c>
      <c r="C683">
        <f t="shared" si="11"/>
        <v>12644.939999999999</v>
      </c>
    </row>
    <row r="684" spans="1:3" x14ac:dyDescent="0.3">
      <c r="A684">
        <v>1</v>
      </c>
      <c r="B684">
        <v>2017.17</v>
      </c>
      <c r="C684">
        <f t="shared" si="11"/>
        <v>2017.17</v>
      </c>
    </row>
    <row r="685" spans="1:3" x14ac:dyDescent="0.3">
      <c r="A685">
        <v>9</v>
      </c>
      <c r="B685">
        <v>2142</v>
      </c>
      <c r="C685">
        <f t="shared" si="11"/>
        <v>19278</v>
      </c>
    </row>
    <row r="686" spans="1:3" x14ac:dyDescent="0.3">
      <c r="A686">
        <v>10</v>
      </c>
      <c r="B686">
        <v>3901.42</v>
      </c>
      <c r="C686">
        <f t="shared" si="11"/>
        <v>39014.199999999997</v>
      </c>
    </row>
    <row r="687" spans="1:3" x14ac:dyDescent="0.3">
      <c r="A687">
        <v>2</v>
      </c>
      <c r="B687">
        <v>3617.24</v>
      </c>
      <c r="C687">
        <f t="shared" si="11"/>
        <v>7234.48</v>
      </c>
    </row>
    <row r="688" spans="1:3" x14ac:dyDescent="0.3">
      <c r="A688">
        <v>1</v>
      </c>
      <c r="B688">
        <v>2826.56</v>
      </c>
      <c r="C688">
        <f t="shared" si="11"/>
        <v>2826.56</v>
      </c>
    </row>
    <row r="689" spans="1:3" x14ac:dyDescent="0.3">
      <c r="A689">
        <v>7</v>
      </c>
      <c r="B689">
        <v>315.27</v>
      </c>
      <c r="C689">
        <f t="shared" si="11"/>
        <v>2206.89</v>
      </c>
    </row>
    <row r="690" spans="1:3" x14ac:dyDescent="0.3">
      <c r="A690">
        <v>4</v>
      </c>
      <c r="B690">
        <v>83.39</v>
      </c>
      <c r="C690">
        <f t="shared" si="11"/>
        <v>333.56</v>
      </c>
    </row>
    <row r="691" spans="1:3" x14ac:dyDescent="0.3">
      <c r="A691">
        <v>9</v>
      </c>
      <c r="B691">
        <v>1043.33</v>
      </c>
      <c r="C691">
        <f t="shared" si="11"/>
        <v>9389.9699999999993</v>
      </c>
    </row>
    <row r="692" spans="1:3" x14ac:dyDescent="0.3">
      <c r="A692">
        <v>4</v>
      </c>
      <c r="B692">
        <v>1464.23</v>
      </c>
      <c r="C692">
        <f t="shared" si="11"/>
        <v>5856.92</v>
      </c>
    </row>
    <row r="693" spans="1:3" x14ac:dyDescent="0.3">
      <c r="A693">
        <v>9</v>
      </c>
      <c r="B693">
        <v>4911.74</v>
      </c>
      <c r="C693">
        <f t="shared" si="11"/>
        <v>44205.659999999996</v>
      </c>
    </row>
    <row r="694" spans="1:3" x14ac:dyDescent="0.3">
      <c r="A694">
        <v>8</v>
      </c>
      <c r="B694">
        <v>1115.46</v>
      </c>
      <c r="C694">
        <f t="shared" si="11"/>
        <v>8923.68</v>
      </c>
    </row>
    <row r="695" spans="1:3" x14ac:dyDescent="0.3">
      <c r="A695">
        <v>2</v>
      </c>
      <c r="B695">
        <v>278.32</v>
      </c>
      <c r="C695">
        <f t="shared" si="11"/>
        <v>556.64</v>
      </c>
    </row>
    <row r="696" spans="1:3" x14ac:dyDescent="0.3">
      <c r="A696">
        <v>9</v>
      </c>
      <c r="B696">
        <v>3636.99</v>
      </c>
      <c r="C696">
        <f t="shared" si="11"/>
        <v>32732.909999999996</v>
      </c>
    </row>
    <row r="697" spans="1:3" x14ac:dyDescent="0.3">
      <c r="A697">
        <v>3</v>
      </c>
      <c r="B697">
        <v>3801.49</v>
      </c>
      <c r="C697">
        <f t="shared" si="11"/>
        <v>11404.47</v>
      </c>
    </row>
    <row r="698" spans="1:3" x14ac:dyDescent="0.3">
      <c r="A698">
        <v>10</v>
      </c>
      <c r="B698">
        <v>1810.63</v>
      </c>
      <c r="C698">
        <f t="shared" si="11"/>
        <v>18106.300000000003</v>
      </c>
    </row>
    <row r="699" spans="1:3" x14ac:dyDescent="0.3">
      <c r="A699">
        <v>2</v>
      </c>
      <c r="B699">
        <v>450.82</v>
      </c>
      <c r="C699">
        <f t="shared" si="11"/>
        <v>901.64</v>
      </c>
    </row>
    <row r="700" spans="1:3" x14ac:dyDescent="0.3">
      <c r="A700">
        <v>5</v>
      </c>
      <c r="B700">
        <v>2436.34</v>
      </c>
      <c r="C700">
        <f t="shared" si="11"/>
        <v>12181.7</v>
      </c>
    </row>
    <row r="701" spans="1:3" x14ac:dyDescent="0.3">
      <c r="A701">
        <v>3</v>
      </c>
      <c r="B701">
        <v>358.73</v>
      </c>
      <c r="C701">
        <f t="shared" si="11"/>
        <v>1076.19</v>
      </c>
    </row>
    <row r="702" spans="1:3" x14ac:dyDescent="0.3">
      <c r="A702">
        <v>1</v>
      </c>
      <c r="B702">
        <v>2634.87</v>
      </c>
      <c r="C702">
        <f t="shared" si="11"/>
        <v>2634.87</v>
      </c>
    </row>
    <row r="703" spans="1:3" x14ac:dyDescent="0.3">
      <c r="A703">
        <v>7</v>
      </c>
      <c r="B703">
        <v>252.82</v>
      </c>
      <c r="C703">
        <f t="shared" si="11"/>
        <v>1769.74</v>
      </c>
    </row>
    <row r="704" spans="1:3" x14ac:dyDescent="0.3">
      <c r="A704">
        <v>7</v>
      </c>
      <c r="B704">
        <v>2502.09</v>
      </c>
      <c r="C704">
        <f t="shared" si="11"/>
        <v>17514.63</v>
      </c>
    </row>
    <row r="705" spans="1:3" x14ac:dyDescent="0.3">
      <c r="A705">
        <v>3</v>
      </c>
      <c r="B705">
        <v>2955.64</v>
      </c>
      <c r="C705">
        <f t="shared" si="11"/>
        <v>8866.92</v>
      </c>
    </row>
    <row r="706" spans="1:3" x14ac:dyDescent="0.3">
      <c r="A706">
        <v>5</v>
      </c>
      <c r="B706">
        <v>91.49</v>
      </c>
      <c r="C706">
        <f t="shared" si="11"/>
        <v>457.45</v>
      </c>
    </row>
    <row r="707" spans="1:3" x14ac:dyDescent="0.3">
      <c r="A707">
        <v>4</v>
      </c>
      <c r="B707">
        <v>3019.98</v>
      </c>
      <c r="C707">
        <f t="shared" si="11"/>
        <v>12079.92</v>
      </c>
    </row>
    <row r="708" spans="1:3" x14ac:dyDescent="0.3">
      <c r="A708">
        <v>1</v>
      </c>
      <c r="B708">
        <v>4189.9399999999996</v>
      </c>
      <c r="C708">
        <f t="shared" ref="C708:C771" si="12">A708*B708</f>
        <v>4189.9399999999996</v>
      </c>
    </row>
    <row r="709" spans="1:3" x14ac:dyDescent="0.3">
      <c r="A709">
        <v>7</v>
      </c>
      <c r="B709">
        <v>4673.88</v>
      </c>
      <c r="C709">
        <f t="shared" si="12"/>
        <v>32717.16</v>
      </c>
    </row>
    <row r="710" spans="1:3" x14ac:dyDescent="0.3">
      <c r="A710">
        <v>9</v>
      </c>
      <c r="B710">
        <v>3265.69</v>
      </c>
      <c r="C710">
        <f t="shared" si="12"/>
        <v>29391.21</v>
      </c>
    </row>
    <row r="711" spans="1:3" x14ac:dyDescent="0.3">
      <c r="A711">
        <v>5</v>
      </c>
      <c r="B711">
        <v>4882.41</v>
      </c>
      <c r="C711">
        <f t="shared" si="12"/>
        <v>24412.05</v>
      </c>
    </row>
    <row r="712" spans="1:3" x14ac:dyDescent="0.3">
      <c r="A712">
        <v>10</v>
      </c>
      <c r="B712">
        <v>3010.19</v>
      </c>
      <c r="C712">
        <f t="shared" si="12"/>
        <v>30101.9</v>
      </c>
    </row>
    <row r="713" spans="1:3" x14ac:dyDescent="0.3">
      <c r="A713">
        <v>2</v>
      </c>
      <c r="B713">
        <v>2842.23</v>
      </c>
      <c r="C713">
        <f t="shared" si="12"/>
        <v>5684.46</v>
      </c>
    </row>
    <row r="714" spans="1:3" x14ac:dyDescent="0.3">
      <c r="A714">
        <v>4</v>
      </c>
      <c r="B714">
        <v>4209.71</v>
      </c>
      <c r="C714">
        <f t="shared" si="12"/>
        <v>16838.84</v>
      </c>
    </row>
    <row r="715" spans="1:3" x14ac:dyDescent="0.3">
      <c r="A715">
        <v>6</v>
      </c>
      <c r="B715">
        <v>4423.3</v>
      </c>
      <c r="C715">
        <f t="shared" si="12"/>
        <v>26539.800000000003</v>
      </c>
    </row>
    <row r="716" spans="1:3" x14ac:dyDescent="0.3">
      <c r="A716">
        <v>1</v>
      </c>
      <c r="B716">
        <v>2504.91</v>
      </c>
      <c r="C716">
        <f t="shared" si="12"/>
        <v>2504.91</v>
      </c>
    </row>
    <row r="717" spans="1:3" x14ac:dyDescent="0.3">
      <c r="A717">
        <v>5</v>
      </c>
      <c r="B717">
        <v>2000.14</v>
      </c>
      <c r="C717">
        <f t="shared" si="12"/>
        <v>10000.700000000001</v>
      </c>
    </row>
    <row r="718" spans="1:3" x14ac:dyDescent="0.3">
      <c r="A718">
        <v>8</v>
      </c>
      <c r="B718">
        <v>1910.14</v>
      </c>
      <c r="C718">
        <f t="shared" si="12"/>
        <v>15281.12</v>
      </c>
    </row>
    <row r="719" spans="1:3" x14ac:dyDescent="0.3">
      <c r="A719">
        <v>9</v>
      </c>
      <c r="B719">
        <v>4745.17</v>
      </c>
      <c r="C719">
        <f t="shared" si="12"/>
        <v>42706.53</v>
      </c>
    </row>
    <row r="720" spans="1:3" x14ac:dyDescent="0.3">
      <c r="A720">
        <v>10</v>
      </c>
      <c r="B720">
        <v>1810.14</v>
      </c>
      <c r="C720">
        <f t="shared" si="12"/>
        <v>18101.400000000001</v>
      </c>
    </row>
    <row r="721" spans="1:3" x14ac:dyDescent="0.3">
      <c r="A721">
        <v>8</v>
      </c>
      <c r="B721">
        <v>1003.76</v>
      </c>
      <c r="C721">
        <f t="shared" si="12"/>
        <v>8030.08</v>
      </c>
    </row>
    <row r="722" spans="1:3" x14ac:dyDescent="0.3">
      <c r="A722">
        <v>1</v>
      </c>
      <c r="B722">
        <v>3254.3</v>
      </c>
      <c r="C722">
        <f t="shared" si="12"/>
        <v>3254.3</v>
      </c>
    </row>
    <row r="723" spans="1:3" x14ac:dyDescent="0.3">
      <c r="A723">
        <v>9</v>
      </c>
      <c r="B723">
        <v>1856.78</v>
      </c>
      <c r="C723">
        <f t="shared" si="12"/>
        <v>16711.02</v>
      </c>
    </row>
    <row r="724" spans="1:3" x14ac:dyDescent="0.3">
      <c r="A724">
        <v>10</v>
      </c>
      <c r="B724">
        <v>3585.51</v>
      </c>
      <c r="C724">
        <f t="shared" si="12"/>
        <v>35855.100000000006</v>
      </c>
    </row>
    <row r="725" spans="1:3" x14ac:dyDescent="0.3">
      <c r="A725">
        <v>9</v>
      </c>
      <c r="B725">
        <v>2279.5700000000002</v>
      </c>
      <c r="C725">
        <f t="shared" si="12"/>
        <v>20516.13</v>
      </c>
    </row>
    <row r="726" spans="1:3" x14ac:dyDescent="0.3">
      <c r="A726">
        <v>1</v>
      </c>
      <c r="B726">
        <v>3102.21</v>
      </c>
      <c r="C726">
        <f t="shared" si="12"/>
        <v>3102.21</v>
      </c>
    </row>
    <row r="727" spans="1:3" x14ac:dyDescent="0.3">
      <c r="A727">
        <v>2</v>
      </c>
      <c r="B727">
        <v>2087.62</v>
      </c>
      <c r="C727">
        <f t="shared" si="12"/>
        <v>4175.24</v>
      </c>
    </row>
    <row r="728" spans="1:3" x14ac:dyDescent="0.3">
      <c r="A728">
        <v>2</v>
      </c>
      <c r="B728">
        <v>1539.74</v>
      </c>
      <c r="C728">
        <f t="shared" si="12"/>
        <v>3079.48</v>
      </c>
    </row>
    <row r="729" spans="1:3" x14ac:dyDescent="0.3">
      <c r="A729">
        <v>4</v>
      </c>
      <c r="B729">
        <v>2781.67</v>
      </c>
      <c r="C729">
        <f t="shared" si="12"/>
        <v>11126.68</v>
      </c>
    </row>
    <row r="730" spans="1:3" x14ac:dyDescent="0.3">
      <c r="A730">
        <v>2</v>
      </c>
      <c r="B730">
        <v>495.99</v>
      </c>
      <c r="C730">
        <f t="shared" si="12"/>
        <v>991.98</v>
      </c>
    </row>
    <row r="731" spans="1:3" x14ac:dyDescent="0.3">
      <c r="A731">
        <v>6</v>
      </c>
      <c r="B731">
        <v>721.83</v>
      </c>
      <c r="C731">
        <f t="shared" si="12"/>
        <v>4330.9800000000005</v>
      </c>
    </row>
    <row r="732" spans="1:3" x14ac:dyDescent="0.3">
      <c r="A732">
        <v>3</v>
      </c>
      <c r="B732">
        <v>1872.05</v>
      </c>
      <c r="C732">
        <f t="shared" si="12"/>
        <v>5616.15</v>
      </c>
    </row>
    <row r="733" spans="1:3" x14ac:dyDescent="0.3">
      <c r="A733">
        <v>2</v>
      </c>
      <c r="B733">
        <v>3075.67</v>
      </c>
      <c r="C733">
        <f t="shared" si="12"/>
        <v>6151.34</v>
      </c>
    </row>
    <row r="734" spans="1:3" x14ac:dyDescent="0.3">
      <c r="A734">
        <v>6</v>
      </c>
      <c r="B734">
        <v>1322.77</v>
      </c>
      <c r="C734">
        <f t="shared" si="12"/>
        <v>7936.62</v>
      </c>
    </row>
    <row r="735" spans="1:3" x14ac:dyDescent="0.3">
      <c r="A735">
        <v>3</v>
      </c>
      <c r="B735">
        <v>2017.54</v>
      </c>
      <c r="C735">
        <f t="shared" si="12"/>
        <v>6052.62</v>
      </c>
    </row>
    <row r="736" spans="1:3" x14ac:dyDescent="0.3">
      <c r="A736">
        <v>9</v>
      </c>
      <c r="B736">
        <v>1381.8</v>
      </c>
      <c r="C736">
        <f t="shared" si="12"/>
        <v>12436.199999999999</v>
      </c>
    </row>
    <row r="737" spans="1:3" x14ac:dyDescent="0.3">
      <c r="A737">
        <v>8</v>
      </c>
      <c r="B737">
        <v>456.66</v>
      </c>
      <c r="C737">
        <f t="shared" si="12"/>
        <v>3653.28</v>
      </c>
    </row>
    <row r="738" spans="1:3" x14ac:dyDescent="0.3">
      <c r="A738">
        <v>1</v>
      </c>
      <c r="B738">
        <v>3398.38</v>
      </c>
      <c r="C738">
        <f t="shared" si="12"/>
        <v>3398.38</v>
      </c>
    </row>
    <row r="739" spans="1:3" x14ac:dyDescent="0.3">
      <c r="A739">
        <v>6</v>
      </c>
      <c r="B739">
        <v>4801.51</v>
      </c>
      <c r="C739">
        <f t="shared" si="12"/>
        <v>28809.06</v>
      </c>
    </row>
    <row r="740" spans="1:3" x14ac:dyDescent="0.3">
      <c r="A740">
        <v>6</v>
      </c>
      <c r="B740">
        <v>1701.75</v>
      </c>
      <c r="C740">
        <f t="shared" si="12"/>
        <v>10210.5</v>
      </c>
    </row>
    <row r="741" spans="1:3" x14ac:dyDescent="0.3">
      <c r="A741">
        <v>9</v>
      </c>
      <c r="B741">
        <v>3354.17</v>
      </c>
      <c r="C741">
        <f t="shared" si="12"/>
        <v>30187.53</v>
      </c>
    </row>
    <row r="742" spans="1:3" x14ac:dyDescent="0.3">
      <c r="A742">
        <v>1</v>
      </c>
      <c r="B742">
        <v>600.38</v>
      </c>
      <c r="C742">
        <f t="shared" si="12"/>
        <v>600.38</v>
      </c>
    </row>
    <row r="743" spans="1:3" x14ac:dyDescent="0.3">
      <c r="A743">
        <v>7</v>
      </c>
      <c r="B743">
        <v>4800.29</v>
      </c>
      <c r="C743">
        <f t="shared" si="12"/>
        <v>33602.03</v>
      </c>
    </row>
    <row r="744" spans="1:3" x14ac:dyDescent="0.3">
      <c r="A744">
        <v>4</v>
      </c>
      <c r="B744">
        <v>3799.57</v>
      </c>
      <c r="C744">
        <f t="shared" si="12"/>
        <v>15198.28</v>
      </c>
    </row>
    <row r="745" spans="1:3" x14ac:dyDescent="0.3">
      <c r="A745">
        <v>3</v>
      </c>
      <c r="B745">
        <v>1247.8800000000001</v>
      </c>
      <c r="C745">
        <f t="shared" si="12"/>
        <v>3743.6400000000003</v>
      </c>
    </row>
    <row r="746" spans="1:3" x14ac:dyDescent="0.3">
      <c r="A746">
        <v>3</v>
      </c>
      <c r="B746">
        <v>2260.23</v>
      </c>
      <c r="C746">
        <f t="shared" si="12"/>
        <v>6780.6900000000005</v>
      </c>
    </row>
    <row r="747" spans="1:3" x14ac:dyDescent="0.3">
      <c r="A747">
        <v>2</v>
      </c>
      <c r="B747">
        <v>2507.15</v>
      </c>
      <c r="C747">
        <f t="shared" si="12"/>
        <v>5014.3</v>
      </c>
    </row>
    <row r="748" spans="1:3" x14ac:dyDescent="0.3">
      <c r="A748">
        <v>7</v>
      </c>
      <c r="B748">
        <v>4540.74</v>
      </c>
      <c r="C748">
        <f t="shared" si="12"/>
        <v>31785.18</v>
      </c>
    </row>
    <row r="749" spans="1:3" x14ac:dyDescent="0.3">
      <c r="A749">
        <v>3</v>
      </c>
      <c r="B749">
        <v>1347.5</v>
      </c>
      <c r="C749">
        <f t="shared" si="12"/>
        <v>4042.5</v>
      </c>
    </row>
    <row r="750" spans="1:3" x14ac:dyDescent="0.3">
      <c r="A750">
        <v>5</v>
      </c>
      <c r="B750">
        <v>281.98</v>
      </c>
      <c r="C750">
        <f t="shared" si="12"/>
        <v>1409.9</v>
      </c>
    </row>
    <row r="751" spans="1:3" x14ac:dyDescent="0.3">
      <c r="A751">
        <v>8</v>
      </c>
      <c r="B751">
        <v>4714.3500000000004</v>
      </c>
      <c r="C751">
        <f t="shared" si="12"/>
        <v>37714.800000000003</v>
      </c>
    </row>
    <row r="752" spans="1:3" x14ac:dyDescent="0.3">
      <c r="A752">
        <v>8</v>
      </c>
      <c r="B752">
        <v>4422.17</v>
      </c>
      <c r="C752">
        <f t="shared" si="12"/>
        <v>35377.360000000001</v>
      </c>
    </row>
    <row r="753" spans="1:3" x14ac:dyDescent="0.3">
      <c r="A753">
        <v>5</v>
      </c>
      <c r="B753">
        <v>2863.94</v>
      </c>
      <c r="C753">
        <f t="shared" si="12"/>
        <v>14319.7</v>
      </c>
    </row>
    <row r="754" spans="1:3" x14ac:dyDescent="0.3">
      <c r="A754">
        <v>9</v>
      </c>
      <c r="B754">
        <v>2952.11</v>
      </c>
      <c r="C754">
        <f t="shared" si="12"/>
        <v>26568.99</v>
      </c>
    </row>
    <row r="755" spans="1:3" x14ac:dyDescent="0.3">
      <c r="A755">
        <v>10</v>
      </c>
      <c r="B755">
        <v>691.21</v>
      </c>
      <c r="C755">
        <f t="shared" si="12"/>
        <v>6912.1</v>
      </c>
    </row>
    <row r="756" spans="1:3" x14ac:dyDescent="0.3">
      <c r="A756">
        <v>7</v>
      </c>
      <c r="B756">
        <v>219.08</v>
      </c>
      <c r="C756">
        <f t="shared" si="12"/>
        <v>1533.5600000000002</v>
      </c>
    </row>
    <row r="757" spans="1:3" x14ac:dyDescent="0.3">
      <c r="A757">
        <v>3</v>
      </c>
      <c r="B757">
        <v>3102.53</v>
      </c>
      <c r="C757">
        <f t="shared" si="12"/>
        <v>9307.59</v>
      </c>
    </row>
    <row r="758" spans="1:3" x14ac:dyDescent="0.3">
      <c r="A758">
        <v>9</v>
      </c>
      <c r="B758">
        <v>3217.61</v>
      </c>
      <c r="C758">
        <f t="shared" si="12"/>
        <v>28958.49</v>
      </c>
    </row>
    <row r="759" spans="1:3" x14ac:dyDescent="0.3">
      <c r="A759">
        <v>1</v>
      </c>
      <c r="B759">
        <v>534.67999999999995</v>
      </c>
      <c r="C759">
        <f t="shared" si="12"/>
        <v>534.67999999999995</v>
      </c>
    </row>
    <row r="760" spans="1:3" x14ac:dyDescent="0.3">
      <c r="A760">
        <v>6</v>
      </c>
      <c r="B760">
        <v>1498.96</v>
      </c>
      <c r="C760">
        <f t="shared" si="12"/>
        <v>8993.76</v>
      </c>
    </row>
    <row r="761" spans="1:3" x14ac:dyDescent="0.3">
      <c r="A761">
        <v>10</v>
      </c>
      <c r="B761">
        <v>3323.9</v>
      </c>
      <c r="C761">
        <f t="shared" si="12"/>
        <v>33239</v>
      </c>
    </row>
    <row r="762" spans="1:3" x14ac:dyDescent="0.3">
      <c r="A762">
        <v>6</v>
      </c>
      <c r="B762">
        <v>1198.3800000000001</v>
      </c>
      <c r="C762">
        <f t="shared" si="12"/>
        <v>7190.2800000000007</v>
      </c>
    </row>
    <row r="763" spans="1:3" x14ac:dyDescent="0.3">
      <c r="A763">
        <v>4</v>
      </c>
      <c r="B763">
        <v>784.72</v>
      </c>
      <c r="C763">
        <f t="shared" si="12"/>
        <v>3138.88</v>
      </c>
    </row>
    <row r="764" spans="1:3" x14ac:dyDescent="0.3">
      <c r="A764">
        <v>1</v>
      </c>
      <c r="B764">
        <v>806.57</v>
      </c>
      <c r="C764">
        <f t="shared" si="12"/>
        <v>806.57</v>
      </c>
    </row>
    <row r="765" spans="1:3" x14ac:dyDescent="0.3">
      <c r="A765">
        <v>8</v>
      </c>
      <c r="B765">
        <v>4524.3500000000004</v>
      </c>
      <c r="C765">
        <f t="shared" si="12"/>
        <v>36194.800000000003</v>
      </c>
    </row>
    <row r="766" spans="1:3" x14ac:dyDescent="0.3">
      <c r="A766">
        <v>3</v>
      </c>
      <c r="B766">
        <v>1779.25</v>
      </c>
      <c r="C766">
        <f t="shared" si="12"/>
        <v>5337.75</v>
      </c>
    </row>
    <row r="767" spans="1:3" x14ac:dyDescent="0.3">
      <c r="A767">
        <v>7</v>
      </c>
      <c r="B767">
        <v>1744.65</v>
      </c>
      <c r="C767">
        <f t="shared" si="12"/>
        <v>12212.550000000001</v>
      </c>
    </row>
    <row r="768" spans="1:3" x14ac:dyDescent="0.3">
      <c r="A768">
        <v>3</v>
      </c>
      <c r="B768">
        <v>4700.8599999999997</v>
      </c>
      <c r="C768">
        <f t="shared" si="12"/>
        <v>14102.579999999998</v>
      </c>
    </row>
    <row r="769" spans="1:3" x14ac:dyDescent="0.3">
      <c r="A769">
        <v>5</v>
      </c>
      <c r="B769">
        <v>1661.76</v>
      </c>
      <c r="C769">
        <f t="shared" si="12"/>
        <v>8308.7999999999993</v>
      </c>
    </row>
    <row r="770" spans="1:3" x14ac:dyDescent="0.3">
      <c r="A770">
        <v>9</v>
      </c>
      <c r="B770">
        <v>1906.86</v>
      </c>
      <c r="C770">
        <f t="shared" si="12"/>
        <v>17161.739999999998</v>
      </c>
    </row>
    <row r="771" spans="1:3" x14ac:dyDescent="0.3">
      <c r="A771">
        <v>1</v>
      </c>
      <c r="B771">
        <v>986.24</v>
      </c>
      <c r="C771">
        <f t="shared" si="12"/>
        <v>986.24</v>
      </c>
    </row>
    <row r="772" spans="1:3" x14ac:dyDescent="0.3">
      <c r="A772">
        <v>5</v>
      </c>
      <c r="B772">
        <v>4495.92</v>
      </c>
      <c r="C772">
        <f t="shared" ref="C772:C835" si="13">A772*B772</f>
        <v>22479.599999999999</v>
      </c>
    </row>
    <row r="773" spans="1:3" x14ac:dyDescent="0.3">
      <c r="A773">
        <v>1</v>
      </c>
      <c r="B773">
        <v>1905.34</v>
      </c>
      <c r="C773">
        <f t="shared" si="13"/>
        <v>1905.34</v>
      </c>
    </row>
    <row r="774" spans="1:3" x14ac:dyDescent="0.3">
      <c r="A774">
        <v>2</v>
      </c>
      <c r="B774">
        <v>3453.38</v>
      </c>
      <c r="C774">
        <f t="shared" si="13"/>
        <v>6906.76</v>
      </c>
    </row>
    <row r="775" spans="1:3" x14ac:dyDescent="0.3">
      <c r="A775">
        <v>3</v>
      </c>
      <c r="B775">
        <v>3845.89</v>
      </c>
      <c r="C775">
        <f t="shared" si="13"/>
        <v>11537.67</v>
      </c>
    </row>
    <row r="776" spans="1:3" x14ac:dyDescent="0.3">
      <c r="A776">
        <v>10</v>
      </c>
      <c r="B776">
        <v>3516.95</v>
      </c>
      <c r="C776">
        <f t="shared" si="13"/>
        <v>35169.5</v>
      </c>
    </row>
    <row r="777" spans="1:3" x14ac:dyDescent="0.3">
      <c r="A777">
        <v>3</v>
      </c>
      <c r="B777">
        <v>2439.08</v>
      </c>
      <c r="C777">
        <f t="shared" si="13"/>
        <v>7317.24</v>
      </c>
    </row>
    <row r="778" spans="1:3" x14ac:dyDescent="0.3">
      <c r="A778">
        <v>2</v>
      </c>
      <c r="B778">
        <v>1376.17</v>
      </c>
      <c r="C778">
        <f t="shared" si="13"/>
        <v>2752.34</v>
      </c>
    </row>
    <row r="779" spans="1:3" x14ac:dyDescent="0.3">
      <c r="A779">
        <v>10</v>
      </c>
      <c r="B779">
        <v>3260.82</v>
      </c>
      <c r="C779">
        <f t="shared" si="13"/>
        <v>32608.2</v>
      </c>
    </row>
    <row r="780" spans="1:3" x14ac:dyDescent="0.3">
      <c r="A780">
        <v>8</v>
      </c>
      <c r="B780">
        <v>2818.61</v>
      </c>
      <c r="C780">
        <f t="shared" si="13"/>
        <v>22548.880000000001</v>
      </c>
    </row>
    <row r="781" spans="1:3" x14ac:dyDescent="0.3">
      <c r="A781">
        <v>3</v>
      </c>
      <c r="B781">
        <v>462.48</v>
      </c>
      <c r="C781">
        <f t="shared" si="13"/>
        <v>1387.44</v>
      </c>
    </row>
    <row r="782" spans="1:3" x14ac:dyDescent="0.3">
      <c r="A782">
        <v>2</v>
      </c>
      <c r="B782">
        <v>369.48</v>
      </c>
      <c r="C782">
        <f t="shared" si="13"/>
        <v>738.96</v>
      </c>
    </row>
    <row r="783" spans="1:3" x14ac:dyDescent="0.3">
      <c r="A783">
        <v>8</v>
      </c>
      <c r="B783">
        <v>4817.51</v>
      </c>
      <c r="C783">
        <f t="shared" si="13"/>
        <v>38540.080000000002</v>
      </c>
    </row>
    <row r="784" spans="1:3" x14ac:dyDescent="0.3">
      <c r="A784">
        <v>1</v>
      </c>
      <c r="B784">
        <v>4387.54</v>
      </c>
      <c r="C784">
        <f t="shared" si="13"/>
        <v>4387.54</v>
      </c>
    </row>
    <row r="785" spans="1:3" x14ac:dyDescent="0.3">
      <c r="A785">
        <v>6</v>
      </c>
      <c r="B785">
        <v>2367.65</v>
      </c>
      <c r="C785">
        <f t="shared" si="13"/>
        <v>14205.900000000001</v>
      </c>
    </row>
    <row r="786" spans="1:3" x14ac:dyDescent="0.3">
      <c r="A786">
        <v>8</v>
      </c>
      <c r="B786">
        <v>1947.55</v>
      </c>
      <c r="C786">
        <f t="shared" si="13"/>
        <v>15580.4</v>
      </c>
    </row>
    <row r="787" spans="1:3" x14ac:dyDescent="0.3">
      <c r="A787">
        <v>8</v>
      </c>
      <c r="B787">
        <v>4304.1000000000004</v>
      </c>
      <c r="C787">
        <f t="shared" si="13"/>
        <v>34432.800000000003</v>
      </c>
    </row>
    <row r="788" spans="1:3" x14ac:dyDescent="0.3">
      <c r="A788">
        <v>7</v>
      </c>
      <c r="B788">
        <v>1913.93</v>
      </c>
      <c r="C788">
        <f t="shared" si="13"/>
        <v>13397.51</v>
      </c>
    </row>
    <row r="789" spans="1:3" x14ac:dyDescent="0.3">
      <c r="A789">
        <v>8</v>
      </c>
      <c r="B789">
        <v>868.12</v>
      </c>
      <c r="C789">
        <f t="shared" si="13"/>
        <v>6944.96</v>
      </c>
    </row>
    <row r="790" spans="1:3" x14ac:dyDescent="0.3">
      <c r="A790">
        <v>7</v>
      </c>
      <c r="B790">
        <v>3731.49</v>
      </c>
      <c r="C790">
        <f t="shared" si="13"/>
        <v>26120.43</v>
      </c>
    </row>
    <row r="791" spans="1:3" x14ac:dyDescent="0.3">
      <c r="A791">
        <v>6</v>
      </c>
      <c r="B791">
        <v>2304.06</v>
      </c>
      <c r="C791">
        <f t="shared" si="13"/>
        <v>13824.36</v>
      </c>
    </row>
    <row r="792" spans="1:3" x14ac:dyDescent="0.3">
      <c r="A792">
        <v>2</v>
      </c>
      <c r="B792">
        <v>336.46</v>
      </c>
      <c r="C792">
        <f t="shared" si="13"/>
        <v>672.92</v>
      </c>
    </row>
    <row r="793" spans="1:3" x14ac:dyDescent="0.3">
      <c r="A793">
        <v>2</v>
      </c>
      <c r="B793">
        <v>4532.24</v>
      </c>
      <c r="C793">
        <f t="shared" si="13"/>
        <v>9064.48</v>
      </c>
    </row>
    <row r="794" spans="1:3" x14ac:dyDescent="0.3">
      <c r="A794">
        <v>7</v>
      </c>
      <c r="B794">
        <v>1358.68</v>
      </c>
      <c r="C794">
        <f t="shared" si="13"/>
        <v>9510.76</v>
      </c>
    </row>
    <row r="795" spans="1:3" x14ac:dyDescent="0.3">
      <c r="A795">
        <v>5</v>
      </c>
      <c r="B795">
        <v>4119.12</v>
      </c>
      <c r="C795">
        <f t="shared" si="13"/>
        <v>20595.599999999999</v>
      </c>
    </row>
    <row r="796" spans="1:3" x14ac:dyDescent="0.3">
      <c r="A796">
        <v>3</v>
      </c>
      <c r="B796">
        <v>3458.95</v>
      </c>
      <c r="C796">
        <f t="shared" si="13"/>
        <v>10376.849999999999</v>
      </c>
    </row>
    <row r="797" spans="1:3" x14ac:dyDescent="0.3">
      <c r="A797">
        <v>4</v>
      </c>
      <c r="B797">
        <v>535.25</v>
      </c>
      <c r="C797">
        <f t="shared" si="13"/>
        <v>2141</v>
      </c>
    </row>
    <row r="798" spans="1:3" x14ac:dyDescent="0.3">
      <c r="A798">
        <v>3</v>
      </c>
      <c r="B798">
        <v>2732.19</v>
      </c>
      <c r="C798">
        <f t="shared" si="13"/>
        <v>8196.57</v>
      </c>
    </row>
    <row r="799" spans="1:3" x14ac:dyDescent="0.3">
      <c r="A799">
        <v>1</v>
      </c>
      <c r="B799">
        <v>1541.32</v>
      </c>
      <c r="C799">
        <f t="shared" si="13"/>
        <v>1541.32</v>
      </c>
    </row>
    <row r="800" spans="1:3" x14ac:dyDescent="0.3">
      <c r="A800">
        <v>5</v>
      </c>
      <c r="B800">
        <v>3561.44</v>
      </c>
      <c r="C800">
        <f t="shared" si="13"/>
        <v>17807.2</v>
      </c>
    </row>
    <row r="801" spans="1:3" x14ac:dyDescent="0.3">
      <c r="A801">
        <v>5</v>
      </c>
      <c r="B801">
        <v>1781.38</v>
      </c>
      <c r="C801">
        <f t="shared" si="13"/>
        <v>8906.9000000000015</v>
      </c>
    </row>
    <row r="802" spans="1:3" x14ac:dyDescent="0.3">
      <c r="A802">
        <v>9</v>
      </c>
      <c r="B802">
        <v>224.14</v>
      </c>
      <c r="C802">
        <f t="shared" si="13"/>
        <v>2017.2599999999998</v>
      </c>
    </row>
    <row r="803" spans="1:3" x14ac:dyDescent="0.3">
      <c r="A803">
        <v>9</v>
      </c>
      <c r="B803">
        <v>646.64</v>
      </c>
      <c r="C803">
        <f t="shared" si="13"/>
        <v>5819.76</v>
      </c>
    </row>
    <row r="804" spans="1:3" x14ac:dyDescent="0.3">
      <c r="A804">
        <v>8</v>
      </c>
      <c r="B804">
        <v>2247.13</v>
      </c>
      <c r="C804">
        <f t="shared" si="13"/>
        <v>17977.04</v>
      </c>
    </row>
    <row r="805" spans="1:3" x14ac:dyDescent="0.3">
      <c r="A805">
        <v>4</v>
      </c>
      <c r="B805">
        <v>1721.27</v>
      </c>
      <c r="C805">
        <f t="shared" si="13"/>
        <v>6885.08</v>
      </c>
    </row>
    <row r="806" spans="1:3" x14ac:dyDescent="0.3">
      <c r="A806">
        <v>2</v>
      </c>
      <c r="B806">
        <v>390.61</v>
      </c>
      <c r="C806">
        <f t="shared" si="13"/>
        <v>781.22</v>
      </c>
    </row>
    <row r="807" spans="1:3" x14ac:dyDescent="0.3">
      <c r="A807">
        <v>9</v>
      </c>
      <c r="B807">
        <v>4442.3500000000004</v>
      </c>
      <c r="C807">
        <f t="shared" si="13"/>
        <v>39981.15</v>
      </c>
    </row>
    <row r="808" spans="1:3" x14ac:dyDescent="0.3">
      <c r="A808">
        <v>10</v>
      </c>
      <c r="B808">
        <v>1783.6</v>
      </c>
      <c r="C808">
        <f t="shared" si="13"/>
        <v>17836</v>
      </c>
    </row>
    <row r="809" spans="1:3" x14ac:dyDescent="0.3">
      <c r="A809">
        <v>1</v>
      </c>
      <c r="B809">
        <v>1677.72</v>
      </c>
      <c r="C809">
        <f t="shared" si="13"/>
        <v>1677.72</v>
      </c>
    </row>
    <row r="810" spans="1:3" x14ac:dyDescent="0.3">
      <c r="A810">
        <v>7</v>
      </c>
      <c r="B810">
        <v>487.8</v>
      </c>
      <c r="C810">
        <f t="shared" si="13"/>
        <v>3414.6</v>
      </c>
    </row>
    <row r="811" spans="1:3" x14ac:dyDescent="0.3">
      <c r="A811">
        <v>1</v>
      </c>
      <c r="B811">
        <v>4341.3500000000004</v>
      </c>
      <c r="C811">
        <f t="shared" si="13"/>
        <v>4341.3500000000004</v>
      </c>
    </row>
    <row r="812" spans="1:3" x14ac:dyDescent="0.3">
      <c r="A812">
        <v>5</v>
      </c>
      <c r="B812">
        <v>4513.88</v>
      </c>
      <c r="C812">
        <f t="shared" si="13"/>
        <v>22569.4</v>
      </c>
    </row>
    <row r="813" spans="1:3" x14ac:dyDescent="0.3">
      <c r="A813">
        <v>4</v>
      </c>
      <c r="B813">
        <v>4064</v>
      </c>
      <c r="C813">
        <f t="shared" si="13"/>
        <v>16256</v>
      </c>
    </row>
    <row r="814" spans="1:3" x14ac:dyDescent="0.3">
      <c r="A814">
        <v>9</v>
      </c>
      <c r="B814">
        <v>690.4</v>
      </c>
      <c r="C814">
        <f t="shared" si="13"/>
        <v>6213.5999999999995</v>
      </c>
    </row>
    <row r="815" spans="1:3" x14ac:dyDescent="0.3">
      <c r="A815">
        <v>8</v>
      </c>
      <c r="B815">
        <v>3628.25</v>
      </c>
      <c r="C815">
        <f t="shared" si="13"/>
        <v>29026</v>
      </c>
    </row>
    <row r="816" spans="1:3" x14ac:dyDescent="0.3">
      <c r="A816">
        <v>1</v>
      </c>
      <c r="B816">
        <v>354.72</v>
      </c>
      <c r="C816">
        <f t="shared" si="13"/>
        <v>354.72</v>
      </c>
    </row>
    <row r="817" spans="1:3" x14ac:dyDescent="0.3">
      <c r="A817">
        <v>10</v>
      </c>
      <c r="B817">
        <v>3966.62</v>
      </c>
      <c r="C817">
        <f t="shared" si="13"/>
        <v>39666.199999999997</v>
      </c>
    </row>
    <row r="818" spans="1:3" x14ac:dyDescent="0.3">
      <c r="A818">
        <v>6</v>
      </c>
      <c r="B818">
        <v>3418.97</v>
      </c>
      <c r="C818">
        <f t="shared" si="13"/>
        <v>20513.82</v>
      </c>
    </row>
    <row r="819" spans="1:3" x14ac:dyDescent="0.3">
      <c r="A819">
        <v>3</v>
      </c>
      <c r="B819">
        <v>965.89</v>
      </c>
      <c r="C819">
        <f t="shared" si="13"/>
        <v>2897.67</v>
      </c>
    </row>
    <row r="820" spans="1:3" x14ac:dyDescent="0.3">
      <c r="A820">
        <v>9</v>
      </c>
      <c r="B820">
        <v>1753.58</v>
      </c>
      <c r="C820">
        <f t="shared" si="13"/>
        <v>15782.22</v>
      </c>
    </row>
    <row r="821" spans="1:3" x14ac:dyDescent="0.3">
      <c r="A821">
        <v>1</v>
      </c>
      <c r="B821">
        <v>4622.6499999999996</v>
      </c>
      <c r="C821">
        <f t="shared" si="13"/>
        <v>4622.6499999999996</v>
      </c>
    </row>
    <row r="822" spans="1:3" x14ac:dyDescent="0.3">
      <c r="A822">
        <v>5</v>
      </c>
      <c r="B822">
        <v>2583.02</v>
      </c>
      <c r="C822">
        <f t="shared" si="13"/>
        <v>12915.1</v>
      </c>
    </row>
    <row r="823" spans="1:3" x14ac:dyDescent="0.3">
      <c r="A823">
        <v>1</v>
      </c>
      <c r="B823">
        <v>2756.33</v>
      </c>
      <c r="C823">
        <f t="shared" si="13"/>
        <v>2756.33</v>
      </c>
    </row>
    <row r="824" spans="1:3" x14ac:dyDescent="0.3">
      <c r="A824">
        <v>7</v>
      </c>
      <c r="B824">
        <v>932.6</v>
      </c>
      <c r="C824">
        <f t="shared" si="13"/>
        <v>6528.2</v>
      </c>
    </row>
    <row r="825" spans="1:3" x14ac:dyDescent="0.3">
      <c r="A825">
        <v>8</v>
      </c>
      <c r="B825">
        <v>664.82</v>
      </c>
      <c r="C825">
        <f t="shared" si="13"/>
        <v>5318.56</v>
      </c>
    </row>
    <row r="826" spans="1:3" x14ac:dyDescent="0.3">
      <c r="A826">
        <v>8</v>
      </c>
      <c r="B826">
        <v>4872.67</v>
      </c>
      <c r="C826">
        <f t="shared" si="13"/>
        <v>38981.360000000001</v>
      </c>
    </row>
    <row r="827" spans="1:3" x14ac:dyDescent="0.3">
      <c r="A827">
        <v>5</v>
      </c>
      <c r="B827">
        <v>621</v>
      </c>
      <c r="C827">
        <f t="shared" si="13"/>
        <v>3105</v>
      </c>
    </row>
    <row r="828" spans="1:3" x14ac:dyDescent="0.3">
      <c r="A828">
        <v>7</v>
      </c>
      <c r="B828">
        <v>3388.81</v>
      </c>
      <c r="C828">
        <f t="shared" si="13"/>
        <v>23721.67</v>
      </c>
    </row>
    <row r="829" spans="1:3" x14ac:dyDescent="0.3">
      <c r="A829">
        <v>3</v>
      </c>
      <c r="B829">
        <v>2349.42</v>
      </c>
      <c r="C829">
        <f t="shared" si="13"/>
        <v>7048.26</v>
      </c>
    </row>
    <row r="830" spans="1:3" x14ac:dyDescent="0.3">
      <c r="A830">
        <v>1</v>
      </c>
      <c r="B830">
        <v>819.16</v>
      </c>
      <c r="C830">
        <f t="shared" si="13"/>
        <v>819.16</v>
      </c>
    </row>
    <row r="831" spans="1:3" x14ac:dyDescent="0.3">
      <c r="A831">
        <v>6</v>
      </c>
      <c r="B831">
        <v>2999.74</v>
      </c>
      <c r="C831">
        <f t="shared" si="13"/>
        <v>17998.439999999999</v>
      </c>
    </row>
    <row r="832" spans="1:3" x14ac:dyDescent="0.3">
      <c r="A832">
        <v>2</v>
      </c>
      <c r="B832">
        <v>3353.22</v>
      </c>
      <c r="C832">
        <f t="shared" si="13"/>
        <v>6706.44</v>
      </c>
    </row>
    <row r="833" spans="1:3" x14ac:dyDescent="0.3">
      <c r="A833">
        <v>1</v>
      </c>
      <c r="B833">
        <v>4309.3999999999996</v>
      </c>
      <c r="C833">
        <f t="shared" si="13"/>
        <v>4309.3999999999996</v>
      </c>
    </row>
    <row r="834" spans="1:3" x14ac:dyDescent="0.3">
      <c r="A834">
        <v>3</v>
      </c>
      <c r="B834">
        <v>4359.1899999999996</v>
      </c>
      <c r="C834">
        <f t="shared" si="13"/>
        <v>13077.57</v>
      </c>
    </row>
    <row r="835" spans="1:3" x14ac:dyDescent="0.3">
      <c r="A835">
        <v>8</v>
      </c>
      <c r="B835">
        <v>2077.02</v>
      </c>
      <c r="C835">
        <f t="shared" si="13"/>
        <v>16616.16</v>
      </c>
    </row>
    <row r="836" spans="1:3" x14ac:dyDescent="0.3">
      <c r="A836">
        <v>1</v>
      </c>
      <c r="B836">
        <v>2615.48</v>
      </c>
      <c r="C836">
        <f t="shared" ref="C836:C899" si="14">A836*B836</f>
        <v>2615.48</v>
      </c>
    </row>
    <row r="837" spans="1:3" x14ac:dyDescent="0.3">
      <c r="A837">
        <v>6</v>
      </c>
      <c r="B837">
        <v>4254.71</v>
      </c>
      <c r="C837">
        <f t="shared" si="14"/>
        <v>25528.260000000002</v>
      </c>
    </row>
    <row r="838" spans="1:3" x14ac:dyDescent="0.3">
      <c r="A838">
        <v>5</v>
      </c>
      <c r="B838">
        <v>2028.6</v>
      </c>
      <c r="C838">
        <f t="shared" si="14"/>
        <v>10143</v>
      </c>
    </row>
    <row r="839" spans="1:3" x14ac:dyDescent="0.3">
      <c r="A839">
        <v>2</v>
      </c>
      <c r="B839">
        <v>2187.27</v>
      </c>
      <c r="C839">
        <f t="shared" si="14"/>
        <v>4374.54</v>
      </c>
    </row>
    <row r="840" spans="1:3" x14ac:dyDescent="0.3">
      <c r="A840">
        <v>2</v>
      </c>
      <c r="B840">
        <v>943.37</v>
      </c>
      <c r="C840">
        <f t="shared" si="14"/>
        <v>1886.74</v>
      </c>
    </row>
    <row r="841" spans="1:3" x14ac:dyDescent="0.3">
      <c r="A841">
        <v>1</v>
      </c>
      <c r="B841">
        <v>1750.03</v>
      </c>
      <c r="C841">
        <f t="shared" si="14"/>
        <v>1750.03</v>
      </c>
    </row>
    <row r="842" spans="1:3" x14ac:dyDescent="0.3">
      <c r="A842">
        <v>1</v>
      </c>
      <c r="B842">
        <v>4185.99</v>
      </c>
      <c r="C842">
        <f t="shared" si="14"/>
        <v>4185.99</v>
      </c>
    </row>
    <row r="843" spans="1:3" x14ac:dyDescent="0.3">
      <c r="A843">
        <v>8</v>
      </c>
      <c r="B843">
        <v>4018.37</v>
      </c>
      <c r="C843">
        <f t="shared" si="14"/>
        <v>32146.959999999999</v>
      </c>
    </row>
    <row r="844" spans="1:3" x14ac:dyDescent="0.3">
      <c r="A844">
        <v>3</v>
      </c>
      <c r="B844">
        <v>1406.18</v>
      </c>
      <c r="C844">
        <f t="shared" si="14"/>
        <v>4218.54</v>
      </c>
    </row>
    <row r="845" spans="1:3" x14ac:dyDescent="0.3">
      <c r="A845">
        <v>10</v>
      </c>
      <c r="B845">
        <v>3034.68</v>
      </c>
      <c r="C845">
        <f t="shared" si="14"/>
        <v>30346.799999999999</v>
      </c>
    </row>
    <row r="846" spans="1:3" x14ac:dyDescent="0.3">
      <c r="A846">
        <v>5</v>
      </c>
      <c r="B846">
        <v>4039.15</v>
      </c>
      <c r="C846">
        <f t="shared" si="14"/>
        <v>20195.75</v>
      </c>
    </row>
    <row r="847" spans="1:3" x14ac:dyDescent="0.3">
      <c r="A847">
        <v>8</v>
      </c>
      <c r="B847">
        <v>1679.17</v>
      </c>
      <c r="C847">
        <f t="shared" si="14"/>
        <v>13433.36</v>
      </c>
    </row>
    <row r="848" spans="1:3" x14ac:dyDescent="0.3">
      <c r="A848">
        <v>6</v>
      </c>
      <c r="B848">
        <v>3413.23</v>
      </c>
      <c r="C848">
        <f t="shared" si="14"/>
        <v>20479.38</v>
      </c>
    </row>
    <row r="849" spans="1:3" x14ac:dyDescent="0.3">
      <c r="A849">
        <v>1</v>
      </c>
      <c r="B849">
        <v>645.19000000000005</v>
      </c>
      <c r="C849">
        <f t="shared" si="14"/>
        <v>645.19000000000005</v>
      </c>
    </row>
    <row r="850" spans="1:3" x14ac:dyDescent="0.3">
      <c r="A850">
        <v>8</v>
      </c>
      <c r="B850">
        <v>1669.81</v>
      </c>
      <c r="C850">
        <f t="shared" si="14"/>
        <v>13358.48</v>
      </c>
    </row>
    <row r="851" spans="1:3" x14ac:dyDescent="0.3">
      <c r="A851">
        <v>9</v>
      </c>
      <c r="B851">
        <v>4137.8</v>
      </c>
      <c r="C851">
        <f t="shared" si="14"/>
        <v>37240.200000000004</v>
      </c>
    </row>
    <row r="852" spans="1:3" x14ac:dyDescent="0.3">
      <c r="A852">
        <v>1</v>
      </c>
      <c r="B852">
        <v>4067.74</v>
      </c>
      <c r="C852">
        <f t="shared" si="14"/>
        <v>4067.74</v>
      </c>
    </row>
    <row r="853" spans="1:3" x14ac:dyDescent="0.3">
      <c r="A853">
        <v>1</v>
      </c>
      <c r="B853">
        <v>1761.33</v>
      </c>
      <c r="C853">
        <f t="shared" si="14"/>
        <v>1761.33</v>
      </c>
    </row>
    <row r="854" spans="1:3" x14ac:dyDescent="0.3">
      <c r="A854">
        <v>1</v>
      </c>
      <c r="B854">
        <v>2112.69</v>
      </c>
      <c r="C854">
        <f t="shared" si="14"/>
        <v>2112.69</v>
      </c>
    </row>
    <row r="855" spans="1:3" x14ac:dyDescent="0.3">
      <c r="A855">
        <v>5</v>
      </c>
      <c r="B855">
        <v>2685.71</v>
      </c>
      <c r="C855">
        <f t="shared" si="14"/>
        <v>13428.55</v>
      </c>
    </row>
    <row r="856" spans="1:3" x14ac:dyDescent="0.3">
      <c r="A856">
        <v>7</v>
      </c>
      <c r="B856">
        <v>3379.38</v>
      </c>
      <c r="C856">
        <f t="shared" si="14"/>
        <v>23655.66</v>
      </c>
    </row>
    <row r="857" spans="1:3" x14ac:dyDescent="0.3">
      <c r="A857">
        <v>5</v>
      </c>
      <c r="B857">
        <v>2455.94</v>
      </c>
      <c r="C857">
        <f t="shared" si="14"/>
        <v>12279.7</v>
      </c>
    </row>
    <row r="858" spans="1:3" x14ac:dyDescent="0.3">
      <c r="A858">
        <v>9</v>
      </c>
      <c r="B858">
        <v>169.44</v>
      </c>
      <c r="C858">
        <f t="shared" si="14"/>
        <v>1524.96</v>
      </c>
    </row>
    <row r="859" spans="1:3" x14ac:dyDescent="0.3">
      <c r="A859">
        <v>3</v>
      </c>
      <c r="B859">
        <v>2525.38</v>
      </c>
      <c r="C859">
        <f t="shared" si="14"/>
        <v>7576.14</v>
      </c>
    </row>
    <row r="860" spans="1:3" x14ac:dyDescent="0.3">
      <c r="A860">
        <v>6</v>
      </c>
      <c r="B860">
        <v>3564.39</v>
      </c>
      <c r="C860">
        <f t="shared" si="14"/>
        <v>21386.34</v>
      </c>
    </row>
    <row r="861" spans="1:3" x14ac:dyDescent="0.3">
      <c r="A861">
        <v>5</v>
      </c>
      <c r="B861">
        <v>487.8</v>
      </c>
      <c r="C861">
        <f t="shared" si="14"/>
        <v>2439</v>
      </c>
    </row>
    <row r="862" spans="1:3" x14ac:dyDescent="0.3">
      <c r="A862">
        <v>6</v>
      </c>
      <c r="B862">
        <v>301.35000000000002</v>
      </c>
      <c r="C862">
        <f t="shared" si="14"/>
        <v>1808.1000000000001</v>
      </c>
    </row>
    <row r="863" spans="1:3" x14ac:dyDescent="0.3">
      <c r="A863">
        <v>10</v>
      </c>
      <c r="B863">
        <v>2294.81</v>
      </c>
      <c r="C863">
        <f t="shared" si="14"/>
        <v>22948.1</v>
      </c>
    </row>
    <row r="864" spans="1:3" x14ac:dyDescent="0.3">
      <c r="A864">
        <v>2</v>
      </c>
      <c r="B864">
        <v>2754.08</v>
      </c>
      <c r="C864">
        <f t="shared" si="14"/>
        <v>5508.16</v>
      </c>
    </row>
    <row r="865" spans="1:3" x14ac:dyDescent="0.3">
      <c r="A865">
        <v>1</v>
      </c>
      <c r="B865">
        <v>3832.51</v>
      </c>
      <c r="C865">
        <f t="shared" si="14"/>
        <v>3832.51</v>
      </c>
    </row>
    <row r="866" spans="1:3" x14ac:dyDescent="0.3">
      <c r="A866">
        <v>1</v>
      </c>
      <c r="B866">
        <v>4737.3500000000004</v>
      </c>
      <c r="C866">
        <f t="shared" si="14"/>
        <v>4737.3500000000004</v>
      </c>
    </row>
    <row r="867" spans="1:3" x14ac:dyDescent="0.3">
      <c r="A867">
        <v>2</v>
      </c>
      <c r="B867">
        <v>4153.57</v>
      </c>
      <c r="C867">
        <f t="shared" si="14"/>
        <v>8307.14</v>
      </c>
    </row>
    <row r="868" spans="1:3" x14ac:dyDescent="0.3">
      <c r="A868">
        <v>9</v>
      </c>
      <c r="B868">
        <v>594.88</v>
      </c>
      <c r="C868">
        <f t="shared" si="14"/>
        <v>5353.92</v>
      </c>
    </row>
    <row r="869" spans="1:3" x14ac:dyDescent="0.3">
      <c r="A869">
        <v>4</v>
      </c>
      <c r="B869">
        <v>3761.64</v>
      </c>
      <c r="C869">
        <f t="shared" si="14"/>
        <v>15046.56</v>
      </c>
    </row>
    <row r="870" spans="1:3" x14ac:dyDescent="0.3">
      <c r="A870">
        <v>1</v>
      </c>
      <c r="B870">
        <v>383.38</v>
      </c>
      <c r="C870">
        <f t="shared" si="14"/>
        <v>383.38</v>
      </c>
    </row>
    <row r="871" spans="1:3" x14ac:dyDescent="0.3">
      <c r="A871">
        <v>5</v>
      </c>
      <c r="B871">
        <v>4621.08</v>
      </c>
      <c r="C871">
        <f t="shared" si="14"/>
        <v>23105.4</v>
      </c>
    </row>
    <row r="872" spans="1:3" x14ac:dyDescent="0.3">
      <c r="A872">
        <v>1</v>
      </c>
      <c r="B872">
        <v>2593.41</v>
      </c>
      <c r="C872">
        <f t="shared" si="14"/>
        <v>2593.41</v>
      </c>
    </row>
    <row r="873" spans="1:3" x14ac:dyDescent="0.3">
      <c r="A873">
        <v>3</v>
      </c>
      <c r="B873">
        <v>3903.05</v>
      </c>
      <c r="C873">
        <f t="shared" si="14"/>
        <v>11709.150000000001</v>
      </c>
    </row>
    <row r="874" spans="1:3" x14ac:dyDescent="0.3">
      <c r="A874">
        <v>2</v>
      </c>
      <c r="B874">
        <v>4643.03</v>
      </c>
      <c r="C874">
        <f t="shared" si="14"/>
        <v>9286.06</v>
      </c>
    </row>
    <row r="875" spans="1:3" x14ac:dyDescent="0.3">
      <c r="A875">
        <v>6</v>
      </c>
      <c r="B875">
        <v>2234.13</v>
      </c>
      <c r="C875">
        <f t="shared" si="14"/>
        <v>13404.78</v>
      </c>
    </row>
    <row r="876" spans="1:3" x14ac:dyDescent="0.3">
      <c r="A876">
        <v>5</v>
      </c>
      <c r="B876">
        <v>3650.8</v>
      </c>
      <c r="C876">
        <f t="shared" si="14"/>
        <v>18254</v>
      </c>
    </row>
    <row r="877" spans="1:3" x14ac:dyDescent="0.3">
      <c r="A877">
        <v>2</v>
      </c>
      <c r="B877">
        <v>4430.51</v>
      </c>
      <c r="C877">
        <f t="shared" si="14"/>
        <v>8861.02</v>
      </c>
    </row>
    <row r="878" spans="1:3" x14ac:dyDescent="0.3">
      <c r="A878">
        <v>4</v>
      </c>
      <c r="B878">
        <v>1650.39</v>
      </c>
      <c r="C878">
        <f t="shared" si="14"/>
        <v>6601.56</v>
      </c>
    </row>
    <row r="879" spans="1:3" x14ac:dyDescent="0.3">
      <c r="A879">
        <v>3</v>
      </c>
      <c r="B879">
        <v>2419.11</v>
      </c>
      <c r="C879">
        <f t="shared" si="14"/>
        <v>7257.33</v>
      </c>
    </row>
    <row r="880" spans="1:3" x14ac:dyDescent="0.3">
      <c r="A880">
        <v>4</v>
      </c>
      <c r="B880">
        <v>121.14</v>
      </c>
      <c r="C880">
        <f t="shared" si="14"/>
        <v>484.56</v>
      </c>
    </row>
    <row r="881" spans="1:3" x14ac:dyDescent="0.3">
      <c r="A881">
        <v>6</v>
      </c>
      <c r="B881">
        <v>1999.74</v>
      </c>
      <c r="C881">
        <f t="shared" si="14"/>
        <v>11998.44</v>
      </c>
    </row>
    <row r="882" spans="1:3" x14ac:dyDescent="0.3">
      <c r="A882">
        <v>8</v>
      </c>
      <c r="B882">
        <v>2373.44</v>
      </c>
      <c r="C882">
        <f t="shared" si="14"/>
        <v>18987.52</v>
      </c>
    </row>
    <row r="883" spans="1:3" x14ac:dyDescent="0.3">
      <c r="A883">
        <v>7</v>
      </c>
      <c r="B883">
        <v>2511.46</v>
      </c>
      <c r="C883">
        <f t="shared" si="14"/>
        <v>17580.22</v>
      </c>
    </row>
    <row r="884" spans="1:3" x14ac:dyDescent="0.3">
      <c r="A884">
        <v>3</v>
      </c>
      <c r="B884">
        <v>494.23</v>
      </c>
      <c r="C884">
        <f t="shared" si="14"/>
        <v>1482.69</v>
      </c>
    </row>
    <row r="885" spans="1:3" x14ac:dyDescent="0.3">
      <c r="A885">
        <v>5</v>
      </c>
      <c r="B885">
        <v>1500.27</v>
      </c>
      <c r="C885">
        <f t="shared" si="14"/>
        <v>7501.35</v>
      </c>
    </row>
    <row r="886" spans="1:3" x14ac:dyDescent="0.3">
      <c r="A886">
        <v>7</v>
      </c>
      <c r="B886">
        <v>2573.8000000000002</v>
      </c>
      <c r="C886">
        <f t="shared" si="14"/>
        <v>18016.600000000002</v>
      </c>
    </row>
    <row r="887" spans="1:3" x14ac:dyDescent="0.3">
      <c r="A887">
        <v>9</v>
      </c>
      <c r="B887">
        <v>1895.85</v>
      </c>
      <c r="C887">
        <f t="shared" si="14"/>
        <v>17062.649999999998</v>
      </c>
    </row>
    <row r="888" spans="1:3" x14ac:dyDescent="0.3">
      <c r="A888">
        <v>7</v>
      </c>
      <c r="B888">
        <v>2082.17</v>
      </c>
      <c r="C888">
        <f t="shared" si="14"/>
        <v>14575.19</v>
      </c>
    </row>
    <row r="889" spans="1:3" x14ac:dyDescent="0.3">
      <c r="A889">
        <v>2</v>
      </c>
      <c r="B889">
        <v>4431.1899999999996</v>
      </c>
      <c r="C889">
        <f t="shared" si="14"/>
        <v>8862.3799999999992</v>
      </c>
    </row>
    <row r="890" spans="1:3" x14ac:dyDescent="0.3">
      <c r="A890">
        <v>10</v>
      </c>
      <c r="B890">
        <v>2982.89</v>
      </c>
      <c r="C890">
        <f t="shared" si="14"/>
        <v>29828.899999999998</v>
      </c>
    </row>
    <row r="891" spans="1:3" x14ac:dyDescent="0.3">
      <c r="A891">
        <v>9</v>
      </c>
      <c r="B891">
        <v>888.28</v>
      </c>
      <c r="C891">
        <f t="shared" si="14"/>
        <v>7994.5199999999995</v>
      </c>
    </row>
    <row r="892" spans="1:3" x14ac:dyDescent="0.3">
      <c r="A892">
        <v>2</v>
      </c>
      <c r="B892">
        <v>4075.83</v>
      </c>
      <c r="C892">
        <f t="shared" si="14"/>
        <v>8151.66</v>
      </c>
    </row>
    <row r="893" spans="1:3" x14ac:dyDescent="0.3">
      <c r="A893">
        <v>5</v>
      </c>
      <c r="B893">
        <v>643.28</v>
      </c>
      <c r="C893">
        <f t="shared" si="14"/>
        <v>3216.3999999999996</v>
      </c>
    </row>
    <row r="894" spans="1:3" x14ac:dyDescent="0.3">
      <c r="A894">
        <v>9</v>
      </c>
      <c r="B894">
        <v>1259.29</v>
      </c>
      <c r="C894">
        <f t="shared" si="14"/>
        <v>11333.61</v>
      </c>
    </row>
    <row r="895" spans="1:3" x14ac:dyDescent="0.3">
      <c r="A895">
        <v>7</v>
      </c>
      <c r="B895">
        <v>1375.47</v>
      </c>
      <c r="C895">
        <f t="shared" si="14"/>
        <v>9628.2900000000009</v>
      </c>
    </row>
    <row r="896" spans="1:3" x14ac:dyDescent="0.3">
      <c r="A896">
        <v>5</v>
      </c>
      <c r="B896">
        <v>1412.93</v>
      </c>
      <c r="C896">
        <f t="shared" si="14"/>
        <v>7064.6500000000005</v>
      </c>
    </row>
    <row r="897" spans="1:3" x14ac:dyDescent="0.3">
      <c r="A897">
        <v>7</v>
      </c>
      <c r="B897">
        <v>1865.32</v>
      </c>
      <c r="C897">
        <f t="shared" si="14"/>
        <v>13057.24</v>
      </c>
    </row>
    <row r="898" spans="1:3" x14ac:dyDescent="0.3">
      <c r="A898">
        <v>6</v>
      </c>
      <c r="B898">
        <v>2257.69</v>
      </c>
      <c r="C898">
        <f t="shared" si="14"/>
        <v>13546.14</v>
      </c>
    </row>
    <row r="899" spans="1:3" x14ac:dyDescent="0.3">
      <c r="A899">
        <v>1</v>
      </c>
      <c r="B899">
        <v>4704.32</v>
      </c>
      <c r="C899">
        <f t="shared" si="14"/>
        <v>4704.32</v>
      </c>
    </row>
    <row r="900" spans="1:3" x14ac:dyDescent="0.3">
      <c r="A900">
        <v>6</v>
      </c>
      <c r="B900">
        <v>2347.48</v>
      </c>
      <c r="C900">
        <f t="shared" ref="C900:C963" si="15">A900*B900</f>
        <v>14084.880000000001</v>
      </c>
    </row>
    <row r="901" spans="1:3" x14ac:dyDescent="0.3">
      <c r="A901">
        <v>4</v>
      </c>
      <c r="B901">
        <v>2971.74</v>
      </c>
      <c r="C901">
        <f t="shared" si="15"/>
        <v>11886.96</v>
      </c>
    </row>
    <row r="902" spans="1:3" x14ac:dyDescent="0.3">
      <c r="A902">
        <v>7</v>
      </c>
      <c r="B902">
        <v>2980.92</v>
      </c>
      <c r="C902">
        <f t="shared" si="15"/>
        <v>20866.440000000002</v>
      </c>
    </row>
    <row r="903" spans="1:3" x14ac:dyDescent="0.3">
      <c r="A903">
        <v>7</v>
      </c>
      <c r="B903">
        <v>1952.69</v>
      </c>
      <c r="C903">
        <f t="shared" si="15"/>
        <v>13668.83</v>
      </c>
    </row>
    <row r="904" spans="1:3" x14ac:dyDescent="0.3">
      <c r="A904">
        <v>5</v>
      </c>
      <c r="B904">
        <v>122.68</v>
      </c>
      <c r="C904">
        <f t="shared" si="15"/>
        <v>613.40000000000009</v>
      </c>
    </row>
    <row r="905" spans="1:3" x14ac:dyDescent="0.3">
      <c r="A905">
        <v>5</v>
      </c>
      <c r="B905">
        <v>2728.51</v>
      </c>
      <c r="C905">
        <f t="shared" si="15"/>
        <v>13642.550000000001</v>
      </c>
    </row>
    <row r="906" spans="1:3" x14ac:dyDescent="0.3">
      <c r="A906">
        <v>7</v>
      </c>
      <c r="B906">
        <v>4131.7700000000004</v>
      </c>
      <c r="C906">
        <f t="shared" si="15"/>
        <v>28922.390000000003</v>
      </c>
    </row>
    <row r="907" spans="1:3" x14ac:dyDescent="0.3">
      <c r="A907">
        <v>4</v>
      </c>
      <c r="B907">
        <v>4160.3999999999996</v>
      </c>
      <c r="C907">
        <f t="shared" si="15"/>
        <v>16641.599999999999</v>
      </c>
    </row>
    <row r="908" spans="1:3" x14ac:dyDescent="0.3">
      <c r="A908">
        <v>7</v>
      </c>
      <c r="B908">
        <v>2288.41</v>
      </c>
      <c r="C908">
        <f t="shared" si="15"/>
        <v>16018.869999999999</v>
      </c>
    </row>
    <row r="909" spans="1:3" x14ac:dyDescent="0.3">
      <c r="A909">
        <v>4</v>
      </c>
      <c r="B909">
        <v>3745.52</v>
      </c>
      <c r="C909">
        <f t="shared" si="15"/>
        <v>14982.08</v>
      </c>
    </row>
    <row r="910" spans="1:3" x14ac:dyDescent="0.3">
      <c r="A910">
        <v>3</v>
      </c>
      <c r="B910">
        <v>3462.75</v>
      </c>
      <c r="C910">
        <f t="shared" si="15"/>
        <v>10388.25</v>
      </c>
    </row>
    <row r="911" spans="1:3" x14ac:dyDescent="0.3">
      <c r="A911">
        <v>1</v>
      </c>
      <c r="B911">
        <v>2442.37</v>
      </c>
      <c r="C911">
        <f t="shared" si="15"/>
        <v>2442.37</v>
      </c>
    </row>
    <row r="912" spans="1:3" x14ac:dyDescent="0.3">
      <c r="A912">
        <v>8</v>
      </c>
      <c r="B912">
        <v>3205.88</v>
      </c>
      <c r="C912">
        <f t="shared" si="15"/>
        <v>25647.040000000001</v>
      </c>
    </row>
    <row r="913" spans="1:3" x14ac:dyDescent="0.3">
      <c r="A913">
        <v>4</v>
      </c>
      <c r="B913">
        <v>835.81</v>
      </c>
      <c r="C913">
        <f t="shared" si="15"/>
        <v>3343.24</v>
      </c>
    </row>
    <row r="914" spans="1:3" x14ac:dyDescent="0.3">
      <c r="A914">
        <v>4</v>
      </c>
      <c r="B914">
        <v>2472.67</v>
      </c>
      <c r="C914">
        <f t="shared" si="15"/>
        <v>9890.68</v>
      </c>
    </row>
    <row r="915" spans="1:3" x14ac:dyDescent="0.3">
      <c r="A915">
        <v>1</v>
      </c>
      <c r="B915">
        <v>3151.59</v>
      </c>
      <c r="C915">
        <f t="shared" si="15"/>
        <v>3151.59</v>
      </c>
    </row>
    <row r="916" spans="1:3" x14ac:dyDescent="0.3">
      <c r="A916">
        <v>5</v>
      </c>
      <c r="B916">
        <v>1420.25</v>
      </c>
      <c r="C916">
        <f t="shared" si="15"/>
        <v>7101.25</v>
      </c>
    </row>
    <row r="917" spans="1:3" x14ac:dyDescent="0.3">
      <c r="A917">
        <v>2</v>
      </c>
      <c r="B917">
        <v>1516.91</v>
      </c>
      <c r="C917">
        <f t="shared" si="15"/>
        <v>3033.82</v>
      </c>
    </row>
    <row r="918" spans="1:3" x14ac:dyDescent="0.3">
      <c r="A918">
        <v>7</v>
      </c>
      <c r="B918">
        <v>3419.49</v>
      </c>
      <c r="C918">
        <f t="shared" si="15"/>
        <v>23936.43</v>
      </c>
    </row>
    <row r="919" spans="1:3" x14ac:dyDescent="0.3">
      <c r="A919">
        <v>5</v>
      </c>
      <c r="B919">
        <v>3421.65</v>
      </c>
      <c r="C919">
        <f t="shared" si="15"/>
        <v>17108.25</v>
      </c>
    </row>
    <row r="920" spans="1:3" x14ac:dyDescent="0.3">
      <c r="A920">
        <v>3</v>
      </c>
      <c r="B920">
        <v>735.67</v>
      </c>
      <c r="C920">
        <f t="shared" si="15"/>
        <v>2207.0099999999998</v>
      </c>
    </row>
    <row r="921" spans="1:3" x14ac:dyDescent="0.3">
      <c r="A921">
        <v>5</v>
      </c>
      <c r="B921">
        <v>3313.24</v>
      </c>
      <c r="C921">
        <f t="shared" si="15"/>
        <v>16566.199999999997</v>
      </c>
    </row>
    <row r="922" spans="1:3" x14ac:dyDescent="0.3">
      <c r="A922">
        <v>10</v>
      </c>
      <c r="B922">
        <v>1006.66</v>
      </c>
      <c r="C922">
        <f t="shared" si="15"/>
        <v>10066.6</v>
      </c>
    </row>
    <row r="923" spans="1:3" x14ac:dyDescent="0.3">
      <c r="A923">
        <v>10</v>
      </c>
      <c r="B923">
        <v>2749.85</v>
      </c>
      <c r="C923">
        <f t="shared" si="15"/>
        <v>27498.5</v>
      </c>
    </row>
    <row r="924" spans="1:3" x14ac:dyDescent="0.3">
      <c r="A924">
        <v>3</v>
      </c>
      <c r="B924">
        <v>4589.26</v>
      </c>
      <c r="C924">
        <f t="shared" si="15"/>
        <v>13767.78</v>
      </c>
    </row>
    <row r="925" spans="1:3" x14ac:dyDescent="0.3">
      <c r="A925">
        <v>10</v>
      </c>
      <c r="B925">
        <v>4855.05</v>
      </c>
      <c r="C925">
        <f t="shared" si="15"/>
        <v>48550.5</v>
      </c>
    </row>
    <row r="926" spans="1:3" x14ac:dyDescent="0.3">
      <c r="A926">
        <v>8</v>
      </c>
      <c r="B926">
        <v>3676.11</v>
      </c>
      <c r="C926">
        <f t="shared" si="15"/>
        <v>29408.880000000001</v>
      </c>
    </row>
    <row r="927" spans="1:3" x14ac:dyDescent="0.3">
      <c r="A927">
        <v>7</v>
      </c>
      <c r="B927">
        <v>3700.34</v>
      </c>
      <c r="C927">
        <f t="shared" si="15"/>
        <v>25902.38</v>
      </c>
    </row>
    <row r="928" spans="1:3" x14ac:dyDescent="0.3">
      <c r="A928">
        <v>5</v>
      </c>
      <c r="B928">
        <v>368.99</v>
      </c>
      <c r="C928">
        <f t="shared" si="15"/>
        <v>1844.95</v>
      </c>
    </row>
    <row r="929" spans="1:3" x14ac:dyDescent="0.3">
      <c r="A929">
        <v>8</v>
      </c>
      <c r="B929">
        <v>332.71</v>
      </c>
      <c r="C929">
        <f t="shared" si="15"/>
        <v>2661.68</v>
      </c>
    </row>
    <row r="930" spans="1:3" x14ac:dyDescent="0.3">
      <c r="A930">
        <v>3</v>
      </c>
      <c r="B930">
        <v>3380.12</v>
      </c>
      <c r="C930">
        <f t="shared" si="15"/>
        <v>10140.36</v>
      </c>
    </row>
    <row r="931" spans="1:3" x14ac:dyDescent="0.3">
      <c r="A931">
        <v>5</v>
      </c>
      <c r="B931">
        <v>4093.59</v>
      </c>
      <c r="C931">
        <f t="shared" si="15"/>
        <v>20467.95</v>
      </c>
    </row>
    <row r="932" spans="1:3" x14ac:dyDescent="0.3">
      <c r="A932">
        <v>4</v>
      </c>
      <c r="B932">
        <v>2975.44</v>
      </c>
      <c r="C932">
        <f t="shared" si="15"/>
        <v>11901.76</v>
      </c>
    </row>
    <row r="933" spans="1:3" x14ac:dyDescent="0.3">
      <c r="A933">
        <v>10</v>
      </c>
      <c r="B933">
        <v>2195.6</v>
      </c>
      <c r="C933">
        <f t="shared" si="15"/>
        <v>21956</v>
      </c>
    </row>
    <row r="934" spans="1:3" x14ac:dyDescent="0.3">
      <c r="A934">
        <v>7</v>
      </c>
      <c r="B934">
        <v>1754.21</v>
      </c>
      <c r="C934">
        <f t="shared" si="15"/>
        <v>12279.470000000001</v>
      </c>
    </row>
    <row r="935" spans="1:3" x14ac:dyDescent="0.3">
      <c r="A935">
        <v>4</v>
      </c>
      <c r="B935">
        <v>4188.05</v>
      </c>
      <c r="C935">
        <f t="shared" si="15"/>
        <v>16752.2</v>
      </c>
    </row>
    <row r="936" spans="1:3" x14ac:dyDescent="0.3">
      <c r="A936">
        <v>5</v>
      </c>
      <c r="B936">
        <v>2398.06</v>
      </c>
      <c r="C936">
        <f t="shared" si="15"/>
        <v>11990.3</v>
      </c>
    </row>
    <row r="937" spans="1:3" x14ac:dyDescent="0.3">
      <c r="A937">
        <v>5</v>
      </c>
      <c r="B937">
        <v>4782.3500000000004</v>
      </c>
      <c r="C937">
        <f t="shared" si="15"/>
        <v>23911.75</v>
      </c>
    </row>
    <row r="938" spans="1:3" x14ac:dyDescent="0.3">
      <c r="A938">
        <v>9</v>
      </c>
      <c r="B938">
        <v>2719.07</v>
      </c>
      <c r="C938">
        <f t="shared" si="15"/>
        <v>24471.63</v>
      </c>
    </row>
    <row r="939" spans="1:3" x14ac:dyDescent="0.3">
      <c r="A939">
        <v>3</v>
      </c>
      <c r="B939">
        <v>2821.51</v>
      </c>
      <c r="C939">
        <f t="shared" si="15"/>
        <v>8464.5300000000007</v>
      </c>
    </row>
    <row r="940" spans="1:3" x14ac:dyDescent="0.3">
      <c r="A940">
        <v>2</v>
      </c>
      <c r="B940">
        <v>4470.8</v>
      </c>
      <c r="C940">
        <f t="shared" si="15"/>
        <v>8941.6</v>
      </c>
    </row>
    <row r="941" spans="1:3" x14ac:dyDescent="0.3">
      <c r="A941">
        <v>8</v>
      </c>
      <c r="B941">
        <v>4483.8100000000004</v>
      </c>
      <c r="C941">
        <f t="shared" si="15"/>
        <v>35870.480000000003</v>
      </c>
    </row>
    <row r="942" spans="1:3" x14ac:dyDescent="0.3">
      <c r="A942">
        <v>9</v>
      </c>
      <c r="B942">
        <v>4994.53</v>
      </c>
      <c r="C942">
        <f t="shared" si="15"/>
        <v>44950.77</v>
      </c>
    </row>
    <row r="943" spans="1:3" x14ac:dyDescent="0.3">
      <c r="A943">
        <v>1</v>
      </c>
      <c r="B943">
        <v>4264.5600000000004</v>
      </c>
      <c r="C943">
        <f t="shared" si="15"/>
        <v>4264.5600000000004</v>
      </c>
    </row>
    <row r="944" spans="1:3" x14ac:dyDescent="0.3">
      <c r="A944">
        <v>3</v>
      </c>
      <c r="B944">
        <v>4592.92</v>
      </c>
      <c r="C944">
        <f t="shared" si="15"/>
        <v>13778.76</v>
      </c>
    </row>
    <row r="945" spans="1:3" x14ac:dyDescent="0.3">
      <c r="A945">
        <v>8</v>
      </c>
      <c r="B945">
        <v>1248.24</v>
      </c>
      <c r="C945">
        <f t="shared" si="15"/>
        <v>9985.92</v>
      </c>
    </row>
    <row r="946" spans="1:3" x14ac:dyDescent="0.3">
      <c r="A946">
        <v>8</v>
      </c>
      <c r="B946">
        <v>4627.26</v>
      </c>
      <c r="C946">
        <f t="shared" si="15"/>
        <v>37018.080000000002</v>
      </c>
    </row>
    <row r="947" spans="1:3" x14ac:dyDescent="0.3">
      <c r="A947">
        <v>3</v>
      </c>
      <c r="B947">
        <v>1975.56</v>
      </c>
      <c r="C947">
        <f t="shared" si="15"/>
        <v>5926.68</v>
      </c>
    </row>
    <row r="948" spans="1:3" x14ac:dyDescent="0.3">
      <c r="A948">
        <v>4</v>
      </c>
      <c r="B948">
        <v>3588.63</v>
      </c>
      <c r="C948">
        <f t="shared" si="15"/>
        <v>14354.52</v>
      </c>
    </row>
    <row r="949" spans="1:3" x14ac:dyDescent="0.3">
      <c r="A949">
        <v>9</v>
      </c>
      <c r="B949">
        <v>600.04</v>
      </c>
      <c r="C949">
        <f t="shared" si="15"/>
        <v>5400.36</v>
      </c>
    </row>
    <row r="950" spans="1:3" x14ac:dyDescent="0.3">
      <c r="A950">
        <v>7</v>
      </c>
      <c r="B950">
        <v>3817.26</v>
      </c>
      <c r="C950">
        <f t="shared" si="15"/>
        <v>26720.82</v>
      </c>
    </row>
    <row r="951" spans="1:3" x14ac:dyDescent="0.3">
      <c r="A951">
        <v>10</v>
      </c>
      <c r="B951">
        <v>1678.64</v>
      </c>
      <c r="C951">
        <f t="shared" si="15"/>
        <v>16786.400000000001</v>
      </c>
    </row>
    <row r="952" spans="1:3" x14ac:dyDescent="0.3">
      <c r="A952">
        <v>8</v>
      </c>
      <c r="B952">
        <v>3362.96</v>
      </c>
      <c r="C952">
        <f t="shared" si="15"/>
        <v>26903.68</v>
      </c>
    </row>
    <row r="953" spans="1:3" x14ac:dyDescent="0.3">
      <c r="A953">
        <v>3</v>
      </c>
      <c r="B953">
        <v>350.93</v>
      </c>
      <c r="C953">
        <f t="shared" si="15"/>
        <v>1052.79</v>
      </c>
    </row>
    <row r="954" spans="1:3" x14ac:dyDescent="0.3">
      <c r="A954">
        <v>3</v>
      </c>
      <c r="B954">
        <v>3916.21</v>
      </c>
      <c r="C954">
        <f t="shared" si="15"/>
        <v>11748.630000000001</v>
      </c>
    </row>
    <row r="955" spans="1:3" x14ac:dyDescent="0.3">
      <c r="A955">
        <v>4</v>
      </c>
      <c r="B955">
        <v>312.57</v>
      </c>
      <c r="C955">
        <f t="shared" si="15"/>
        <v>1250.28</v>
      </c>
    </row>
    <row r="956" spans="1:3" x14ac:dyDescent="0.3">
      <c r="A956">
        <v>2</v>
      </c>
      <c r="B956">
        <v>1612.02</v>
      </c>
      <c r="C956">
        <f t="shared" si="15"/>
        <v>3224.04</v>
      </c>
    </row>
    <row r="957" spans="1:3" x14ac:dyDescent="0.3">
      <c r="A957">
        <v>3</v>
      </c>
      <c r="B957">
        <v>2169.9699999999998</v>
      </c>
      <c r="C957">
        <f t="shared" si="15"/>
        <v>6509.91</v>
      </c>
    </row>
    <row r="958" spans="1:3" x14ac:dyDescent="0.3">
      <c r="A958">
        <v>7</v>
      </c>
      <c r="B958">
        <v>2649.27</v>
      </c>
      <c r="C958">
        <f t="shared" si="15"/>
        <v>18544.89</v>
      </c>
    </row>
    <row r="959" spans="1:3" x14ac:dyDescent="0.3">
      <c r="A959">
        <v>2</v>
      </c>
      <c r="B959">
        <v>1543.26</v>
      </c>
      <c r="C959">
        <f t="shared" si="15"/>
        <v>3086.52</v>
      </c>
    </row>
    <row r="960" spans="1:3" x14ac:dyDescent="0.3">
      <c r="A960">
        <v>7</v>
      </c>
      <c r="B960">
        <v>185.18</v>
      </c>
      <c r="C960">
        <f t="shared" si="15"/>
        <v>1296.26</v>
      </c>
    </row>
    <row r="961" spans="1:3" x14ac:dyDescent="0.3">
      <c r="A961">
        <v>10</v>
      </c>
      <c r="B961">
        <v>4997.75</v>
      </c>
      <c r="C961">
        <f t="shared" si="15"/>
        <v>49977.5</v>
      </c>
    </row>
    <row r="962" spans="1:3" x14ac:dyDescent="0.3">
      <c r="A962">
        <v>8</v>
      </c>
      <c r="B962">
        <v>1185.81</v>
      </c>
      <c r="C962">
        <f t="shared" si="15"/>
        <v>9486.48</v>
      </c>
    </row>
    <row r="963" spans="1:3" x14ac:dyDescent="0.3">
      <c r="A963">
        <v>9</v>
      </c>
      <c r="B963">
        <v>2503.25</v>
      </c>
      <c r="C963">
        <f t="shared" si="15"/>
        <v>22529.25</v>
      </c>
    </row>
    <row r="964" spans="1:3" x14ac:dyDescent="0.3">
      <c r="A964">
        <v>8</v>
      </c>
      <c r="B964">
        <v>2562.5500000000002</v>
      </c>
      <c r="C964">
        <f t="shared" ref="C964:C1001" si="16">A964*B964</f>
        <v>20500.400000000001</v>
      </c>
    </row>
    <row r="965" spans="1:3" x14ac:dyDescent="0.3">
      <c r="A965">
        <v>8</v>
      </c>
      <c r="B965">
        <v>4245.08</v>
      </c>
      <c r="C965">
        <f t="shared" si="16"/>
        <v>33960.639999999999</v>
      </c>
    </row>
    <row r="966" spans="1:3" x14ac:dyDescent="0.3">
      <c r="A966">
        <v>1</v>
      </c>
      <c r="B966">
        <v>3538.36</v>
      </c>
      <c r="C966">
        <f t="shared" si="16"/>
        <v>3538.36</v>
      </c>
    </row>
    <row r="967" spans="1:3" x14ac:dyDescent="0.3">
      <c r="A967">
        <v>9</v>
      </c>
      <c r="B967">
        <v>4621.58</v>
      </c>
      <c r="C967">
        <f t="shared" si="16"/>
        <v>41594.22</v>
      </c>
    </row>
    <row r="968" spans="1:3" x14ac:dyDescent="0.3">
      <c r="A968">
        <v>10</v>
      </c>
      <c r="B968">
        <v>1544.53</v>
      </c>
      <c r="C968">
        <f t="shared" si="16"/>
        <v>15445.3</v>
      </c>
    </row>
    <row r="969" spans="1:3" x14ac:dyDescent="0.3">
      <c r="A969">
        <v>9</v>
      </c>
      <c r="B969">
        <v>4009.54</v>
      </c>
      <c r="C969">
        <f t="shared" si="16"/>
        <v>36085.86</v>
      </c>
    </row>
    <row r="970" spans="1:3" x14ac:dyDescent="0.3">
      <c r="A970">
        <v>5</v>
      </c>
      <c r="B970">
        <v>3759.55</v>
      </c>
      <c r="C970">
        <f t="shared" si="16"/>
        <v>18797.75</v>
      </c>
    </row>
    <row r="971" spans="1:3" x14ac:dyDescent="0.3">
      <c r="A971">
        <v>7</v>
      </c>
      <c r="B971">
        <v>3506.08</v>
      </c>
      <c r="C971">
        <f t="shared" si="16"/>
        <v>24542.559999999998</v>
      </c>
    </row>
    <row r="972" spans="1:3" x14ac:dyDescent="0.3">
      <c r="A972">
        <v>7</v>
      </c>
      <c r="B972">
        <v>956.73</v>
      </c>
      <c r="C972">
        <f t="shared" si="16"/>
        <v>6697.1100000000006</v>
      </c>
    </row>
    <row r="973" spans="1:3" x14ac:dyDescent="0.3">
      <c r="A973">
        <v>8</v>
      </c>
      <c r="B973">
        <v>2592.39</v>
      </c>
      <c r="C973">
        <f t="shared" si="16"/>
        <v>20739.12</v>
      </c>
    </row>
    <row r="974" spans="1:3" x14ac:dyDescent="0.3">
      <c r="A974">
        <v>1</v>
      </c>
      <c r="B974">
        <v>2723.65</v>
      </c>
      <c r="C974">
        <f t="shared" si="16"/>
        <v>2723.65</v>
      </c>
    </row>
    <row r="975" spans="1:3" x14ac:dyDescent="0.3">
      <c r="A975">
        <v>4</v>
      </c>
      <c r="B975">
        <v>3625.06</v>
      </c>
      <c r="C975">
        <f t="shared" si="16"/>
        <v>14500.24</v>
      </c>
    </row>
    <row r="976" spans="1:3" x14ac:dyDescent="0.3">
      <c r="A976">
        <v>1</v>
      </c>
      <c r="B976">
        <v>3046.43</v>
      </c>
      <c r="C976">
        <f t="shared" si="16"/>
        <v>3046.43</v>
      </c>
    </row>
    <row r="977" spans="1:3" x14ac:dyDescent="0.3">
      <c r="A977">
        <v>1</v>
      </c>
      <c r="B977">
        <v>2541.0100000000002</v>
      </c>
      <c r="C977">
        <f t="shared" si="16"/>
        <v>2541.0100000000002</v>
      </c>
    </row>
    <row r="978" spans="1:3" x14ac:dyDescent="0.3">
      <c r="A978">
        <v>10</v>
      </c>
      <c r="B978">
        <v>3810.82</v>
      </c>
      <c r="C978">
        <f t="shared" si="16"/>
        <v>38108.200000000004</v>
      </c>
    </row>
    <row r="979" spans="1:3" x14ac:dyDescent="0.3">
      <c r="A979">
        <v>9</v>
      </c>
      <c r="B979">
        <v>1643.41</v>
      </c>
      <c r="C979">
        <f t="shared" si="16"/>
        <v>14790.69</v>
      </c>
    </row>
    <row r="980" spans="1:3" x14ac:dyDescent="0.3">
      <c r="A980">
        <v>9</v>
      </c>
      <c r="B980">
        <v>931.91</v>
      </c>
      <c r="C980">
        <f t="shared" si="16"/>
        <v>8387.19</v>
      </c>
    </row>
    <row r="981" spans="1:3" x14ac:dyDescent="0.3">
      <c r="A981">
        <v>9</v>
      </c>
      <c r="B981">
        <v>1869.27</v>
      </c>
      <c r="C981">
        <f t="shared" si="16"/>
        <v>16823.43</v>
      </c>
    </row>
    <row r="982" spans="1:3" x14ac:dyDescent="0.3">
      <c r="A982">
        <v>5</v>
      </c>
      <c r="B982">
        <v>2627.41</v>
      </c>
      <c r="C982">
        <f t="shared" si="16"/>
        <v>13137.05</v>
      </c>
    </row>
    <row r="983" spans="1:3" x14ac:dyDescent="0.3">
      <c r="A983">
        <v>2</v>
      </c>
      <c r="B983">
        <v>1609.31</v>
      </c>
      <c r="C983">
        <f t="shared" si="16"/>
        <v>3218.62</v>
      </c>
    </row>
    <row r="984" spans="1:3" x14ac:dyDescent="0.3">
      <c r="A984">
        <v>2</v>
      </c>
      <c r="B984">
        <v>242.79</v>
      </c>
      <c r="C984">
        <f t="shared" si="16"/>
        <v>485.58</v>
      </c>
    </row>
    <row r="985" spans="1:3" x14ac:dyDescent="0.3">
      <c r="A985">
        <v>9</v>
      </c>
      <c r="B985">
        <v>4563.2700000000004</v>
      </c>
      <c r="C985">
        <f t="shared" si="16"/>
        <v>41069.430000000008</v>
      </c>
    </row>
    <row r="986" spans="1:3" x14ac:dyDescent="0.3">
      <c r="A986">
        <v>4</v>
      </c>
      <c r="B986">
        <v>232.73</v>
      </c>
      <c r="C986">
        <f t="shared" si="16"/>
        <v>930.92</v>
      </c>
    </row>
    <row r="987" spans="1:3" x14ac:dyDescent="0.3">
      <c r="A987">
        <v>10</v>
      </c>
      <c r="B987">
        <v>2895.53</v>
      </c>
      <c r="C987">
        <f t="shared" si="16"/>
        <v>28955.300000000003</v>
      </c>
    </row>
    <row r="988" spans="1:3" x14ac:dyDescent="0.3">
      <c r="A988">
        <v>6</v>
      </c>
      <c r="B988">
        <v>1134.19</v>
      </c>
      <c r="C988">
        <f t="shared" si="16"/>
        <v>6805.14</v>
      </c>
    </row>
    <row r="989" spans="1:3" x14ac:dyDescent="0.3">
      <c r="A989">
        <v>5</v>
      </c>
      <c r="B989">
        <v>4435.34</v>
      </c>
      <c r="C989">
        <f t="shared" si="16"/>
        <v>22176.7</v>
      </c>
    </row>
    <row r="990" spans="1:3" x14ac:dyDescent="0.3">
      <c r="A990">
        <v>1</v>
      </c>
      <c r="B990">
        <v>2222.11</v>
      </c>
      <c r="C990">
        <f t="shared" si="16"/>
        <v>2222.11</v>
      </c>
    </row>
    <row r="991" spans="1:3" x14ac:dyDescent="0.3">
      <c r="A991">
        <v>6</v>
      </c>
      <c r="B991">
        <v>1433.79</v>
      </c>
      <c r="C991">
        <f t="shared" si="16"/>
        <v>8602.74</v>
      </c>
    </row>
    <row r="992" spans="1:3" x14ac:dyDescent="0.3">
      <c r="A992">
        <v>3</v>
      </c>
      <c r="B992">
        <v>3304.3</v>
      </c>
      <c r="C992">
        <f t="shared" si="16"/>
        <v>9912.9000000000015</v>
      </c>
    </row>
    <row r="993" spans="1:3" x14ac:dyDescent="0.3">
      <c r="A993">
        <v>6</v>
      </c>
      <c r="B993">
        <v>1117.5</v>
      </c>
      <c r="C993">
        <f t="shared" si="16"/>
        <v>6705</v>
      </c>
    </row>
    <row r="994" spans="1:3" x14ac:dyDescent="0.3">
      <c r="A994">
        <v>9</v>
      </c>
      <c r="B994">
        <v>2225.17</v>
      </c>
      <c r="C994">
        <f t="shared" si="16"/>
        <v>20026.53</v>
      </c>
    </row>
    <row r="995" spans="1:3" x14ac:dyDescent="0.3">
      <c r="A995">
        <v>6</v>
      </c>
      <c r="B995">
        <v>2015.79</v>
      </c>
      <c r="C995">
        <f t="shared" si="16"/>
        <v>12094.74</v>
      </c>
    </row>
    <row r="996" spans="1:3" x14ac:dyDescent="0.3">
      <c r="A996">
        <v>3</v>
      </c>
      <c r="B996">
        <v>1319.16</v>
      </c>
      <c r="C996">
        <f t="shared" si="16"/>
        <v>3957.4800000000005</v>
      </c>
    </row>
    <row r="997" spans="1:3" x14ac:dyDescent="0.3">
      <c r="A997">
        <v>1</v>
      </c>
      <c r="B997">
        <v>1393.71</v>
      </c>
      <c r="C997">
        <f t="shared" si="16"/>
        <v>1393.71</v>
      </c>
    </row>
    <row r="998" spans="1:3" x14ac:dyDescent="0.3">
      <c r="A998">
        <v>5</v>
      </c>
      <c r="B998">
        <v>632.55999999999995</v>
      </c>
      <c r="C998">
        <f t="shared" si="16"/>
        <v>3162.7999999999997</v>
      </c>
    </row>
    <row r="999" spans="1:3" x14ac:dyDescent="0.3">
      <c r="A999">
        <v>9</v>
      </c>
      <c r="B999">
        <v>3510.34</v>
      </c>
      <c r="C999">
        <f t="shared" si="16"/>
        <v>31593.06</v>
      </c>
    </row>
    <row r="1000" spans="1:3" x14ac:dyDescent="0.3">
      <c r="A1000">
        <v>8</v>
      </c>
      <c r="B1000">
        <v>2358.2800000000002</v>
      </c>
      <c r="C1000">
        <f t="shared" si="16"/>
        <v>18866.240000000002</v>
      </c>
    </row>
    <row r="1001" spans="1:3" x14ac:dyDescent="0.3">
      <c r="A1001">
        <v>7</v>
      </c>
      <c r="B1001">
        <v>4191.55</v>
      </c>
      <c r="C1001">
        <f t="shared" si="16"/>
        <v>29340.850000000002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3FE2-C500-43E9-BA3F-64B22AFBBCA3}">
  <dimension ref="A1:AA1001"/>
  <sheetViews>
    <sheetView tabSelected="1" topLeftCell="N1" zoomScale="114" workbookViewId="0">
      <selection activeCell="S7" sqref="S7"/>
    </sheetView>
  </sheetViews>
  <sheetFormatPr defaultRowHeight="14.4" x14ac:dyDescent="0.3"/>
  <cols>
    <col min="1" max="1" width="29.33203125" customWidth="1"/>
    <col min="2" max="2" width="10.6640625" bestFit="1" customWidth="1"/>
    <col min="3" max="3" width="11.88671875" bestFit="1" customWidth="1"/>
    <col min="4" max="4" width="15.21875" bestFit="1" customWidth="1"/>
    <col min="5" max="5" width="9.77734375" bestFit="1" customWidth="1"/>
    <col min="6" max="6" width="9.88671875" bestFit="1" customWidth="1"/>
    <col min="7" max="7" width="11.109375" bestFit="1" customWidth="1"/>
    <col min="8" max="8" width="8.33203125" bestFit="1" customWidth="1"/>
    <col min="9" max="9" width="9.6640625" bestFit="1" customWidth="1"/>
    <col min="10" max="10" width="16.44140625" bestFit="1" customWidth="1"/>
    <col min="11" max="11" width="11" bestFit="1" customWidth="1"/>
    <col min="12" max="12" width="13.21875" bestFit="1" customWidth="1"/>
    <col min="16" max="16" width="22.88671875" customWidth="1"/>
    <col min="17" max="17" width="17.21875" customWidth="1"/>
    <col min="18" max="18" width="19.5546875" customWidth="1"/>
    <col min="19" max="19" width="23.44140625" customWidth="1"/>
    <col min="20" max="20" width="18.88671875" customWidth="1"/>
    <col min="21" max="21" width="18.2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3" t="s">
        <v>9</v>
      </c>
    </row>
    <row r="2" spans="1:2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</v>
      </c>
      <c r="I2">
        <v>480.58</v>
      </c>
      <c r="J2" t="s">
        <v>19</v>
      </c>
      <c r="K2" t="s">
        <v>20</v>
      </c>
      <c r="L2">
        <f>H2*I2</f>
        <v>1441.74</v>
      </c>
      <c r="N2" t="s">
        <v>2764</v>
      </c>
      <c r="S2">
        <f>LOOKUP(P7,A2:A1001,H2:H1001)</f>
        <v>2</v>
      </c>
    </row>
    <row r="3" spans="1:22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3</v>
      </c>
      <c r="I3">
        <v>2093.35</v>
      </c>
      <c r="J3" t="s">
        <v>28</v>
      </c>
      <c r="K3" t="s">
        <v>29</v>
      </c>
      <c r="L3">
        <f t="shared" ref="L3:L66" si="0">H3*I3</f>
        <v>6280.0499999999993</v>
      </c>
      <c r="N3" t="s">
        <v>2765</v>
      </c>
      <c r="P3" t="str">
        <f>LOOKUP(P7,A2:K1001)</f>
        <v>Amit</v>
      </c>
    </row>
    <row r="4" spans="1:22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17</v>
      </c>
      <c r="G4" t="s">
        <v>35</v>
      </c>
      <c r="H4">
        <v>9</v>
      </c>
      <c r="I4">
        <v>2332.84</v>
      </c>
      <c r="J4" t="s">
        <v>19</v>
      </c>
      <c r="K4" t="s">
        <v>36</v>
      </c>
      <c r="L4">
        <f t="shared" si="0"/>
        <v>20995.56</v>
      </c>
      <c r="N4" t="s">
        <v>2766</v>
      </c>
    </row>
    <row r="5" spans="1:22" x14ac:dyDescent="0.3">
      <c r="A5" t="s">
        <v>37</v>
      </c>
      <c r="B5" t="s">
        <v>38</v>
      </c>
      <c r="C5" t="s">
        <v>39</v>
      </c>
      <c r="D5" t="s">
        <v>40</v>
      </c>
      <c r="E5" t="s">
        <v>25</v>
      </c>
      <c r="F5" t="s">
        <v>17</v>
      </c>
      <c r="G5" t="s">
        <v>41</v>
      </c>
      <c r="H5">
        <v>5</v>
      </c>
      <c r="I5">
        <v>3805.41</v>
      </c>
      <c r="J5" t="s">
        <v>42</v>
      </c>
      <c r="K5" t="s">
        <v>43</v>
      </c>
      <c r="L5">
        <f t="shared" si="0"/>
        <v>19027.05</v>
      </c>
      <c r="N5" t="s">
        <v>2763</v>
      </c>
    </row>
    <row r="6" spans="1:22" x14ac:dyDescent="0.3">
      <c r="A6" t="s">
        <v>44</v>
      </c>
      <c r="B6" t="s">
        <v>45</v>
      </c>
      <c r="C6" t="s">
        <v>46</v>
      </c>
      <c r="D6" t="s">
        <v>47</v>
      </c>
      <c r="E6" t="s">
        <v>34</v>
      </c>
      <c r="F6" t="s">
        <v>48</v>
      </c>
      <c r="G6" t="s">
        <v>49</v>
      </c>
      <c r="H6">
        <v>6</v>
      </c>
      <c r="I6">
        <v>628.03</v>
      </c>
      <c r="J6" t="s">
        <v>50</v>
      </c>
      <c r="K6" t="s">
        <v>51</v>
      </c>
      <c r="L6">
        <f t="shared" si="0"/>
        <v>3768.18</v>
      </c>
    </row>
    <row r="7" spans="1:22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48</v>
      </c>
      <c r="G7" t="s">
        <v>57</v>
      </c>
      <c r="H7">
        <v>7</v>
      </c>
      <c r="I7">
        <v>4422.68</v>
      </c>
      <c r="J7" t="s">
        <v>50</v>
      </c>
      <c r="K7" t="s">
        <v>51</v>
      </c>
      <c r="L7">
        <f t="shared" si="0"/>
        <v>30958.760000000002</v>
      </c>
      <c r="P7" t="s">
        <v>69</v>
      </c>
    </row>
    <row r="8" spans="1:22" x14ac:dyDescent="0.3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48</v>
      </c>
      <c r="G8" t="s">
        <v>63</v>
      </c>
      <c r="H8">
        <v>4</v>
      </c>
      <c r="I8">
        <v>1484.47</v>
      </c>
      <c r="J8" t="s">
        <v>19</v>
      </c>
      <c r="K8" t="s">
        <v>36</v>
      </c>
      <c r="L8">
        <f t="shared" si="0"/>
        <v>5937.88</v>
      </c>
    </row>
    <row r="9" spans="1:22" x14ac:dyDescent="0.3">
      <c r="A9" t="s">
        <v>64</v>
      </c>
      <c r="B9" t="s">
        <v>65</v>
      </c>
      <c r="C9" t="s">
        <v>66</v>
      </c>
      <c r="D9" t="s">
        <v>67</v>
      </c>
      <c r="E9" t="s">
        <v>34</v>
      </c>
      <c r="F9" t="s">
        <v>17</v>
      </c>
      <c r="G9" t="s">
        <v>68</v>
      </c>
      <c r="H9">
        <v>8</v>
      </c>
      <c r="I9">
        <v>4648.24</v>
      </c>
      <c r="J9" t="s">
        <v>19</v>
      </c>
      <c r="K9" t="s">
        <v>43</v>
      </c>
      <c r="L9">
        <f t="shared" si="0"/>
        <v>37185.919999999998</v>
      </c>
    </row>
    <row r="10" spans="1:22" x14ac:dyDescent="0.3">
      <c r="A10" t="s">
        <v>69</v>
      </c>
      <c r="B10" t="s">
        <v>70</v>
      </c>
      <c r="C10" t="s">
        <v>71</v>
      </c>
      <c r="D10" t="s">
        <v>72</v>
      </c>
      <c r="E10" t="s">
        <v>34</v>
      </c>
      <c r="F10" t="s">
        <v>48</v>
      </c>
      <c r="G10" t="s">
        <v>49</v>
      </c>
      <c r="H10">
        <v>2</v>
      </c>
      <c r="I10">
        <v>4394.83</v>
      </c>
      <c r="J10" t="s">
        <v>42</v>
      </c>
      <c r="K10" t="s">
        <v>51</v>
      </c>
      <c r="L10">
        <f t="shared" si="0"/>
        <v>8789.66</v>
      </c>
      <c r="P10" s="4" t="s">
        <v>0</v>
      </c>
      <c r="Q10" t="s">
        <v>79</v>
      </c>
      <c r="R10" t="s">
        <v>2767</v>
      </c>
      <c r="S10" s="7" t="s">
        <v>79</v>
      </c>
    </row>
    <row r="11" spans="1:22" x14ac:dyDescent="0.3">
      <c r="A11" t="s">
        <v>73</v>
      </c>
      <c r="B11" t="s">
        <v>74</v>
      </c>
      <c r="C11" t="s">
        <v>75</v>
      </c>
      <c r="D11" t="s">
        <v>76</v>
      </c>
      <c r="E11" t="s">
        <v>62</v>
      </c>
      <c r="F11" t="s">
        <v>77</v>
      </c>
      <c r="G11" t="s">
        <v>78</v>
      </c>
      <c r="H11">
        <v>8</v>
      </c>
      <c r="I11">
        <v>1546.77</v>
      </c>
      <c r="J11" t="s">
        <v>19</v>
      </c>
      <c r="K11" t="s">
        <v>20</v>
      </c>
      <c r="L11">
        <f t="shared" si="0"/>
        <v>12374.16</v>
      </c>
      <c r="N11">
        <v>4</v>
      </c>
      <c r="P11" s="4" t="s">
        <v>1</v>
      </c>
      <c r="Q11" t="str">
        <f>LOOKUP(Q10,A2:A1001,B2:B1001)</f>
        <v>2026-02-24</v>
      </c>
      <c r="R11" t="str">
        <f>_xlfn.IFNA(VLOOKUP(R10,A1:L1001,2,0),"nhi mila")</f>
        <v>nhi mila</v>
      </c>
      <c r="S11" t="str">
        <f>_xlfn.XLOOKUP(S10,A2:A1001,B2:B1001,"not available",0,-1)</f>
        <v>2026-02-24</v>
      </c>
    </row>
    <row r="12" spans="1:22" x14ac:dyDescent="0.3">
      <c r="A12" t="s">
        <v>79</v>
      </c>
      <c r="B12" t="s">
        <v>80</v>
      </c>
      <c r="C12" t="s">
        <v>81</v>
      </c>
      <c r="D12" t="s">
        <v>82</v>
      </c>
      <c r="E12" t="s">
        <v>62</v>
      </c>
      <c r="F12" t="s">
        <v>48</v>
      </c>
      <c r="G12" t="s">
        <v>49</v>
      </c>
      <c r="H12">
        <v>8</v>
      </c>
      <c r="I12">
        <v>366.27</v>
      </c>
      <c r="J12" t="s">
        <v>42</v>
      </c>
      <c r="K12" t="s">
        <v>83</v>
      </c>
      <c r="L12">
        <f t="shared" si="0"/>
        <v>2930.16</v>
      </c>
      <c r="P12" s="4" t="s">
        <v>2</v>
      </c>
      <c r="Q12" s="7" t="str">
        <f>LOOKUP(Q10,A2:A1001,C2:C1001)</f>
        <v>CUST1827</v>
      </c>
      <c r="R12" t="e">
        <f>VLOOKUP(R10,A1:L1001,3,0)</f>
        <v>#N/A</v>
      </c>
    </row>
    <row r="13" spans="1:22" x14ac:dyDescent="0.3">
      <c r="A13" t="s">
        <v>84</v>
      </c>
      <c r="B13" t="s">
        <v>85</v>
      </c>
      <c r="C13" t="s">
        <v>86</v>
      </c>
      <c r="D13" t="s">
        <v>87</v>
      </c>
      <c r="E13" t="s">
        <v>25</v>
      </c>
      <c r="F13" t="s">
        <v>48</v>
      </c>
      <c r="G13" t="s">
        <v>49</v>
      </c>
      <c r="H13">
        <v>1</v>
      </c>
      <c r="I13">
        <v>661.42</v>
      </c>
      <c r="J13" t="s">
        <v>50</v>
      </c>
      <c r="K13" t="s">
        <v>43</v>
      </c>
      <c r="L13">
        <f t="shared" si="0"/>
        <v>661.42</v>
      </c>
      <c r="P13" s="4" t="s">
        <v>3</v>
      </c>
      <c r="Q13" t="str">
        <f>LOOKUP(Q10,A2:A1001,D2:D1001)</f>
        <v>Kavya 91</v>
      </c>
      <c r="R13" t="str">
        <f>VLOOKUP(R10,A1:L1001,4)</f>
        <v>Aditi 41</v>
      </c>
    </row>
    <row r="14" spans="1:22" x14ac:dyDescent="0.3">
      <c r="A14" t="s">
        <v>88</v>
      </c>
      <c r="B14" t="s">
        <v>89</v>
      </c>
      <c r="C14" t="s">
        <v>90</v>
      </c>
      <c r="D14" t="s">
        <v>91</v>
      </c>
      <c r="E14" t="s">
        <v>34</v>
      </c>
      <c r="F14" t="s">
        <v>48</v>
      </c>
      <c r="G14" t="s">
        <v>63</v>
      </c>
      <c r="H14">
        <v>5</v>
      </c>
      <c r="I14">
        <v>2651.15</v>
      </c>
      <c r="J14" t="s">
        <v>19</v>
      </c>
      <c r="K14" t="s">
        <v>43</v>
      </c>
      <c r="L14">
        <f t="shared" si="0"/>
        <v>13255.75</v>
      </c>
      <c r="P14" s="4" t="s">
        <v>4</v>
      </c>
      <c r="Q14" t="str">
        <f>LOOKUP(Q10,A2:A1001,E2:E1001)</f>
        <v>Chennai</v>
      </c>
      <c r="R14" t="e">
        <f>VLOOKUP(R10,A1:L1001,5,0)</f>
        <v>#N/A</v>
      </c>
    </row>
    <row r="15" spans="1:22" x14ac:dyDescent="0.3">
      <c r="A15" t="s">
        <v>92</v>
      </c>
      <c r="B15" t="s">
        <v>93</v>
      </c>
      <c r="C15" t="s">
        <v>23</v>
      </c>
      <c r="D15" t="s">
        <v>94</v>
      </c>
      <c r="E15" t="s">
        <v>95</v>
      </c>
      <c r="F15" t="s">
        <v>17</v>
      </c>
      <c r="G15" t="s">
        <v>18</v>
      </c>
      <c r="H15">
        <v>9</v>
      </c>
      <c r="I15">
        <v>659.48</v>
      </c>
      <c r="J15" t="s">
        <v>50</v>
      </c>
      <c r="K15" t="s">
        <v>43</v>
      </c>
      <c r="L15">
        <f t="shared" si="0"/>
        <v>5935.32</v>
      </c>
      <c r="P15" s="4" t="s">
        <v>5</v>
      </c>
      <c r="Q15" t="str">
        <f>LOOKUP(Q10,A2:A1001,F2:F1001)</f>
        <v>Home</v>
      </c>
    </row>
    <row r="16" spans="1:22" x14ac:dyDescent="0.3">
      <c r="A16" t="s">
        <v>96</v>
      </c>
      <c r="B16" t="s">
        <v>97</v>
      </c>
      <c r="C16" t="s">
        <v>98</v>
      </c>
      <c r="D16" t="s">
        <v>99</v>
      </c>
      <c r="E16" t="s">
        <v>62</v>
      </c>
      <c r="F16" t="s">
        <v>17</v>
      </c>
      <c r="G16" t="s">
        <v>68</v>
      </c>
      <c r="H16">
        <v>10</v>
      </c>
      <c r="I16">
        <v>458.39</v>
      </c>
      <c r="J16" t="s">
        <v>50</v>
      </c>
      <c r="K16" t="s">
        <v>36</v>
      </c>
      <c r="L16">
        <f t="shared" si="0"/>
        <v>4583.8999999999996</v>
      </c>
      <c r="P16" s="4" t="s">
        <v>6</v>
      </c>
      <c r="Q16" t="str">
        <f>LOOKUP(Q10,A2:A1001,G2:G1001)</f>
        <v>Mixer</v>
      </c>
      <c r="V16">
        <v>3</v>
      </c>
    </row>
    <row r="17" spans="1:27" x14ac:dyDescent="0.3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77</v>
      </c>
      <c r="G17" t="s">
        <v>105</v>
      </c>
      <c r="H17">
        <v>7</v>
      </c>
      <c r="I17">
        <v>3052.59</v>
      </c>
      <c r="J17" t="s">
        <v>50</v>
      </c>
      <c r="K17" t="s">
        <v>83</v>
      </c>
      <c r="L17">
        <f t="shared" si="0"/>
        <v>21368.13</v>
      </c>
      <c r="P17" s="4" t="s">
        <v>7</v>
      </c>
      <c r="V17">
        <v>4</v>
      </c>
    </row>
    <row r="18" spans="1:27" x14ac:dyDescent="0.3">
      <c r="A18" t="s">
        <v>106</v>
      </c>
      <c r="B18" t="s">
        <v>107</v>
      </c>
      <c r="C18" t="s">
        <v>108</v>
      </c>
      <c r="D18" t="s">
        <v>109</v>
      </c>
      <c r="E18" t="s">
        <v>95</v>
      </c>
      <c r="F18" t="s">
        <v>48</v>
      </c>
      <c r="G18" t="s">
        <v>110</v>
      </c>
      <c r="H18">
        <v>8</v>
      </c>
      <c r="I18">
        <v>1340.89</v>
      </c>
      <c r="J18" t="s">
        <v>19</v>
      </c>
      <c r="K18" t="s">
        <v>43</v>
      </c>
      <c r="L18">
        <f t="shared" si="0"/>
        <v>10727.12</v>
      </c>
      <c r="P18" s="4" t="s">
        <v>8</v>
      </c>
    </row>
    <row r="19" spans="1:27" x14ac:dyDescent="0.3">
      <c r="A19" t="s">
        <v>111</v>
      </c>
      <c r="B19" t="s">
        <v>112</v>
      </c>
      <c r="C19" t="s">
        <v>113</v>
      </c>
      <c r="D19" t="s">
        <v>114</v>
      </c>
      <c r="E19" t="s">
        <v>16</v>
      </c>
      <c r="F19" t="s">
        <v>26</v>
      </c>
      <c r="G19" t="s">
        <v>115</v>
      </c>
      <c r="H19">
        <v>4</v>
      </c>
      <c r="I19">
        <v>2794.82</v>
      </c>
      <c r="J19" t="s">
        <v>50</v>
      </c>
      <c r="K19" t="s">
        <v>29</v>
      </c>
      <c r="L19">
        <f t="shared" si="0"/>
        <v>11179.28</v>
      </c>
      <c r="P19" s="4" t="s">
        <v>10</v>
      </c>
      <c r="X19">
        <v>3</v>
      </c>
    </row>
    <row r="20" spans="1:27" x14ac:dyDescent="0.3">
      <c r="A20" t="s">
        <v>116</v>
      </c>
      <c r="B20" t="s">
        <v>117</v>
      </c>
      <c r="C20" t="s">
        <v>118</v>
      </c>
      <c r="D20" t="s">
        <v>119</v>
      </c>
      <c r="E20" t="s">
        <v>25</v>
      </c>
      <c r="F20" t="s">
        <v>26</v>
      </c>
      <c r="G20" t="s">
        <v>27</v>
      </c>
      <c r="H20">
        <v>7</v>
      </c>
      <c r="I20">
        <v>3113.54</v>
      </c>
      <c r="J20" t="s">
        <v>19</v>
      </c>
      <c r="K20" t="s">
        <v>83</v>
      </c>
      <c r="L20">
        <f t="shared" si="0"/>
        <v>21794.78</v>
      </c>
      <c r="P20" s="4" t="s">
        <v>11</v>
      </c>
      <c r="X20">
        <v>4</v>
      </c>
      <c r="AA20">
        <v>3</v>
      </c>
    </row>
    <row r="21" spans="1:27" x14ac:dyDescent="0.3">
      <c r="A21" t="s">
        <v>120</v>
      </c>
      <c r="B21" t="s">
        <v>70</v>
      </c>
      <c r="C21" t="s">
        <v>121</v>
      </c>
      <c r="D21" t="s">
        <v>122</v>
      </c>
      <c r="E21" t="s">
        <v>25</v>
      </c>
      <c r="F21" t="s">
        <v>77</v>
      </c>
      <c r="G21" t="s">
        <v>123</v>
      </c>
      <c r="H21">
        <v>3</v>
      </c>
      <c r="I21">
        <v>2355.56</v>
      </c>
      <c r="J21" t="s">
        <v>19</v>
      </c>
      <c r="K21" t="s">
        <v>20</v>
      </c>
      <c r="L21">
        <f t="shared" si="0"/>
        <v>7066.68</v>
      </c>
      <c r="P21" s="5" t="s">
        <v>9</v>
      </c>
      <c r="R21" t="e">
        <f>VLOOKUP(R10,A1:L1001,12,0)</f>
        <v>#N/A</v>
      </c>
      <c r="S21" t="str">
        <f>_xlfn.XLOOKUP(S10,A2:A1001,K2:K1001,"not found",0,)</f>
        <v>Vikas</v>
      </c>
    </row>
    <row r="22" spans="1:27" x14ac:dyDescent="0.3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17</v>
      </c>
      <c r="G22" t="s">
        <v>18</v>
      </c>
      <c r="H22">
        <v>6</v>
      </c>
      <c r="I22">
        <v>2779.01</v>
      </c>
      <c r="J22" t="s">
        <v>28</v>
      </c>
      <c r="K22" t="s">
        <v>20</v>
      </c>
      <c r="L22">
        <f t="shared" si="0"/>
        <v>16674.060000000001</v>
      </c>
    </row>
    <row r="23" spans="1:27" x14ac:dyDescent="0.3">
      <c r="A23" t="s">
        <v>129</v>
      </c>
      <c r="B23" t="s">
        <v>130</v>
      </c>
      <c r="C23" t="s">
        <v>131</v>
      </c>
      <c r="D23" t="s">
        <v>132</v>
      </c>
      <c r="E23" t="s">
        <v>56</v>
      </c>
      <c r="F23" t="s">
        <v>48</v>
      </c>
      <c r="G23" t="s">
        <v>57</v>
      </c>
      <c r="H23">
        <v>2</v>
      </c>
      <c r="I23">
        <v>491.23</v>
      </c>
      <c r="J23" t="s">
        <v>19</v>
      </c>
      <c r="K23" t="s">
        <v>83</v>
      </c>
      <c r="L23">
        <f t="shared" si="0"/>
        <v>982.46</v>
      </c>
    </row>
    <row r="24" spans="1:27" x14ac:dyDescent="0.3">
      <c r="A24" t="s">
        <v>133</v>
      </c>
      <c r="B24" t="s">
        <v>134</v>
      </c>
      <c r="C24" t="s">
        <v>135</v>
      </c>
      <c r="D24" t="s">
        <v>119</v>
      </c>
      <c r="E24" t="s">
        <v>34</v>
      </c>
      <c r="F24" t="s">
        <v>77</v>
      </c>
      <c r="G24" t="s">
        <v>78</v>
      </c>
      <c r="H24">
        <v>7</v>
      </c>
      <c r="I24">
        <v>1193.8399999999999</v>
      </c>
      <c r="J24" t="s">
        <v>28</v>
      </c>
      <c r="K24" t="s">
        <v>43</v>
      </c>
      <c r="L24">
        <f t="shared" si="0"/>
        <v>8356.8799999999992</v>
      </c>
    </row>
    <row r="25" spans="1:27" x14ac:dyDescent="0.3">
      <c r="A25" t="s">
        <v>136</v>
      </c>
      <c r="B25" t="s">
        <v>137</v>
      </c>
      <c r="C25" t="s">
        <v>138</v>
      </c>
      <c r="D25" t="s">
        <v>139</v>
      </c>
      <c r="E25" t="s">
        <v>95</v>
      </c>
      <c r="F25" t="s">
        <v>17</v>
      </c>
      <c r="G25" t="s">
        <v>41</v>
      </c>
      <c r="H25">
        <v>6</v>
      </c>
      <c r="I25">
        <v>3655.85</v>
      </c>
      <c r="J25" t="s">
        <v>19</v>
      </c>
      <c r="K25" t="s">
        <v>51</v>
      </c>
      <c r="L25">
        <f t="shared" si="0"/>
        <v>21935.1</v>
      </c>
    </row>
    <row r="26" spans="1:27" x14ac:dyDescent="0.3">
      <c r="A26" t="s">
        <v>140</v>
      </c>
      <c r="B26" t="s">
        <v>141</v>
      </c>
      <c r="C26" t="s">
        <v>142</v>
      </c>
      <c r="D26" t="s">
        <v>24</v>
      </c>
      <c r="E26" t="s">
        <v>62</v>
      </c>
      <c r="F26" t="s">
        <v>17</v>
      </c>
      <c r="G26" t="s">
        <v>35</v>
      </c>
      <c r="H26">
        <v>8</v>
      </c>
      <c r="I26">
        <v>1177.43</v>
      </c>
      <c r="J26" t="s">
        <v>42</v>
      </c>
      <c r="K26" t="s">
        <v>83</v>
      </c>
      <c r="L26">
        <f t="shared" si="0"/>
        <v>9419.44</v>
      </c>
    </row>
    <row r="27" spans="1:27" x14ac:dyDescent="0.3">
      <c r="A27" t="s">
        <v>143</v>
      </c>
      <c r="B27" t="s">
        <v>144</v>
      </c>
      <c r="C27" t="s">
        <v>145</v>
      </c>
      <c r="D27" t="s">
        <v>146</v>
      </c>
      <c r="E27" t="s">
        <v>56</v>
      </c>
      <c r="F27" t="s">
        <v>26</v>
      </c>
      <c r="G27" t="s">
        <v>115</v>
      </c>
      <c r="H27">
        <v>10</v>
      </c>
      <c r="I27">
        <v>4955.28</v>
      </c>
      <c r="J27" t="s">
        <v>50</v>
      </c>
      <c r="K27" t="s">
        <v>83</v>
      </c>
      <c r="L27">
        <f t="shared" si="0"/>
        <v>49552.799999999996</v>
      </c>
    </row>
    <row r="28" spans="1:27" x14ac:dyDescent="0.3">
      <c r="A28" t="s">
        <v>147</v>
      </c>
      <c r="B28" t="s">
        <v>107</v>
      </c>
      <c r="C28" t="s">
        <v>148</v>
      </c>
      <c r="D28" t="s">
        <v>149</v>
      </c>
      <c r="E28" t="s">
        <v>128</v>
      </c>
      <c r="F28" t="s">
        <v>26</v>
      </c>
      <c r="G28" t="s">
        <v>115</v>
      </c>
      <c r="H28">
        <v>8</v>
      </c>
      <c r="I28">
        <v>2398.73</v>
      </c>
      <c r="J28" t="s">
        <v>50</v>
      </c>
      <c r="K28" t="s">
        <v>51</v>
      </c>
      <c r="L28">
        <f t="shared" si="0"/>
        <v>19189.84</v>
      </c>
    </row>
    <row r="29" spans="1:27" x14ac:dyDescent="0.3">
      <c r="A29" t="s">
        <v>150</v>
      </c>
      <c r="B29" t="s">
        <v>151</v>
      </c>
      <c r="C29" t="s">
        <v>152</v>
      </c>
      <c r="D29" t="s">
        <v>153</v>
      </c>
      <c r="E29" t="s">
        <v>62</v>
      </c>
      <c r="F29" t="s">
        <v>26</v>
      </c>
      <c r="G29" t="s">
        <v>27</v>
      </c>
      <c r="H29">
        <v>5</v>
      </c>
      <c r="I29">
        <v>2986.63</v>
      </c>
      <c r="J29" t="s">
        <v>50</v>
      </c>
      <c r="K29" t="s">
        <v>20</v>
      </c>
      <c r="L29">
        <f t="shared" si="0"/>
        <v>14933.150000000001</v>
      </c>
    </row>
    <row r="30" spans="1:27" x14ac:dyDescent="0.3">
      <c r="A30" t="s">
        <v>154</v>
      </c>
      <c r="B30" t="s">
        <v>155</v>
      </c>
      <c r="C30" t="s">
        <v>156</v>
      </c>
      <c r="D30" t="s">
        <v>157</v>
      </c>
      <c r="E30" t="s">
        <v>104</v>
      </c>
      <c r="F30" t="s">
        <v>77</v>
      </c>
      <c r="G30" t="s">
        <v>78</v>
      </c>
      <c r="H30">
        <v>8</v>
      </c>
      <c r="I30">
        <v>1305.01</v>
      </c>
      <c r="J30" t="s">
        <v>19</v>
      </c>
      <c r="K30" t="s">
        <v>83</v>
      </c>
      <c r="L30">
        <f t="shared" si="0"/>
        <v>10440.08</v>
      </c>
    </row>
    <row r="31" spans="1:27" x14ac:dyDescent="0.3">
      <c r="A31" t="s">
        <v>158</v>
      </c>
      <c r="B31" t="s">
        <v>159</v>
      </c>
      <c r="C31" t="s">
        <v>160</v>
      </c>
      <c r="D31" t="s">
        <v>161</v>
      </c>
      <c r="E31" t="s">
        <v>56</v>
      </c>
      <c r="F31" t="s">
        <v>26</v>
      </c>
      <c r="G31" t="s">
        <v>27</v>
      </c>
      <c r="H31">
        <v>5</v>
      </c>
      <c r="I31">
        <v>760.23</v>
      </c>
      <c r="J31" t="s">
        <v>19</v>
      </c>
      <c r="K31" t="s">
        <v>36</v>
      </c>
      <c r="L31">
        <f t="shared" si="0"/>
        <v>3801.15</v>
      </c>
    </row>
    <row r="32" spans="1:27" x14ac:dyDescent="0.3">
      <c r="A32" t="s">
        <v>162</v>
      </c>
      <c r="B32" t="s">
        <v>163</v>
      </c>
      <c r="C32" t="s">
        <v>164</v>
      </c>
      <c r="D32" t="s">
        <v>165</v>
      </c>
      <c r="E32" t="s">
        <v>16</v>
      </c>
      <c r="F32" t="s">
        <v>26</v>
      </c>
      <c r="G32" t="s">
        <v>166</v>
      </c>
      <c r="H32">
        <v>9</v>
      </c>
      <c r="I32">
        <v>2766.61</v>
      </c>
      <c r="J32" t="s">
        <v>28</v>
      </c>
      <c r="K32" t="s">
        <v>83</v>
      </c>
      <c r="L32">
        <f t="shared" si="0"/>
        <v>24899.49</v>
      </c>
    </row>
    <row r="33" spans="1:12" x14ac:dyDescent="0.3">
      <c r="A33" t="s">
        <v>167</v>
      </c>
      <c r="B33" t="s">
        <v>168</v>
      </c>
      <c r="C33" t="s">
        <v>169</v>
      </c>
      <c r="D33" t="s">
        <v>170</v>
      </c>
      <c r="E33" t="s">
        <v>62</v>
      </c>
      <c r="F33" t="s">
        <v>77</v>
      </c>
      <c r="G33" t="s">
        <v>171</v>
      </c>
      <c r="H33">
        <v>3</v>
      </c>
      <c r="I33">
        <v>975.26</v>
      </c>
      <c r="J33" t="s">
        <v>50</v>
      </c>
      <c r="K33" t="s">
        <v>29</v>
      </c>
      <c r="L33">
        <f t="shared" si="0"/>
        <v>2925.7799999999997</v>
      </c>
    </row>
    <row r="34" spans="1:12" x14ac:dyDescent="0.3">
      <c r="A34" t="s">
        <v>172</v>
      </c>
      <c r="B34" t="s">
        <v>97</v>
      </c>
      <c r="C34" t="s">
        <v>173</v>
      </c>
      <c r="D34" t="s">
        <v>174</v>
      </c>
      <c r="E34" t="s">
        <v>25</v>
      </c>
      <c r="F34" t="s">
        <v>77</v>
      </c>
      <c r="G34" t="s">
        <v>105</v>
      </c>
      <c r="H34">
        <v>5</v>
      </c>
      <c r="I34">
        <v>1740.55</v>
      </c>
      <c r="J34" t="s">
        <v>28</v>
      </c>
      <c r="K34" t="s">
        <v>51</v>
      </c>
      <c r="L34">
        <f t="shared" si="0"/>
        <v>8702.75</v>
      </c>
    </row>
    <row r="35" spans="1:12" x14ac:dyDescent="0.3">
      <c r="A35" t="s">
        <v>175</v>
      </c>
      <c r="B35" t="s">
        <v>176</v>
      </c>
      <c r="C35" t="s">
        <v>177</v>
      </c>
      <c r="D35" t="s">
        <v>178</v>
      </c>
      <c r="E35" t="s">
        <v>16</v>
      </c>
      <c r="F35" t="s">
        <v>48</v>
      </c>
      <c r="G35" t="s">
        <v>179</v>
      </c>
      <c r="H35">
        <v>8</v>
      </c>
      <c r="I35">
        <v>4199.2700000000004</v>
      </c>
      <c r="J35" t="s">
        <v>42</v>
      </c>
      <c r="K35" t="s">
        <v>43</v>
      </c>
      <c r="L35">
        <f t="shared" si="0"/>
        <v>33594.160000000003</v>
      </c>
    </row>
    <row r="36" spans="1:12" x14ac:dyDescent="0.3">
      <c r="A36" t="s">
        <v>180</v>
      </c>
      <c r="B36" t="s">
        <v>181</v>
      </c>
      <c r="C36" t="s">
        <v>182</v>
      </c>
      <c r="D36" t="s">
        <v>183</v>
      </c>
      <c r="E36" t="s">
        <v>104</v>
      </c>
      <c r="F36" t="s">
        <v>48</v>
      </c>
      <c r="G36" t="s">
        <v>179</v>
      </c>
      <c r="H36">
        <v>6</v>
      </c>
      <c r="I36">
        <v>4618.7</v>
      </c>
      <c r="J36" t="s">
        <v>42</v>
      </c>
      <c r="K36" t="s">
        <v>51</v>
      </c>
      <c r="L36">
        <f t="shared" si="0"/>
        <v>27712.199999999997</v>
      </c>
    </row>
    <row r="37" spans="1:12" x14ac:dyDescent="0.3">
      <c r="A37" t="s">
        <v>184</v>
      </c>
      <c r="B37" t="s">
        <v>185</v>
      </c>
      <c r="C37" t="s">
        <v>186</v>
      </c>
      <c r="D37" t="s">
        <v>187</v>
      </c>
      <c r="E37" t="s">
        <v>16</v>
      </c>
      <c r="F37" t="s">
        <v>17</v>
      </c>
      <c r="G37" t="s">
        <v>188</v>
      </c>
      <c r="H37">
        <v>2</v>
      </c>
      <c r="I37">
        <v>444.36</v>
      </c>
      <c r="J37" t="s">
        <v>19</v>
      </c>
      <c r="K37" t="s">
        <v>51</v>
      </c>
      <c r="L37">
        <f t="shared" si="0"/>
        <v>888.72</v>
      </c>
    </row>
    <row r="38" spans="1:12" x14ac:dyDescent="0.3">
      <c r="A38" t="s">
        <v>189</v>
      </c>
      <c r="B38" t="s">
        <v>190</v>
      </c>
      <c r="C38" t="s">
        <v>169</v>
      </c>
      <c r="D38" t="s">
        <v>191</v>
      </c>
      <c r="E38" t="s">
        <v>34</v>
      </c>
      <c r="F38" t="s">
        <v>17</v>
      </c>
      <c r="G38" t="s">
        <v>68</v>
      </c>
      <c r="H38">
        <v>1</v>
      </c>
      <c r="I38">
        <v>3924.7</v>
      </c>
      <c r="J38" t="s">
        <v>28</v>
      </c>
      <c r="K38" t="s">
        <v>43</v>
      </c>
      <c r="L38">
        <f t="shared" si="0"/>
        <v>3924.7</v>
      </c>
    </row>
    <row r="39" spans="1:12" x14ac:dyDescent="0.3">
      <c r="A39" t="s">
        <v>192</v>
      </c>
      <c r="B39" t="s">
        <v>193</v>
      </c>
      <c r="C39" t="s">
        <v>194</v>
      </c>
      <c r="D39" t="s">
        <v>195</v>
      </c>
      <c r="E39" t="s">
        <v>104</v>
      </c>
      <c r="F39" t="s">
        <v>17</v>
      </c>
      <c r="G39" t="s">
        <v>41</v>
      </c>
      <c r="H39">
        <v>8</v>
      </c>
      <c r="I39">
        <v>1348.4</v>
      </c>
      <c r="J39" t="s">
        <v>50</v>
      </c>
      <c r="K39" t="s">
        <v>51</v>
      </c>
      <c r="L39">
        <f t="shared" si="0"/>
        <v>10787.2</v>
      </c>
    </row>
    <row r="40" spans="1:12" x14ac:dyDescent="0.3">
      <c r="A40" t="s">
        <v>196</v>
      </c>
      <c r="B40" t="s">
        <v>197</v>
      </c>
      <c r="C40" t="s">
        <v>198</v>
      </c>
      <c r="D40" t="s">
        <v>199</v>
      </c>
      <c r="E40" t="s">
        <v>62</v>
      </c>
      <c r="F40" t="s">
        <v>77</v>
      </c>
      <c r="G40" t="s">
        <v>78</v>
      </c>
      <c r="H40">
        <v>7</v>
      </c>
      <c r="I40">
        <v>2738.25</v>
      </c>
      <c r="J40" t="s">
        <v>19</v>
      </c>
      <c r="K40" t="s">
        <v>36</v>
      </c>
      <c r="L40">
        <f t="shared" si="0"/>
        <v>19167.75</v>
      </c>
    </row>
    <row r="41" spans="1:12" x14ac:dyDescent="0.3">
      <c r="A41" t="s">
        <v>200</v>
      </c>
      <c r="B41" t="s">
        <v>201</v>
      </c>
      <c r="C41" t="s">
        <v>202</v>
      </c>
      <c r="D41" t="s">
        <v>203</v>
      </c>
      <c r="E41" t="s">
        <v>104</v>
      </c>
      <c r="F41" t="s">
        <v>17</v>
      </c>
      <c r="G41" t="s">
        <v>41</v>
      </c>
      <c r="H41">
        <v>10</v>
      </c>
      <c r="I41">
        <v>4091.24</v>
      </c>
      <c r="J41" t="s">
        <v>50</v>
      </c>
      <c r="K41" t="s">
        <v>29</v>
      </c>
      <c r="L41">
        <f t="shared" si="0"/>
        <v>40912.399999999994</v>
      </c>
    </row>
    <row r="42" spans="1:12" x14ac:dyDescent="0.3">
      <c r="A42" t="s">
        <v>204</v>
      </c>
      <c r="B42" t="s">
        <v>205</v>
      </c>
      <c r="C42" t="s">
        <v>206</v>
      </c>
      <c r="D42" t="s">
        <v>207</v>
      </c>
      <c r="E42" t="s">
        <v>62</v>
      </c>
      <c r="F42" t="s">
        <v>26</v>
      </c>
      <c r="G42" t="s">
        <v>208</v>
      </c>
      <c r="H42">
        <v>4</v>
      </c>
      <c r="I42">
        <v>1048.6199999999999</v>
      </c>
      <c r="J42" t="s">
        <v>28</v>
      </c>
      <c r="K42" t="s">
        <v>43</v>
      </c>
      <c r="L42">
        <f t="shared" si="0"/>
        <v>4194.4799999999996</v>
      </c>
    </row>
    <row r="43" spans="1:12" x14ac:dyDescent="0.3">
      <c r="A43" t="s">
        <v>209</v>
      </c>
      <c r="B43" t="s">
        <v>210</v>
      </c>
      <c r="C43" t="s">
        <v>211</v>
      </c>
      <c r="D43" t="s">
        <v>212</v>
      </c>
      <c r="E43" t="s">
        <v>16</v>
      </c>
      <c r="F43" t="s">
        <v>48</v>
      </c>
      <c r="G43" t="s">
        <v>63</v>
      </c>
      <c r="H43">
        <v>1</v>
      </c>
      <c r="I43">
        <v>2042.23</v>
      </c>
      <c r="J43" t="s">
        <v>28</v>
      </c>
      <c r="K43" t="s">
        <v>36</v>
      </c>
      <c r="L43">
        <f t="shared" si="0"/>
        <v>2042.23</v>
      </c>
    </row>
    <row r="44" spans="1:12" x14ac:dyDescent="0.3">
      <c r="A44" t="s">
        <v>213</v>
      </c>
      <c r="B44" t="s">
        <v>214</v>
      </c>
      <c r="C44" t="s">
        <v>215</v>
      </c>
      <c r="D44" t="s">
        <v>216</v>
      </c>
      <c r="E44" t="s">
        <v>56</v>
      </c>
      <c r="F44" t="s">
        <v>48</v>
      </c>
      <c r="G44" t="s">
        <v>110</v>
      </c>
      <c r="H44">
        <v>10</v>
      </c>
      <c r="I44">
        <v>775.84</v>
      </c>
      <c r="J44" t="s">
        <v>50</v>
      </c>
      <c r="K44" t="s">
        <v>51</v>
      </c>
      <c r="L44">
        <f t="shared" si="0"/>
        <v>7758.4000000000005</v>
      </c>
    </row>
    <row r="45" spans="1:12" x14ac:dyDescent="0.3">
      <c r="A45" t="s">
        <v>217</v>
      </c>
      <c r="B45" t="s">
        <v>218</v>
      </c>
      <c r="C45" t="s">
        <v>219</v>
      </c>
      <c r="D45" t="s">
        <v>220</v>
      </c>
      <c r="E45" t="s">
        <v>16</v>
      </c>
      <c r="F45" t="s">
        <v>77</v>
      </c>
      <c r="G45" t="s">
        <v>78</v>
      </c>
      <c r="H45">
        <v>8</v>
      </c>
      <c r="I45">
        <v>4033.33</v>
      </c>
      <c r="J45" t="s">
        <v>19</v>
      </c>
      <c r="K45" t="s">
        <v>20</v>
      </c>
      <c r="L45">
        <f t="shared" si="0"/>
        <v>32266.639999999999</v>
      </c>
    </row>
    <row r="46" spans="1:12" x14ac:dyDescent="0.3">
      <c r="A46" t="s">
        <v>221</v>
      </c>
      <c r="B46" t="s">
        <v>222</v>
      </c>
      <c r="C46" t="s">
        <v>223</v>
      </c>
      <c r="D46" t="s">
        <v>224</v>
      </c>
      <c r="E46" t="s">
        <v>95</v>
      </c>
      <c r="F46" t="s">
        <v>26</v>
      </c>
      <c r="G46" t="s">
        <v>208</v>
      </c>
      <c r="H46">
        <v>3</v>
      </c>
      <c r="I46">
        <v>1321.17</v>
      </c>
      <c r="J46" t="s">
        <v>19</v>
      </c>
      <c r="K46" t="s">
        <v>43</v>
      </c>
      <c r="L46">
        <f t="shared" si="0"/>
        <v>3963.51</v>
      </c>
    </row>
    <row r="47" spans="1:12" x14ac:dyDescent="0.3">
      <c r="A47" t="s">
        <v>225</v>
      </c>
      <c r="B47" t="s">
        <v>226</v>
      </c>
      <c r="C47" t="s">
        <v>227</v>
      </c>
      <c r="D47" t="s">
        <v>228</v>
      </c>
      <c r="E47" t="s">
        <v>16</v>
      </c>
      <c r="F47" t="s">
        <v>17</v>
      </c>
      <c r="G47" t="s">
        <v>41</v>
      </c>
      <c r="H47">
        <v>3</v>
      </c>
      <c r="I47">
        <v>1532.11</v>
      </c>
      <c r="J47" t="s">
        <v>50</v>
      </c>
      <c r="K47" t="s">
        <v>29</v>
      </c>
      <c r="L47">
        <f t="shared" si="0"/>
        <v>4596.33</v>
      </c>
    </row>
    <row r="48" spans="1:12" x14ac:dyDescent="0.3">
      <c r="A48" t="s">
        <v>229</v>
      </c>
      <c r="B48" t="s">
        <v>230</v>
      </c>
      <c r="C48" t="s">
        <v>231</v>
      </c>
      <c r="D48" t="s">
        <v>232</v>
      </c>
      <c r="E48" t="s">
        <v>104</v>
      </c>
      <c r="F48" t="s">
        <v>77</v>
      </c>
      <c r="G48" t="s">
        <v>171</v>
      </c>
      <c r="H48">
        <v>8</v>
      </c>
      <c r="I48">
        <v>1356.58</v>
      </c>
      <c r="J48" t="s">
        <v>19</v>
      </c>
      <c r="K48" t="s">
        <v>20</v>
      </c>
      <c r="L48">
        <f t="shared" si="0"/>
        <v>10852.64</v>
      </c>
    </row>
    <row r="49" spans="1:12" x14ac:dyDescent="0.3">
      <c r="A49" t="s">
        <v>233</v>
      </c>
      <c r="B49" t="s">
        <v>234</v>
      </c>
      <c r="C49" t="s">
        <v>235</v>
      </c>
      <c r="D49" t="s">
        <v>236</v>
      </c>
      <c r="E49" t="s">
        <v>16</v>
      </c>
      <c r="F49" t="s">
        <v>26</v>
      </c>
      <c r="G49" t="s">
        <v>115</v>
      </c>
      <c r="H49">
        <v>10</v>
      </c>
      <c r="I49">
        <v>1060.1300000000001</v>
      </c>
      <c r="J49" t="s">
        <v>19</v>
      </c>
      <c r="K49" t="s">
        <v>43</v>
      </c>
      <c r="L49">
        <f t="shared" si="0"/>
        <v>10601.300000000001</v>
      </c>
    </row>
    <row r="50" spans="1:12" x14ac:dyDescent="0.3">
      <c r="A50" t="s">
        <v>237</v>
      </c>
      <c r="B50" t="s">
        <v>238</v>
      </c>
      <c r="C50" t="s">
        <v>239</v>
      </c>
      <c r="D50" t="s">
        <v>240</v>
      </c>
      <c r="E50" t="s">
        <v>104</v>
      </c>
      <c r="F50" t="s">
        <v>17</v>
      </c>
      <c r="G50" t="s">
        <v>188</v>
      </c>
      <c r="H50">
        <v>6</v>
      </c>
      <c r="I50">
        <v>4202.45</v>
      </c>
      <c r="J50" t="s">
        <v>50</v>
      </c>
      <c r="K50" t="s">
        <v>43</v>
      </c>
      <c r="L50">
        <f t="shared" si="0"/>
        <v>25214.699999999997</v>
      </c>
    </row>
    <row r="51" spans="1:12" x14ac:dyDescent="0.3">
      <c r="A51" t="s">
        <v>241</v>
      </c>
      <c r="B51" t="s">
        <v>242</v>
      </c>
      <c r="C51" t="s">
        <v>243</v>
      </c>
      <c r="D51" t="s">
        <v>244</v>
      </c>
      <c r="E51" t="s">
        <v>56</v>
      </c>
      <c r="F51" t="s">
        <v>48</v>
      </c>
      <c r="G51" t="s">
        <v>63</v>
      </c>
      <c r="H51">
        <v>10</v>
      </c>
      <c r="I51">
        <v>1049.47</v>
      </c>
      <c r="J51" t="s">
        <v>19</v>
      </c>
      <c r="K51" t="s">
        <v>83</v>
      </c>
      <c r="L51">
        <f t="shared" si="0"/>
        <v>10494.7</v>
      </c>
    </row>
    <row r="52" spans="1:12" x14ac:dyDescent="0.3">
      <c r="A52" t="s">
        <v>245</v>
      </c>
      <c r="B52" t="s">
        <v>246</v>
      </c>
      <c r="C52" t="s">
        <v>247</v>
      </c>
      <c r="D52" t="s">
        <v>248</v>
      </c>
      <c r="E52" t="s">
        <v>95</v>
      </c>
      <c r="F52" t="s">
        <v>48</v>
      </c>
      <c r="G52" t="s">
        <v>179</v>
      </c>
      <c r="H52">
        <v>9</v>
      </c>
      <c r="I52">
        <v>3333.38</v>
      </c>
      <c r="J52" t="s">
        <v>28</v>
      </c>
      <c r="K52" t="s">
        <v>43</v>
      </c>
      <c r="L52">
        <f t="shared" si="0"/>
        <v>30000.420000000002</v>
      </c>
    </row>
    <row r="53" spans="1:12" x14ac:dyDescent="0.3">
      <c r="A53" t="s">
        <v>249</v>
      </c>
      <c r="B53" t="s">
        <v>250</v>
      </c>
      <c r="C53" t="s">
        <v>251</v>
      </c>
      <c r="D53" t="s">
        <v>252</v>
      </c>
      <c r="E53" t="s">
        <v>128</v>
      </c>
      <c r="F53" t="s">
        <v>26</v>
      </c>
      <c r="G53" t="s">
        <v>27</v>
      </c>
      <c r="H53">
        <v>3</v>
      </c>
      <c r="I53">
        <v>932.64</v>
      </c>
      <c r="J53" t="s">
        <v>19</v>
      </c>
      <c r="K53" t="s">
        <v>43</v>
      </c>
      <c r="L53">
        <f t="shared" si="0"/>
        <v>2797.92</v>
      </c>
    </row>
    <row r="54" spans="1:12" x14ac:dyDescent="0.3">
      <c r="A54" t="s">
        <v>253</v>
      </c>
      <c r="B54" t="s">
        <v>254</v>
      </c>
      <c r="C54" t="s">
        <v>255</v>
      </c>
      <c r="D54" t="s">
        <v>256</v>
      </c>
      <c r="E54" t="s">
        <v>25</v>
      </c>
      <c r="F54" t="s">
        <v>48</v>
      </c>
      <c r="G54" t="s">
        <v>57</v>
      </c>
      <c r="H54">
        <v>3</v>
      </c>
      <c r="I54">
        <v>4538.1400000000003</v>
      </c>
      <c r="J54" t="s">
        <v>42</v>
      </c>
      <c r="K54" t="s">
        <v>20</v>
      </c>
      <c r="L54">
        <f t="shared" si="0"/>
        <v>13614.420000000002</v>
      </c>
    </row>
    <row r="55" spans="1:12" x14ac:dyDescent="0.3">
      <c r="A55" t="s">
        <v>257</v>
      </c>
      <c r="B55" t="s">
        <v>258</v>
      </c>
      <c r="C55" t="s">
        <v>259</v>
      </c>
      <c r="D55" t="s">
        <v>260</v>
      </c>
      <c r="E55" t="s">
        <v>62</v>
      </c>
      <c r="F55" t="s">
        <v>26</v>
      </c>
      <c r="G55" t="s">
        <v>166</v>
      </c>
      <c r="H55">
        <v>7</v>
      </c>
      <c r="I55">
        <v>530.67999999999995</v>
      </c>
      <c r="J55" t="s">
        <v>19</v>
      </c>
      <c r="K55" t="s">
        <v>83</v>
      </c>
      <c r="L55">
        <f t="shared" si="0"/>
        <v>3714.7599999999998</v>
      </c>
    </row>
    <row r="56" spans="1:12" x14ac:dyDescent="0.3">
      <c r="A56" t="s">
        <v>261</v>
      </c>
      <c r="B56" t="s">
        <v>262</v>
      </c>
      <c r="C56" t="s">
        <v>263</v>
      </c>
      <c r="D56" t="s">
        <v>264</v>
      </c>
      <c r="E56" t="s">
        <v>104</v>
      </c>
      <c r="F56" t="s">
        <v>77</v>
      </c>
      <c r="G56" t="s">
        <v>265</v>
      </c>
      <c r="H56">
        <v>6</v>
      </c>
      <c r="I56">
        <v>1916.03</v>
      </c>
      <c r="J56" t="s">
        <v>50</v>
      </c>
      <c r="K56" t="s">
        <v>83</v>
      </c>
      <c r="L56">
        <f t="shared" si="0"/>
        <v>11496.18</v>
      </c>
    </row>
    <row r="57" spans="1:12" x14ac:dyDescent="0.3">
      <c r="A57" t="s">
        <v>266</v>
      </c>
      <c r="B57" t="s">
        <v>267</v>
      </c>
      <c r="C57" t="s">
        <v>268</v>
      </c>
      <c r="D57" t="s">
        <v>269</v>
      </c>
      <c r="E57" t="s">
        <v>16</v>
      </c>
      <c r="F57" t="s">
        <v>77</v>
      </c>
      <c r="G57" t="s">
        <v>123</v>
      </c>
      <c r="H57">
        <v>6</v>
      </c>
      <c r="I57">
        <v>992.18</v>
      </c>
      <c r="J57" t="s">
        <v>50</v>
      </c>
      <c r="K57" t="s">
        <v>20</v>
      </c>
      <c r="L57">
        <f t="shared" si="0"/>
        <v>5953.08</v>
      </c>
    </row>
    <row r="58" spans="1:12" x14ac:dyDescent="0.3">
      <c r="A58" t="s">
        <v>270</v>
      </c>
      <c r="B58" t="s">
        <v>271</v>
      </c>
      <c r="C58" t="s">
        <v>272</v>
      </c>
      <c r="D58" t="s">
        <v>273</v>
      </c>
      <c r="E58" t="s">
        <v>128</v>
      </c>
      <c r="F58" t="s">
        <v>26</v>
      </c>
      <c r="G58" t="s">
        <v>27</v>
      </c>
      <c r="H58">
        <v>4</v>
      </c>
      <c r="I58">
        <v>1695.97</v>
      </c>
      <c r="J58" t="s">
        <v>28</v>
      </c>
      <c r="K58" t="s">
        <v>36</v>
      </c>
      <c r="L58">
        <f t="shared" si="0"/>
        <v>6783.88</v>
      </c>
    </row>
    <row r="59" spans="1:12" x14ac:dyDescent="0.3">
      <c r="A59" t="s">
        <v>274</v>
      </c>
      <c r="B59" t="s">
        <v>275</v>
      </c>
      <c r="C59" t="s">
        <v>276</v>
      </c>
      <c r="D59" t="s">
        <v>277</v>
      </c>
      <c r="E59" t="s">
        <v>104</v>
      </c>
      <c r="F59" t="s">
        <v>17</v>
      </c>
      <c r="G59" t="s">
        <v>18</v>
      </c>
      <c r="H59">
        <v>5</v>
      </c>
      <c r="I59">
        <v>3756.8</v>
      </c>
      <c r="J59" t="s">
        <v>42</v>
      </c>
      <c r="K59" t="s">
        <v>83</v>
      </c>
      <c r="L59">
        <f t="shared" si="0"/>
        <v>18784</v>
      </c>
    </row>
    <row r="60" spans="1:12" x14ac:dyDescent="0.3">
      <c r="A60" t="s">
        <v>278</v>
      </c>
      <c r="B60" t="s">
        <v>279</v>
      </c>
      <c r="C60" t="s">
        <v>280</v>
      </c>
      <c r="D60" t="s">
        <v>281</v>
      </c>
      <c r="E60" t="s">
        <v>95</v>
      </c>
      <c r="F60" t="s">
        <v>48</v>
      </c>
      <c r="G60" t="s">
        <v>179</v>
      </c>
      <c r="H60">
        <v>9</v>
      </c>
      <c r="I60">
        <v>4363.6000000000004</v>
      </c>
      <c r="J60" t="s">
        <v>19</v>
      </c>
      <c r="K60" t="s">
        <v>29</v>
      </c>
      <c r="L60">
        <f t="shared" si="0"/>
        <v>39272.400000000001</v>
      </c>
    </row>
    <row r="61" spans="1:12" x14ac:dyDescent="0.3">
      <c r="A61" t="s">
        <v>282</v>
      </c>
      <c r="B61" t="s">
        <v>283</v>
      </c>
      <c r="C61" t="s">
        <v>284</v>
      </c>
      <c r="D61" t="s">
        <v>285</v>
      </c>
      <c r="E61" t="s">
        <v>128</v>
      </c>
      <c r="F61" t="s">
        <v>77</v>
      </c>
      <c r="G61" t="s">
        <v>265</v>
      </c>
      <c r="H61">
        <v>8</v>
      </c>
      <c r="I61">
        <v>1082.56</v>
      </c>
      <c r="J61" t="s">
        <v>50</v>
      </c>
      <c r="K61" t="s">
        <v>36</v>
      </c>
      <c r="L61">
        <f t="shared" si="0"/>
        <v>8660.48</v>
      </c>
    </row>
    <row r="62" spans="1:12" x14ac:dyDescent="0.3">
      <c r="A62" t="s">
        <v>286</v>
      </c>
      <c r="B62" t="s">
        <v>287</v>
      </c>
      <c r="C62" t="s">
        <v>288</v>
      </c>
      <c r="D62" t="s">
        <v>289</v>
      </c>
      <c r="E62" t="s">
        <v>62</v>
      </c>
      <c r="F62" t="s">
        <v>77</v>
      </c>
      <c r="G62" t="s">
        <v>105</v>
      </c>
      <c r="H62">
        <v>5</v>
      </c>
      <c r="I62">
        <v>2587.8000000000002</v>
      </c>
      <c r="J62" t="s">
        <v>42</v>
      </c>
      <c r="K62" t="s">
        <v>36</v>
      </c>
      <c r="L62">
        <f t="shared" si="0"/>
        <v>12939</v>
      </c>
    </row>
    <row r="63" spans="1:12" x14ac:dyDescent="0.3">
      <c r="A63" t="s">
        <v>290</v>
      </c>
      <c r="B63" t="s">
        <v>291</v>
      </c>
      <c r="C63" t="s">
        <v>292</v>
      </c>
      <c r="D63" t="s">
        <v>293</v>
      </c>
      <c r="E63" t="s">
        <v>62</v>
      </c>
      <c r="F63" t="s">
        <v>17</v>
      </c>
      <c r="G63" t="s">
        <v>188</v>
      </c>
      <c r="H63">
        <v>7</v>
      </c>
      <c r="I63">
        <v>2899.59</v>
      </c>
      <c r="J63" t="s">
        <v>19</v>
      </c>
      <c r="K63" t="s">
        <v>51</v>
      </c>
      <c r="L63">
        <f t="shared" si="0"/>
        <v>20297.13</v>
      </c>
    </row>
    <row r="64" spans="1:12" x14ac:dyDescent="0.3">
      <c r="A64" t="s">
        <v>294</v>
      </c>
      <c r="B64" t="s">
        <v>295</v>
      </c>
      <c r="C64" t="s">
        <v>268</v>
      </c>
      <c r="D64" t="s">
        <v>146</v>
      </c>
      <c r="E64" t="s">
        <v>56</v>
      </c>
      <c r="F64" t="s">
        <v>26</v>
      </c>
      <c r="G64" t="s">
        <v>296</v>
      </c>
      <c r="H64">
        <v>1</v>
      </c>
      <c r="I64">
        <v>1561.74</v>
      </c>
      <c r="J64" t="s">
        <v>42</v>
      </c>
      <c r="K64" t="s">
        <v>20</v>
      </c>
      <c r="L64">
        <f t="shared" si="0"/>
        <v>1561.74</v>
      </c>
    </row>
    <row r="65" spans="1:12" x14ac:dyDescent="0.3">
      <c r="A65" t="s">
        <v>297</v>
      </c>
      <c r="B65" t="s">
        <v>298</v>
      </c>
      <c r="C65" t="s">
        <v>186</v>
      </c>
      <c r="D65" t="s">
        <v>299</v>
      </c>
      <c r="E65" t="s">
        <v>16</v>
      </c>
      <c r="F65" t="s">
        <v>77</v>
      </c>
      <c r="G65" t="s">
        <v>105</v>
      </c>
      <c r="H65">
        <v>7</v>
      </c>
      <c r="I65">
        <v>1946.69</v>
      </c>
      <c r="J65" t="s">
        <v>50</v>
      </c>
      <c r="K65" t="s">
        <v>83</v>
      </c>
      <c r="L65">
        <f t="shared" si="0"/>
        <v>13626.83</v>
      </c>
    </row>
    <row r="66" spans="1:12" x14ac:dyDescent="0.3">
      <c r="A66" t="s">
        <v>300</v>
      </c>
      <c r="B66" t="s">
        <v>301</v>
      </c>
      <c r="C66" t="s">
        <v>302</v>
      </c>
      <c r="D66" t="s">
        <v>303</v>
      </c>
      <c r="E66" t="s">
        <v>62</v>
      </c>
      <c r="F66" t="s">
        <v>17</v>
      </c>
      <c r="G66" t="s">
        <v>35</v>
      </c>
      <c r="H66">
        <v>5</v>
      </c>
      <c r="I66">
        <v>4576.2700000000004</v>
      </c>
      <c r="J66" t="s">
        <v>42</v>
      </c>
      <c r="K66" t="s">
        <v>20</v>
      </c>
      <c r="L66">
        <f t="shared" si="0"/>
        <v>22881.350000000002</v>
      </c>
    </row>
    <row r="67" spans="1:12" x14ac:dyDescent="0.3">
      <c r="A67" t="s">
        <v>304</v>
      </c>
      <c r="B67" t="s">
        <v>305</v>
      </c>
      <c r="C67" t="s">
        <v>306</v>
      </c>
      <c r="D67" t="s">
        <v>307</v>
      </c>
      <c r="E67" t="s">
        <v>34</v>
      </c>
      <c r="F67" t="s">
        <v>17</v>
      </c>
      <c r="G67" t="s">
        <v>35</v>
      </c>
      <c r="H67">
        <v>5</v>
      </c>
      <c r="I67">
        <v>1741.2</v>
      </c>
      <c r="J67" t="s">
        <v>50</v>
      </c>
      <c r="K67" t="s">
        <v>83</v>
      </c>
      <c r="L67">
        <f t="shared" ref="L67:L130" si="1">H67*I67</f>
        <v>8706</v>
      </c>
    </row>
    <row r="68" spans="1:12" x14ac:dyDescent="0.3">
      <c r="A68" t="s">
        <v>308</v>
      </c>
      <c r="B68" t="s">
        <v>309</v>
      </c>
      <c r="C68" t="s">
        <v>310</v>
      </c>
      <c r="D68" t="s">
        <v>311</v>
      </c>
      <c r="E68" t="s">
        <v>62</v>
      </c>
      <c r="F68" t="s">
        <v>77</v>
      </c>
      <c r="G68" t="s">
        <v>123</v>
      </c>
      <c r="H68">
        <v>6</v>
      </c>
      <c r="I68">
        <v>2102.9</v>
      </c>
      <c r="J68" t="s">
        <v>42</v>
      </c>
      <c r="K68" t="s">
        <v>20</v>
      </c>
      <c r="L68">
        <f t="shared" si="1"/>
        <v>12617.400000000001</v>
      </c>
    </row>
    <row r="69" spans="1:12" x14ac:dyDescent="0.3">
      <c r="A69" t="s">
        <v>312</v>
      </c>
      <c r="B69" t="s">
        <v>313</v>
      </c>
      <c r="C69" t="s">
        <v>314</v>
      </c>
      <c r="D69" t="s">
        <v>315</v>
      </c>
      <c r="E69" t="s">
        <v>62</v>
      </c>
      <c r="F69" t="s">
        <v>26</v>
      </c>
      <c r="G69" t="s">
        <v>296</v>
      </c>
      <c r="H69">
        <v>10</v>
      </c>
      <c r="I69">
        <v>4315.68</v>
      </c>
      <c r="J69" t="s">
        <v>50</v>
      </c>
      <c r="K69" t="s">
        <v>43</v>
      </c>
      <c r="L69">
        <f t="shared" si="1"/>
        <v>43156.800000000003</v>
      </c>
    </row>
    <row r="70" spans="1:12" x14ac:dyDescent="0.3">
      <c r="A70" t="s">
        <v>316</v>
      </c>
      <c r="B70" t="s">
        <v>317</v>
      </c>
      <c r="C70" t="s">
        <v>318</v>
      </c>
      <c r="D70" t="s">
        <v>103</v>
      </c>
      <c r="E70" t="s">
        <v>95</v>
      </c>
      <c r="F70" t="s">
        <v>17</v>
      </c>
      <c r="G70" t="s">
        <v>41</v>
      </c>
      <c r="H70">
        <v>3</v>
      </c>
      <c r="I70">
        <v>3001.15</v>
      </c>
      <c r="J70" t="s">
        <v>19</v>
      </c>
      <c r="K70" t="s">
        <v>51</v>
      </c>
      <c r="L70">
        <f t="shared" si="1"/>
        <v>9003.4500000000007</v>
      </c>
    </row>
    <row r="71" spans="1:12" x14ac:dyDescent="0.3">
      <c r="A71" t="s">
        <v>319</v>
      </c>
      <c r="B71" t="s">
        <v>320</v>
      </c>
      <c r="C71" t="s">
        <v>321</v>
      </c>
      <c r="D71" t="s">
        <v>322</v>
      </c>
      <c r="E71" t="s">
        <v>34</v>
      </c>
      <c r="F71" t="s">
        <v>48</v>
      </c>
      <c r="G71" t="s">
        <v>57</v>
      </c>
      <c r="H71">
        <v>8</v>
      </c>
      <c r="I71">
        <v>3077.12</v>
      </c>
      <c r="J71" t="s">
        <v>19</v>
      </c>
      <c r="K71" t="s">
        <v>83</v>
      </c>
      <c r="L71">
        <f t="shared" si="1"/>
        <v>24616.959999999999</v>
      </c>
    </row>
    <row r="72" spans="1:12" x14ac:dyDescent="0.3">
      <c r="A72" t="s">
        <v>323</v>
      </c>
      <c r="B72" t="s">
        <v>324</v>
      </c>
      <c r="C72" t="s">
        <v>325</v>
      </c>
      <c r="D72" t="s">
        <v>326</v>
      </c>
      <c r="E72" t="s">
        <v>128</v>
      </c>
      <c r="F72" t="s">
        <v>17</v>
      </c>
      <c r="G72" t="s">
        <v>35</v>
      </c>
      <c r="H72">
        <v>3</v>
      </c>
      <c r="I72">
        <v>4229.95</v>
      </c>
      <c r="J72" t="s">
        <v>42</v>
      </c>
      <c r="K72" t="s">
        <v>36</v>
      </c>
      <c r="L72">
        <f t="shared" si="1"/>
        <v>12689.849999999999</v>
      </c>
    </row>
    <row r="73" spans="1:12" x14ac:dyDescent="0.3">
      <c r="A73" t="s">
        <v>327</v>
      </c>
      <c r="B73" t="s">
        <v>328</v>
      </c>
      <c r="C73" t="s">
        <v>329</v>
      </c>
      <c r="D73" t="s">
        <v>330</v>
      </c>
      <c r="E73" t="s">
        <v>56</v>
      </c>
      <c r="F73" t="s">
        <v>26</v>
      </c>
      <c r="G73" t="s">
        <v>166</v>
      </c>
      <c r="H73">
        <v>6</v>
      </c>
      <c r="I73">
        <v>2387.37</v>
      </c>
      <c r="J73" t="s">
        <v>50</v>
      </c>
      <c r="K73" t="s">
        <v>29</v>
      </c>
      <c r="L73">
        <f t="shared" si="1"/>
        <v>14324.22</v>
      </c>
    </row>
    <row r="74" spans="1:12" x14ac:dyDescent="0.3">
      <c r="A74" t="s">
        <v>331</v>
      </c>
      <c r="B74" t="s">
        <v>332</v>
      </c>
      <c r="C74" t="s">
        <v>333</v>
      </c>
      <c r="D74" t="s">
        <v>334</v>
      </c>
      <c r="E74" t="s">
        <v>25</v>
      </c>
      <c r="F74" t="s">
        <v>48</v>
      </c>
      <c r="G74" t="s">
        <v>49</v>
      </c>
      <c r="H74">
        <v>8</v>
      </c>
      <c r="I74">
        <v>2723.72</v>
      </c>
      <c r="J74" t="s">
        <v>19</v>
      </c>
      <c r="K74" t="s">
        <v>43</v>
      </c>
      <c r="L74">
        <f t="shared" si="1"/>
        <v>21789.759999999998</v>
      </c>
    </row>
    <row r="75" spans="1:12" x14ac:dyDescent="0.3">
      <c r="A75" t="s">
        <v>335</v>
      </c>
      <c r="B75" t="s">
        <v>336</v>
      </c>
      <c r="C75" t="s">
        <v>337</v>
      </c>
      <c r="D75" t="s">
        <v>61</v>
      </c>
      <c r="E75" t="s">
        <v>25</v>
      </c>
      <c r="F75" t="s">
        <v>26</v>
      </c>
      <c r="G75" t="s">
        <v>27</v>
      </c>
      <c r="H75">
        <v>6</v>
      </c>
      <c r="I75">
        <v>2062.73</v>
      </c>
      <c r="J75" t="s">
        <v>50</v>
      </c>
      <c r="K75" t="s">
        <v>36</v>
      </c>
      <c r="L75">
        <f t="shared" si="1"/>
        <v>12376.380000000001</v>
      </c>
    </row>
    <row r="76" spans="1:12" x14ac:dyDescent="0.3">
      <c r="A76" t="s">
        <v>338</v>
      </c>
      <c r="B76" t="s">
        <v>339</v>
      </c>
      <c r="C76" t="s">
        <v>340</v>
      </c>
      <c r="D76" t="s">
        <v>341</v>
      </c>
      <c r="E76" t="s">
        <v>56</v>
      </c>
      <c r="F76" t="s">
        <v>77</v>
      </c>
      <c r="G76" t="s">
        <v>171</v>
      </c>
      <c r="H76">
        <v>10</v>
      </c>
      <c r="I76">
        <v>2034.15</v>
      </c>
      <c r="J76" t="s">
        <v>19</v>
      </c>
      <c r="K76" t="s">
        <v>83</v>
      </c>
      <c r="L76">
        <f t="shared" si="1"/>
        <v>20341.5</v>
      </c>
    </row>
    <row r="77" spans="1:12" x14ac:dyDescent="0.3">
      <c r="A77" t="s">
        <v>342</v>
      </c>
      <c r="B77" t="s">
        <v>343</v>
      </c>
      <c r="C77" t="s">
        <v>344</v>
      </c>
      <c r="D77" t="s">
        <v>345</v>
      </c>
      <c r="E77" t="s">
        <v>128</v>
      </c>
      <c r="F77" t="s">
        <v>77</v>
      </c>
      <c r="G77" t="s">
        <v>78</v>
      </c>
      <c r="H77">
        <v>5</v>
      </c>
      <c r="I77">
        <v>2786.95</v>
      </c>
      <c r="J77" t="s">
        <v>50</v>
      </c>
      <c r="K77" t="s">
        <v>29</v>
      </c>
      <c r="L77">
        <f t="shared" si="1"/>
        <v>13934.75</v>
      </c>
    </row>
    <row r="78" spans="1:12" x14ac:dyDescent="0.3">
      <c r="A78" t="s">
        <v>346</v>
      </c>
      <c r="B78" t="s">
        <v>347</v>
      </c>
      <c r="C78" t="s">
        <v>348</v>
      </c>
      <c r="D78" t="s">
        <v>349</v>
      </c>
      <c r="E78" t="s">
        <v>25</v>
      </c>
      <c r="F78" t="s">
        <v>17</v>
      </c>
      <c r="G78" t="s">
        <v>35</v>
      </c>
      <c r="H78">
        <v>7</v>
      </c>
      <c r="I78">
        <v>4062.77</v>
      </c>
      <c r="J78" t="s">
        <v>42</v>
      </c>
      <c r="K78" t="s">
        <v>29</v>
      </c>
      <c r="L78">
        <f t="shared" si="1"/>
        <v>28439.39</v>
      </c>
    </row>
    <row r="79" spans="1:12" x14ac:dyDescent="0.3">
      <c r="A79" t="s">
        <v>350</v>
      </c>
      <c r="B79" t="s">
        <v>351</v>
      </c>
      <c r="C79" t="s">
        <v>352</v>
      </c>
      <c r="D79" t="s">
        <v>353</v>
      </c>
      <c r="E79" t="s">
        <v>62</v>
      </c>
      <c r="F79" t="s">
        <v>77</v>
      </c>
      <c r="G79" t="s">
        <v>123</v>
      </c>
      <c r="H79">
        <v>9</v>
      </c>
      <c r="I79">
        <v>4480.96</v>
      </c>
      <c r="J79" t="s">
        <v>19</v>
      </c>
      <c r="K79" t="s">
        <v>20</v>
      </c>
      <c r="L79">
        <f t="shared" si="1"/>
        <v>40328.639999999999</v>
      </c>
    </row>
    <row r="80" spans="1:12" x14ac:dyDescent="0.3">
      <c r="A80" t="s">
        <v>354</v>
      </c>
      <c r="B80" t="s">
        <v>355</v>
      </c>
      <c r="C80" t="s">
        <v>356</v>
      </c>
      <c r="D80" t="s">
        <v>357</v>
      </c>
      <c r="E80" t="s">
        <v>16</v>
      </c>
      <c r="F80" t="s">
        <v>77</v>
      </c>
      <c r="G80" t="s">
        <v>123</v>
      </c>
      <c r="H80">
        <v>1</v>
      </c>
      <c r="I80">
        <v>4516.93</v>
      </c>
      <c r="J80" t="s">
        <v>50</v>
      </c>
      <c r="K80" t="s">
        <v>83</v>
      </c>
      <c r="L80">
        <f t="shared" si="1"/>
        <v>4516.93</v>
      </c>
    </row>
    <row r="81" spans="1:12" x14ac:dyDescent="0.3">
      <c r="A81" t="s">
        <v>358</v>
      </c>
      <c r="B81" t="s">
        <v>359</v>
      </c>
      <c r="C81" t="s">
        <v>360</v>
      </c>
      <c r="D81" t="s">
        <v>361</v>
      </c>
      <c r="E81" t="s">
        <v>56</v>
      </c>
      <c r="F81" t="s">
        <v>77</v>
      </c>
      <c r="G81" t="s">
        <v>123</v>
      </c>
      <c r="H81">
        <v>7</v>
      </c>
      <c r="I81">
        <v>2396.69</v>
      </c>
      <c r="J81" t="s">
        <v>28</v>
      </c>
      <c r="K81" t="s">
        <v>29</v>
      </c>
      <c r="L81">
        <f t="shared" si="1"/>
        <v>16776.830000000002</v>
      </c>
    </row>
    <row r="82" spans="1:12" x14ac:dyDescent="0.3">
      <c r="A82" t="s">
        <v>362</v>
      </c>
      <c r="B82" t="s">
        <v>74</v>
      </c>
      <c r="C82" t="s">
        <v>363</v>
      </c>
      <c r="D82" t="s">
        <v>364</v>
      </c>
      <c r="E82" t="s">
        <v>16</v>
      </c>
      <c r="F82" t="s">
        <v>26</v>
      </c>
      <c r="G82" t="s">
        <v>27</v>
      </c>
      <c r="H82">
        <v>8</v>
      </c>
      <c r="I82">
        <v>4935.47</v>
      </c>
      <c r="J82" t="s">
        <v>19</v>
      </c>
      <c r="K82" t="s">
        <v>36</v>
      </c>
      <c r="L82">
        <f t="shared" si="1"/>
        <v>39483.760000000002</v>
      </c>
    </row>
    <row r="83" spans="1:12" x14ac:dyDescent="0.3">
      <c r="A83" t="s">
        <v>365</v>
      </c>
      <c r="B83" t="s">
        <v>366</v>
      </c>
      <c r="C83" t="s">
        <v>367</v>
      </c>
      <c r="D83" t="s">
        <v>368</v>
      </c>
      <c r="E83" t="s">
        <v>16</v>
      </c>
      <c r="F83" t="s">
        <v>17</v>
      </c>
      <c r="G83" t="s">
        <v>68</v>
      </c>
      <c r="H83">
        <v>4</v>
      </c>
      <c r="I83">
        <v>2905.63</v>
      </c>
      <c r="J83" t="s">
        <v>50</v>
      </c>
      <c r="K83" t="s">
        <v>20</v>
      </c>
      <c r="L83">
        <f t="shared" si="1"/>
        <v>11622.52</v>
      </c>
    </row>
    <row r="84" spans="1:12" x14ac:dyDescent="0.3">
      <c r="A84" t="s">
        <v>369</v>
      </c>
      <c r="B84" t="s">
        <v>370</v>
      </c>
      <c r="C84" t="s">
        <v>371</v>
      </c>
      <c r="D84" t="s">
        <v>372</v>
      </c>
      <c r="E84" t="s">
        <v>34</v>
      </c>
      <c r="F84" t="s">
        <v>17</v>
      </c>
      <c r="G84" t="s">
        <v>68</v>
      </c>
      <c r="H84">
        <v>6</v>
      </c>
      <c r="I84">
        <v>4209.08</v>
      </c>
      <c r="J84" t="s">
        <v>42</v>
      </c>
      <c r="K84" t="s">
        <v>20</v>
      </c>
      <c r="L84">
        <f t="shared" si="1"/>
        <v>25254.48</v>
      </c>
    </row>
    <row r="85" spans="1:12" x14ac:dyDescent="0.3">
      <c r="A85" t="s">
        <v>373</v>
      </c>
      <c r="B85" t="s">
        <v>287</v>
      </c>
      <c r="C85" t="s">
        <v>374</v>
      </c>
      <c r="D85" t="s">
        <v>375</v>
      </c>
      <c r="E85" t="s">
        <v>16</v>
      </c>
      <c r="F85" t="s">
        <v>77</v>
      </c>
      <c r="G85" t="s">
        <v>171</v>
      </c>
      <c r="H85">
        <v>3</v>
      </c>
      <c r="I85">
        <v>3135.78</v>
      </c>
      <c r="J85" t="s">
        <v>50</v>
      </c>
      <c r="K85" t="s">
        <v>83</v>
      </c>
      <c r="L85">
        <f t="shared" si="1"/>
        <v>9407.34</v>
      </c>
    </row>
    <row r="86" spans="1:12" x14ac:dyDescent="0.3">
      <c r="A86" t="s">
        <v>376</v>
      </c>
      <c r="B86" t="s">
        <v>377</v>
      </c>
      <c r="C86" t="s">
        <v>378</v>
      </c>
      <c r="D86" t="s">
        <v>379</v>
      </c>
      <c r="E86" t="s">
        <v>128</v>
      </c>
      <c r="F86" t="s">
        <v>77</v>
      </c>
      <c r="G86" t="s">
        <v>123</v>
      </c>
      <c r="H86">
        <v>1</v>
      </c>
      <c r="I86">
        <v>2389.71</v>
      </c>
      <c r="J86" t="s">
        <v>19</v>
      </c>
      <c r="K86" t="s">
        <v>51</v>
      </c>
      <c r="L86">
        <f t="shared" si="1"/>
        <v>2389.71</v>
      </c>
    </row>
    <row r="87" spans="1:12" x14ac:dyDescent="0.3">
      <c r="A87" t="s">
        <v>380</v>
      </c>
      <c r="B87" t="s">
        <v>381</v>
      </c>
      <c r="C87" t="s">
        <v>382</v>
      </c>
      <c r="D87" t="s">
        <v>383</v>
      </c>
      <c r="E87" t="s">
        <v>25</v>
      </c>
      <c r="F87" t="s">
        <v>48</v>
      </c>
      <c r="G87" t="s">
        <v>63</v>
      </c>
      <c r="H87">
        <v>8</v>
      </c>
      <c r="I87">
        <v>1186.49</v>
      </c>
      <c r="J87" t="s">
        <v>19</v>
      </c>
      <c r="K87" t="s">
        <v>43</v>
      </c>
      <c r="L87">
        <f t="shared" si="1"/>
        <v>9491.92</v>
      </c>
    </row>
    <row r="88" spans="1:12" x14ac:dyDescent="0.3">
      <c r="A88" t="s">
        <v>384</v>
      </c>
      <c r="B88" t="s">
        <v>385</v>
      </c>
      <c r="C88" t="s">
        <v>386</v>
      </c>
      <c r="D88" t="s">
        <v>387</v>
      </c>
      <c r="E88" t="s">
        <v>25</v>
      </c>
      <c r="F88" t="s">
        <v>17</v>
      </c>
      <c r="G88" t="s">
        <v>68</v>
      </c>
      <c r="H88">
        <v>8</v>
      </c>
      <c r="I88">
        <v>3228.85</v>
      </c>
      <c r="J88" t="s">
        <v>42</v>
      </c>
      <c r="K88" t="s">
        <v>29</v>
      </c>
      <c r="L88">
        <f t="shared" si="1"/>
        <v>25830.799999999999</v>
      </c>
    </row>
    <row r="89" spans="1:12" x14ac:dyDescent="0.3">
      <c r="A89" t="s">
        <v>388</v>
      </c>
      <c r="B89" t="s">
        <v>389</v>
      </c>
      <c r="C89" t="s">
        <v>390</v>
      </c>
      <c r="D89" t="s">
        <v>391</v>
      </c>
      <c r="E89" t="s">
        <v>104</v>
      </c>
      <c r="F89" t="s">
        <v>26</v>
      </c>
      <c r="G89" t="s">
        <v>166</v>
      </c>
      <c r="H89">
        <v>5</v>
      </c>
      <c r="I89">
        <v>2703.43</v>
      </c>
      <c r="J89" t="s">
        <v>28</v>
      </c>
      <c r="K89" t="s">
        <v>20</v>
      </c>
      <c r="L89">
        <f t="shared" si="1"/>
        <v>13517.15</v>
      </c>
    </row>
    <row r="90" spans="1:12" x14ac:dyDescent="0.3">
      <c r="A90" t="s">
        <v>392</v>
      </c>
      <c r="B90" t="s">
        <v>393</v>
      </c>
      <c r="C90" t="s">
        <v>394</v>
      </c>
      <c r="D90" t="s">
        <v>395</v>
      </c>
      <c r="E90" t="s">
        <v>104</v>
      </c>
      <c r="F90" t="s">
        <v>77</v>
      </c>
      <c r="G90" t="s">
        <v>171</v>
      </c>
      <c r="H90">
        <v>10</v>
      </c>
      <c r="I90">
        <v>4763.6099999999997</v>
      </c>
      <c r="J90" t="s">
        <v>28</v>
      </c>
      <c r="K90" t="s">
        <v>43</v>
      </c>
      <c r="L90">
        <f t="shared" si="1"/>
        <v>47636.1</v>
      </c>
    </row>
    <row r="91" spans="1:12" x14ac:dyDescent="0.3">
      <c r="A91" t="s">
        <v>396</v>
      </c>
      <c r="B91" t="s">
        <v>397</v>
      </c>
      <c r="C91" t="s">
        <v>398</v>
      </c>
      <c r="D91" t="s">
        <v>399</v>
      </c>
      <c r="E91" t="s">
        <v>95</v>
      </c>
      <c r="F91" t="s">
        <v>77</v>
      </c>
      <c r="G91" t="s">
        <v>105</v>
      </c>
      <c r="H91">
        <v>1</v>
      </c>
      <c r="I91">
        <v>2248.81</v>
      </c>
      <c r="J91" t="s">
        <v>19</v>
      </c>
      <c r="K91" t="s">
        <v>29</v>
      </c>
      <c r="L91">
        <f t="shared" si="1"/>
        <v>2248.81</v>
      </c>
    </row>
    <row r="92" spans="1:12" x14ac:dyDescent="0.3">
      <c r="A92" t="s">
        <v>400</v>
      </c>
      <c r="B92" t="s">
        <v>401</v>
      </c>
      <c r="C92" t="s">
        <v>402</v>
      </c>
      <c r="D92" t="s">
        <v>403</v>
      </c>
      <c r="E92" t="s">
        <v>104</v>
      </c>
      <c r="F92" t="s">
        <v>26</v>
      </c>
      <c r="G92" t="s">
        <v>166</v>
      </c>
      <c r="H92">
        <v>10</v>
      </c>
      <c r="I92">
        <v>423.09</v>
      </c>
      <c r="J92" t="s">
        <v>50</v>
      </c>
      <c r="K92" t="s">
        <v>51</v>
      </c>
      <c r="L92">
        <f t="shared" si="1"/>
        <v>4230.8999999999996</v>
      </c>
    </row>
    <row r="93" spans="1:12" x14ac:dyDescent="0.3">
      <c r="A93" t="s">
        <v>404</v>
      </c>
      <c r="B93" t="s">
        <v>405</v>
      </c>
      <c r="C93" t="s">
        <v>406</v>
      </c>
      <c r="D93" t="s">
        <v>407</v>
      </c>
      <c r="E93" t="s">
        <v>34</v>
      </c>
      <c r="F93" t="s">
        <v>26</v>
      </c>
      <c r="G93" t="s">
        <v>115</v>
      </c>
      <c r="H93">
        <v>9</v>
      </c>
      <c r="I93">
        <v>2919.64</v>
      </c>
      <c r="J93" t="s">
        <v>50</v>
      </c>
      <c r="K93" t="s">
        <v>51</v>
      </c>
      <c r="L93">
        <f t="shared" si="1"/>
        <v>26276.76</v>
      </c>
    </row>
    <row r="94" spans="1:12" x14ac:dyDescent="0.3">
      <c r="A94" t="s">
        <v>408</v>
      </c>
      <c r="B94" t="s">
        <v>409</v>
      </c>
      <c r="C94" t="s">
        <v>352</v>
      </c>
      <c r="D94" t="s">
        <v>410</v>
      </c>
      <c r="E94" t="s">
        <v>16</v>
      </c>
      <c r="F94" t="s">
        <v>48</v>
      </c>
      <c r="G94" t="s">
        <v>57</v>
      </c>
      <c r="H94">
        <v>4</v>
      </c>
      <c r="I94">
        <v>3390.71</v>
      </c>
      <c r="J94" t="s">
        <v>19</v>
      </c>
      <c r="K94" t="s">
        <v>83</v>
      </c>
      <c r="L94">
        <f t="shared" si="1"/>
        <v>13562.84</v>
      </c>
    </row>
    <row r="95" spans="1:12" x14ac:dyDescent="0.3">
      <c r="A95" t="s">
        <v>411</v>
      </c>
      <c r="B95" t="s">
        <v>412</v>
      </c>
      <c r="C95" t="s">
        <v>86</v>
      </c>
      <c r="D95" t="s">
        <v>413</v>
      </c>
      <c r="E95" t="s">
        <v>128</v>
      </c>
      <c r="F95" t="s">
        <v>17</v>
      </c>
      <c r="G95" t="s">
        <v>68</v>
      </c>
      <c r="H95">
        <v>4</v>
      </c>
      <c r="I95">
        <v>813.9</v>
      </c>
      <c r="J95" t="s">
        <v>28</v>
      </c>
      <c r="K95" t="s">
        <v>83</v>
      </c>
      <c r="L95">
        <f t="shared" si="1"/>
        <v>3255.6</v>
      </c>
    </row>
    <row r="96" spans="1:12" x14ac:dyDescent="0.3">
      <c r="A96" t="s">
        <v>414</v>
      </c>
      <c r="B96" t="s">
        <v>415</v>
      </c>
      <c r="C96" t="s">
        <v>416</v>
      </c>
      <c r="D96" t="s">
        <v>417</v>
      </c>
      <c r="E96" t="s">
        <v>128</v>
      </c>
      <c r="F96" t="s">
        <v>77</v>
      </c>
      <c r="G96" t="s">
        <v>78</v>
      </c>
      <c r="H96">
        <v>2</v>
      </c>
      <c r="I96">
        <v>3245.79</v>
      </c>
      <c r="J96" t="s">
        <v>19</v>
      </c>
      <c r="K96" t="s">
        <v>83</v>
      </c>
      <c r="L96">
        <f t="shared" si="1"/>
        <v>6491.58</v>
      </c>
    </row>
    <row r="97" spans="1:12" x14ac:dyDescent="0.3">
      <c r="A97" t="s">
        <v>418</v>
      </c>
      <c r="B97" t="s">
        <v>419</v>
      </c>
      <c r="C97" t="s">
        <v>420</v>
      </c>
      <c r="D97" t="s">
        <v>303</v>
      </c>
      <c r="E97" t="s">
        <v>95</v>
      </c>
      <c r="F97" t="s">
        <v>17</v>
      </c>
      <c r="G97" t="s">
        <v>68</v>
      </c>
      <c r="H97">
        <v>7</v>
      </c>
      <c r="I97">
        <v>3043.32</v>
      </c>
      <c r="J97" t="s">
        <v>42</v>
      </c>
      <c r="K97" t="s">
        <v>29</v>
      </c>
      <c r="L97">
        <f t="shared" si="1"/>
        <v>21303.24</v>
      </c>
    </row>
    <row r="98" spans="1:12" x14ac:dyDescent="0.3">
      <c r="A98" t="s">
        <v>421</v>
      </c>
      <c r="B98" t="s">
        <v>422</v>
      </c>
      <c r="C98" t="s">
        <v>423</v>
      </c>
      <c r="D98" t="s">
        <v>424</v>
      </c>
      <c r="E98" t="s">
        <v>104</v>
      </c>
      <c r="F98" t="s">
        <v>77</v>
      </c>
      <c r="G98" t="s">
        <v>78</v>
      </c>
      <c r="H98">
        <v>6</v>
      </c>
      <c r="I98">
        <v>1694.51</v>
      </c>
      <c r="J98" t="s">
        <v>42</v>
      </c>
      <c r="K98" t="s">
        <v>36</v>
      </c>
      <c r="L98">
        <f t="shared" si="1"/>
        <v>10167.06</v>
      </c>
    </row>
    <row r="99" spans="1:12" x14ac:dyDescent="0.3">
      <c r="A99" t="s">
        <v>425</v>
      </c>
      <c r="B99" t="s">
        <v>426</v>
      </c>
      <c r="C99" t="s">
        <v>427</v>
      </c>
      <c r="D99" t="s">
        <v>428</v>
      </c>
      <c r="E99" t="s">
        <v>95</v>
      </c>
      <c r="F99" t="s">
        <v>17</v>
      </c>
      <c r="G99" t="s">
        <v>35</v>
      </c>
      <c r="H99">
        <v>3</v>
      </c>
      <c r="I99">
        <v>2433.14</v>
      </c>
      <c r="J99" t="s">
        <v>42</v>
      </c>
      <c r="K99" t="s">
        <v>36</v>
      </c>
      <c r="L99">
        <f t="shared" si="1"/>
        <v>7299.42</v>
      </c>
    </row>
    <row r="100" spans="1:12" x14ac:dyDescent="0.3">
      <c r="A100" t="s">
        <v>429</v>
      </c>
      <c r="B100" t="s">
        <v>347</v>
      </c>
      <c r="C100" t="s">
        <v>430</v>
      </c>
      <c r="D100" t="s">
        <v>431</v>
      </c>
      <c r="E100" t="s">
        <v>62</v>
      </c>
      <c r="F100" t="s">
        <v>26</v>
      </c>
      <c r="G100" t="s">
        <v>208</v>
      </c>
      <c r="H100">
        <v>7</v>
      </c>
      <c r="I100">
        <v>1442.96</v>
      </c>
      <c r="J100" t="s">
        <v>28</v>
      </c>
      <c r="K100" t="s">
        <v>36</v>
      </c>
      <c r="L100">
        <f t="shared" si="1"/>
        <v>10100.720000000001</v>
      </c>
    </row>
    <row r="101" spans="1:12" x14ac:dyDescent="0.3">
      <c r="A101" t="s">
        <v>432</v>
      </c>
      <c r="B101" t="s">
        <v>433</v>
      </c>
      <c r="C101" t="s">
        <v>434</v>
      </c>
      <c r="D101" t="s">
        <v>435</v>
      </c>
      <c r="E101" t="s">
        <v>128</v>
      </c>
      <c r="F101" t="s">
        <v>77</v>
      </c>
      <c r="G101" t="s">
        <v>171</v>
      </c>
      <c r="H101">
        <v>7</v>
      </c>
      <c r="I101">
        <v>1579.19</v>
      </c>
      <c r="J101" t="s">
        <v>42</v>
      </c>
      <c r="K101" t="s">
        <v>83</v>
      </c>
      <c r="L101">
        <f t="shared" si="1"/>
        <v>11054.33</v>
      </c>
    </row>
    <row r="102" spans="1:12" x14ac:dyDescent="0.3">
      <c r="A102" t="s">
        <v>436</v>
      </c>
      <c r="B102" t="s">
        <v>437</v>
      </c>
      <c r="C102" t="s">
        <v>438</v>
      </c>
      <c r="D102" t="s">
        <v>439</v>
      </c>
      <c r="E102" t="s">
        <v>56</v>
      </c>
      <c r="F102" t="s">
        <v>17</v>
      </c>
      <c r="G102" t="s">
        <v>41</v>
      </c>
      <c r="H102">
        <v>8</v>
      </c>
      <c r="I102">
        <v>4761.93</v>
      </c>
      <c r="J102" t="s">
        <v>42</v>
      </c>
      <c r="K102" t="s">
        <v>43</v>
      </c>
      <c r="L102">
        <f t="shared" si="1"/>
        <v>38095.440000000002</v>
      </c>
    </row>
    <row r="103" spans="1:12" x14ac:dyDescent="0.3">
      <c r="A103" t="s">
        <v>440</v>
      </c>
      <c r="B103" t="s">
        <v>441</v>
      </c>
      <c r="C103" t="s">
        <v>442</v>
      </c>
      <c r="D103" t="s">
        <v>443</v>
      </c>
      <c r="E103" t="s">
        <v>95</v>
      </c>
      <c r="F103" t="s">
        <v>48</v>
      </c>
      <c r="G103" t="s">
        <v>57</v>
      </c>
      <c r="H103">
        <v>2</v>
      </c>
      <c r="I103">
        <v>3673.2</v>
      </c>
      <c r="J103" t="s">
        <v>42</v>
      </c>
      <c r="K103" t="s">
        <v>29</v>
      </c>
      <c r="L103">
        <f t="shared" si="1"/>
        <v>7346.4</v>
      </c>
    </row>
    <row r="104" spans="1:12" x14ac:dyDescent="0.3">
      <c r="A104" t="s">
        <v>444</v>
      </c>
      <c r="B104" t="s">
        <v>445</v>
      </c>
      <c r="C104" t="s">
        <v>446</v>
      </c>
      <c r="D104" t="s">
        <v>447</v>
      </c>
      <c r="E104" t="s">
        <v>25</v>
      </c>
      <c r="F104" t="s">
        <v>26</v>
      </c>
      <c r="G104" t="s">
        <v>166</v>
      </c>
      <c r="H104">
        <v>8</v>
      </c>
      <c r="I104">
        <v>1837.73</v>
      </c>
      <c r="J104" t="s">
        <v>19</v>
      </c>
      <c r="K104" t="s">
        <v>43</v>
      </c>
      <c r="L104">
        <f t="shared" si="1"/>
        <v>14701.84</v>
      </c>
    </row>
    <row r="105" spans="1:12" x14ac:dyDescent="0.3">
      <c r="A105" t="s">
        <v>448</v>
      </c>
      <c r="B105" t="s">
        <v>449</v>
      </c>
      <c r="C105" t="s">
        <v>450</v>
      </c>
      <c r="D105" t="s">
        <v>451</v>
      </c>
      <c r="E105" t="s">
        <v>34</v>
      </c>
      <c r="F105" t="s">
        <v>17</v>
      </c>
      <c r="G105" t="s">
        <v>18</v>
      </c>
      <c r="H105">
        <v>3</v>
      </c>
      <c r="I105">
        <v>519.26</v>
      </c>
      <c r="J105" t="s">
        <v>19</v>
      </c>
      <c r="K105" t="s">
        <v>83</v>
      </c>
      <c r="L105">
        <f t="shared" si="1"/>
        <v>1557.78</v>
      </c>
    </row>
    <row r="106" spans="1:12" x14ac:dyDescent="0.3">
      <c r="A106" t="s">
        <v>452</v>
      </c>
      <c r="B106" t="s">
        <v>453</v>
      </c>
      <c r="C106" t="s">
        <v>454</v>
      </c>
      <c r="D106" t="s">
        <v>455</v>
      </c>
      <c r="E106" t="s">
        <v>128</v>
      </c>
      <c r="F106" t="s">
        <v>26</v>
      </c>
      <c r="G106" t="s">
        <v>208</v>
      </c>
      <c r="H106">
        <v>3</v>
      </c>
      <c r="I106">
        <v>1772.75</v>
      </c>
      <c r="J106" t="s">
        <v>50</v>
      </c>
      <c r="K106" t="s">
        <v>29</v>
      </c>
      <c r="L106">
        <f t="shared" si="1"/>
        <v>5318.25</v>
      </c>
    </row>
    <row r="107" spans="1:12" x14ac:dyDescent="0.3">
      <c r="A107" t="s">
        <v>456</v>
      </c>
      <c r="B107" t="s">
        <v>457</v>
      </c>
      <c r="C107" t="s">
        <v>458</v>
      </c>
      <c r="D107" t="s">
        <v>459</v>
      </c>
      <c r="E107" t="s">
        <v>56</v>
      </c>
      <c r="F107" t="s">
        <v>48</v>
      </c>
      <c r="G107" t="s">
        <v>57</v>
      </c>
      <c r="H107">
        <v>1</v>
      </c>
      <c r="I107">
        <v>2600.4699999999998</v>
      </c>
      <c r="J107" t="s">
        <v>42</v>
      </c>
      <c r="K107" t="s">
        <v>29</v>
      </c>
      <c r="L107">
        <f t="shared" si="1"/>
        <v>2600.4699999999998</v>
      </c>
    </row>
    <row r="108" spans="1:12" x14ac:dyDescent="0.3">
      <c r="A108" t="s">
        <v>460</v>
      </c>
      <c r="B108" t="s">
        <v>461</v>
      </c>
      <c r="C108" t="s">
        <v>352</v>
      </c>
      <c r="D108" t="s">
        <v>462</v>
      </c>
      <c r="E108" t="s">
        <v>104</v>
      </c>
      <c r="F108" t="s">
        <v>26</v>
      </c>
      <c r="G108" t="s">
        <v>27</v>
      </c>
      <c r="H108">
        <v>10</v>
      </c>
      <c r="I108">
        <v>4710.95</v>
      </c>
      <c r="J108" t="s">
        <v>42</v>
      </c>
      <c r="K108" t="s">
        <v>51</v>
      </c>
      <c r="L108">
        <f t="shared" si="1"/>
        <v>47109.5</v>
      </c>
    </row>
    <row r="109" spans="1:12" x14ac:dyDescent="0.3">
      <c r="A109" t="s">
        <v>463</v>
      </c>
      <c r="B109" t="s">
        <v>464</v>
      </c>
      <c r="C109" t="s">
        <v>215</v>
      </c>
      <c r="D109" t="s">
        <v>465</v>
      </c>
      <c r="E109" t="s">
        <v>56</v>
      </c>
      <c r="F109" t="s">
        <v>17</v>
      </c>
      <c r="G109" t="s">
        <v>35</v>
      </c>
      <c r="H109">
        <v>6</v>
      </c>
      <c r="I109">
        <v>4840.12</v>
      </c>
      <c r="J109" t="s">
        <v>19</v>
      </c>
      <c r="K109" t="s">
        <v>29</v>
      </c>
      <c r="L109">
        <f t="shared" si="1"/>
        <v>29040.720000000001</v>
      </c>
    </row>
    <row r="110" spans="1:12" x14ac:dyDescent="0.3">
      <c r="A110" t="s">
        <v>466</v>
      </c>
      <c r="B110" t="s">
        <v>467</v>
      </c>
      <c r="C110" t="s">
        <v>468</v>
      </c>
      <c r="D110" t="s">
        <v>469</v>
      </c>
      <c r="E110" t="s">
        <v>62</v>
      </c>
      <c r="F110" t="s">
        <v>26</v>
      </c>
      <c r="G110" t="s">
        <v>166</v>
      </c>
      <c r="H110">
        <v>1</v>
      </c>
      <c r="I110">
        <v>947.38</v>
      </c>
      <c r="J110" t="s">
        <v>19</v>
      </c>
      <c r="K110" t="s">
        <v>20</v>
      </c>
      <c r="L110">
        <f t="shared" si="1"/>
        <v>947.38</v>
      </c>
    </row>
    <row r="111" spans="1:12" x14ac:dyDescent="0.3">
      <c r="A111" t="s">
        <v>470</v>
      </c>
      <c r="B111" t="s">
        <v>471</v>
      </c>
      <c r="C111" t="s">
        <v>344</v>
      </c>
      <c r="D111" t="s">
        <v>472</v>
      </c>
      <c r="E111" t="s">
        <v>128</v>
      </c>
      <c r="F111" t="s">
        <v>17</v>
      </c>
      <c r="G111" t="s">
        <v>188</v>
      </c>
      <c r="H111">
        <v>2</v>
      </c>
      <c r="I111">
        <v>3273.22</v>
      </c>
      <c r="J111" t="s">
        <v>28</v>
      </c>
      <c r="K111" t="s">
        <v>43</v>
      </c>
      <c r="L111">
        <f t="shared" si="1"/>
        <v>6546.44</v>
      </c>
    </row>
    <row r="112" spans="1:12" x14ac:dyDescent="0.3">
      <c r="A112" t="s">
        <v>473</v>
      </c>
      <c r="B112" t="s">
        <v>474</v>
      </c>
      <c r="C112" t="s">
        <v>118</v>
      </c>
      <c r="D112" t="s">
        <v>475</v>
      </c>
      <c r="E112" t="s">
        <v>56</v>
      </c>
      <c r="F112" t="s">
        <v>26</v>
      </c>
      <c r="G112" t="s">
        <v>27</v>
      </c>
      <c r="H112">
        <v>8</v>
      </c>
      <c r="I112">
        <v>528.77</v>
      </c>
      <c r="J112" t="s">
        <v>28</v>
      </c>
      <c r="K112" t="s">
        <v>43</v>
      </c>
      <c r="L112">
        <f t="shared" si="1"/>
        <v>4230.16</v>
      </c>
    </row>
    <row r="113" spans="1:12" x14ac:dyDescent="0.3">
      <c r="A113" t="s">
        <v>476</v>
      </c>
      <c r="B113" t="s">
        <v>477</v>
      </c>
      <c r="C113" t="s">
        <v>478</v>
      </c>
      <c r="D113" t="s">
        <v>479</v>
      </c>
      <c r="E113" t="s">
        <v>104</v>
      </c>
      <c r="F113" t="s">
        <v>26</v>
      </c>
      <c r="G113" t="s">
        <v>115</v>
      </c>
      <c r="H113">
        <v>10</v>
      </c>
      <c r="I113">
        <v>2619.59</v>
      </c>
      <c r="J113" t="s">
        <v>42</v>
      </c>
      <c r="K113" t="s">
        <v>83</v>
      </c>
      <c r="L113">
        <f t="shared" si="1"/>
        <v>26195.9</v>
      </c>
    </row>
    <row r="114" spans="1:12" x14ac:dyDescent="0.3">
      <c r="A114" t="s">
        <v>480</v>
      </c>
      <c r="B114" t="s">
        <v>328</v>
      </c>
      <c r="C114" t="s">
        <v>374</v>
      </c>
      <c r="D114" t="s">
        <v>481</v>
      </c>
      <c r="E114" t="s">
        <v>104</v>
      </c>
      <c r="F114" t="s">
        <v>17</v>
      </c>
      <c r="G114" t="s">
        <v>18</v>
      </c>
      <c r="H114">
        <v>3</v>
      </c>
      <c r="I114">
        <v>2297.48</v>
      </c>
      <c r="J114" t="s">
        <v>19</v>
      </c>
      <c r="K114" t="s">
        <v>83</v>
      </c>
      <c r="L114">
        <f t="shared" si="1"/>
        <v>6892.4400000000005</v>
      </c>
    </row>
    <row r="115" spans="1:12" x14ac:dyDescent="0.3">
      <c r="A115" t="s">
        <v>482</v>
      </c>
      <c r="B115" t="s">
        <v>483</v>
      </c>
      <c r="C115" t="s">
        <v>337</v>
      </c>
      <c r="D115" t="s">
        <v>484</v>
      </c>
      <c r="E115" t="s">
        <v>95</v>
      </c>
      <c r="F115" t="s">
        <v>77</v>
      </c>
      <c r="G115" t="s">
        <v>105</v>
      </c>
      <c r="H115">
        <v>6</v>
      </c>
      <c r="I115">
        <v>1322.78</v>
      </c>
      <c r="J115" t="s">
        <v>50</v>
      </c>
      <c r="K115" t="s">
        <v>83</v>
      </c>
      <c r="L115">
        <f t="shared" si="1"/>
        <v>7936.68</v>
      </c>
    </row>
    <row r="116" spans="1:12" x14ac:dyDescent="0.3">
      <c r="A116" t="s">
        <v>485</v>
      </c>
      <c r="B116" t="s">
        <v>486</v>
      </c>
      <c r="C116" t="s">
        <v>487</v>
      </c>
      <c r="D116" t="s">
        <v>488</v>
      </c>
      <c r="E116" t="s">
        <v>25</v>
      </c>
      <c r="F116" t="s">
        <v>48</v>
      </c>
      <c r="G116" t="s">
        <v>49</v>
      </c>
      <c r="H116">
        <v>5</v>
      </c>
      <c r="I116">
        <v>2803.99</v>
      </c>
      <c r="J116" t="s">
        <v>28</v>
      </c>
      <c r="K116" t="s">
        <v>51</v>
      </c>
      <c r="L116">
        <f t="shared" si="1"/>
        <v>14019.949999999999</v>
      </c>
    </row>
    <row r="117" spans="1:12" x14ac:dyDescent="0.3">
      <c r="A117" t="s">
        <v>489</v>
      </c>
      <c r="B117" t="s">
        <v>490</v>
      </c>
      <c r="C117" t="s">
        <v>491</v>
      </c>
      <c r="D117" t="s">
        <v>492</v>
      </c>
      <c r="E117" t="s">
        <v>56</v>
      </c>
      <c r="F117" t="s">
        <v>77</v>
      </c>
      <c r="G117" t="s">
        <v>105</v>
      </c>
      <c r="H117">
        <v>1</v>
      </c>
      <c r="I117">
        <v>2071.4299999999998</v>
      </c>
      <c r="J117" t="s">
        <v>28</v>
      </c>
      <c r="K117" t="s">
        <v>83</v>
      </c>
      <c r="L117">
        <f t="shared" si="1"/>
        <v>2071.4299999999998</v>
      </c>
    </row>
    <row r="118" spans="1:12" x14ac:dyDescent="0.3">
      <c r="A118" t="s">
        <v>493</v>
      </c>
      <c r="B118" t="s">
        <v>494</v>
      </c>
      <c r="C118" t="s">
        <v>495</v>
      </c>
      <c r="D118" t="s">
        <v>496</v>
      </c>
      <c r="E118" t="s">
        <v>95</v>
      </c>
      <c r="F118" t="s">
        <v>26</v>
      </c>
      <c r="G118" t="s">
        <v>166</v>
      </c>
      <c r="H118">
        <v>2</v>
      </c>
      <c r="I118">
        <v>4323.8900000000003</v>
      </c>
      <c r="J118" t="s">
        <v>28</v>
      </c>
      <c r="K118" t="s">
        <v>83</v>
      </c>
      <c r="L118">
        <f t="shared" si="1"/>
        <v>8647.7800000000007</v>
      </c>
    </row>
    <row r="119" spans="1:12" x14ac:dyDescent="0.3">
      <c r="A119" t="s">
        <v>497</v>
      </c>
      <c r="B119" t="s">
        <v>287</v>
      </c>
      <c r="C119" t="s">
        <v>498</v>
      </c>
      <c r="D119" t="s">
        <v>499</v>
      </c>
      <c r="E119" t="s">
        <v>56</v>
      </c>
      <c r="F119" t="s">
        <v>26</v>
      </c>
      <c r="G119" t="s">
        <v>115</v>
      </c>
      <c r="H119">
        <v>1</v>
      </c>
      <c r="I119">
        <v>3507.73</v>
      </c>
      <c r="J119" t="s">
        <v>42</v>
      </c>
      <c r="K119" t="s">
        <v>36</v>
      </c>
      <c r="L119">
        <f t="shared" si="1"/>
        <v>3507.73</v>
      </c>
    </row>
    <row r="120" spans="1:12" x14ac:dyDescent="0.3">
      <c r="A120" t="s">
        <v>500</v>
      </c>
      <c r="B120" t="s">
        <v>501</v>
      </c>
      <c r="C120" t="s">
        <v>502</v>
      </c>
      <c r="D120" t="s">
        <v>503</v>
      </c>
      <c r="E120" t="s">
        <v>95</v>
      </c>
      <c r="F120" t="s">
        <v>48</v>
      </c>
      <c r="G120" t="s">
        <v>179</v>
      </c>
      <c r="H120">
        <v>3</v>
      </c>
      <c r="I120">
        <v>3166.33</v>
      </c>
      <c r="J120" t="s">
        <v>50</v>
      </c>
      <c r="K120" t="s">
        <v>29</v>
      </c>
      <c r="L120">
        <f t="shared" si="1"/>
        <v>9498.99</v>
      </c>
    </row>
    <row r="121" spans="1:12" x14ac:dyDescent="0.3">
      <c r="A121" t="s">
        <v>504</v>
      </c>
      <c r="B121" t="s">
        <v>505</v>
      </c>
      <c r="C121" t="s">
        <v>506</v>
      </c>
      <c r="D121" t="s">
        <v>507</v>
      </c>
      <c r="E121" t="s">
        <v>128</v>
      </c>
      <c r="F121" t="s">
        <v>17</v>
      </c>
      <c r="G121" t="s">
        <v>35</v>
      </c>
      <c r="H121">
        <v>6</v>
      </c>
      <c r="I121">
        <v>3887.65</v>
      </c>
      <c r="J121" t="s">
        <v>42</v>
      </c>
      <c r="K121" t="s">
        <v>20</v>
      </c>
      <c r="L121">
        <f t="shared" si="1"/>
        <v>23325.9</v>
      </c>
    </row>
    <row r="122" spans="1:12" x14ac:dyDescent="0.3">
      <c r="A122" t="s">
        <v>508</v>
      </c>
      <c r="B122" t="s">
        <v>509</v>
      </c>
      <c r="C122" t="s">
        <v>510</v>
      </c>
      <c r="D122" t="s">
        <v>511</v>
      </c>
      <c r="E122" t="s">
        <v>128</v>
      </c>
      <c r="F122" t="s">
        <v>26</v>
      </c>
      <c r="G122" t="s">
        <v>115</v>
      </c>
      <c r="H122">
        <v>3</v>
      </c>
      <c r="I122">
        <v>2009.42</v>
      </c>
      <c r="J122" t="s">
        <v>19</v>
      </c>
      <c r="K122" t="s">
        <v>20</v>
      </c>
      <c r="L122">
        <f t="shared" si="1"/>
        <v>6028.26</v>
      </c>
    </row>
    <row r="123" spans="1:12" x14ac:dyDescent="0.3">
      <c r="A123" t="s">
        <v>512</v>
      </c>
      <c r="B123" t="s">
        <v>59</v>
      </c>
      <c r="C123" t="s">
        <v>513</v>
      </c>
      <c r="D123" t="s">
        <v>514</v>
      </c>
      <c r="E123" t="s">
        <v>104</v>
      </c>
      <c r="F123" t="s">
        <v>17</v>
      </c>
      <c r="G123" t="s">
        <v>18</v>
      </c>
      <c r="H123">
        <v>5</v>
      </c>
      <c r="I123">
        <v>2982.76</v>
      </c>
      <c r="J123" t="s">
        <v>28</v>
      </c>
      <c r="K123" t="s">
        <v>29</v>
      </c>
      <c r="L123">
        <f t="shared" si="1"/>
        <v>14913.800000000001</v>
      </c>
    </row>
    <row r="124" spans="1:12" x14ac:dyDescent="0.3">
      <c r="A124" t="s">
        <v>515</v>
      </c>
      <c r="B124" t="s">
        <v>163</v>
      </c>
      <c r="C124" t="s">
        <v>516</v>
      </c>
      <c r="D124" t="s">
        <v>517</v>
      </c>
      <c r="E124" t="s">
        <v>95</v>
      </c>
      <c r="F124" t="s">
        <v>26</v>
      </c>
      <c r="G124" t="s">
        <v>208</v>
      </c>
      <c r="H124">
        <v>3</v>
      </c>
      <c r="I124">
        <v>2231.7800000000002</v>
      </c>
      <c r="J124" t="s">
        <v>50</v>
      </c>
      <c r="K124" t="s">
        <v>51</v>
      </c>
      <c r="L124">
        <f t="shared" si="1"/>
        <v>6695.34</v>
      </c>
    </row>
    <row r="125" spans="1:12" x14ac:dyDescent="0.3">
      <c r="A125" t="s">
        <v>518</v>
      </c>
      <c r="B125" t="s">
        <v>519</v>
      </c>
      <c r="C125" t="s">
        <v>160</v>
      </c>
      <c r="D125" t="s">
        <v>520</v>
      </c>
      <c r="E125" t="s">
        <v>62</v>
      </c>
      <c r="F125" t="s">
        <v>77</v>
      </c>
      <c r="G125" t="s">
        <v>123</v>
      </c>
      <c r="H125">
        <v>6</v>
      </c>
      <c r="I125">
        <v>1721.01</v>
      </c>
      <c r="J125" t="s">
        <v>42</v>
      </c>
      <c r="K125" t="s">
        <v>51</v>
      </c>
      <c r="L125">
        <f t="shared" si="1"/>
        <v>10326.06</v>
      </c>
    </row>
    <row r="126" spans="1:12" x14ac:dyDescent="0.3">
      <c r="A126" t="s">
        <v>521</v>
      </c>
      <c r="B126" t="s">
        <v>522</v>
      </c>
      <c r="C126" t="s">
        <v>523</v>
      </c>
      <c r="D126" t="s">
        <v>524</v>
      </c>
      <c r="E126" t="s">
        <v>25</v>
      </c>
      <c r="F126" t="s">
        <v>77</v>
      </c>
      <c r="G126" t="s">
        <v>105</v>
      </c>
      <c r="H126">
        <v>10</v>
      </c>
      <c r="I126">
        <v>508.19</v>
      </c>
      <c r="J126" t="s">
        <v>19</v>
      </c>
      <c r="K126" t="s">
        <v>36</v>
      </c>
      <c r="L126">
        <f t="shared" si="1"/>
        <v>5081.8999999999996</v>
      </c>
    </row>
    <row r="127" spans="1:12" x14ac:dyDescent="0.3">
      <c r="A127" t="s">
        <v>525</v>
      </c>
      <c r="B127" t="s">
        <v>526</v>
      </c>
      <c r="C127" t="s">
        <v>527</v>
      </c>
      <c r="D127" t="s">
        <v>528</v>
      </c>
      <c r="E127" t="s">
        <v>34</v>
      </c>
      <c r="F127" t="s">
        <v>77</v>
      </c>
      <c r="G127" t="s">
        <v>265</v>
      </c>
      <c r="H127">
        <v>5</v>
      </c>
      <c r="I127">
        <v>2986.64</v>
      </c>
      <c r="J127" t="s">
        <v>50</v>
      </c>
      <c r="K127" t="s">
        <v>83</v>
      </c>
      <c r="L127">
        <f t="shared" si="1"/>
        <v>14933.199999999999</v>
      </c>
    </row>
    <row r="128" spans="1:12" x14ac:dyDescent="0.3">
      <c r="A128" t="s">
        <v>529</v>
      </c>
      <c r="B128" t="s">
        <v>530</v>
      </c>
      <c r="C128" t="s">
        <v>531</v>
      </c>
      <c r="D128" t="s">
        <v>532</v>
      </c>
      <c r="E128" t="s">
        <v>34</v>
      </c>
      <c r="F128" t="s">
        <v>48</v>
      </c>
      <c r="G128" t="s">
        <v>63</v>
      </c>
      <c r="H128">
        <v>3</v>
      </c>
      <c r="I128">
        <v>3749.29</v>
      </c>
      <c r="J128" t="s">
        <v>50</v>
      </c>
      <c r="K128" t="s">
        <v>43</v>
      </c>
      <c r="L128">
        <f t="shared" si="1"/>
        <v>11247.869999999999</v>
      </c>
    </row>
    <row r="129" spans="1:12" x14ac:dyDescent="0.3">
      <c r="A129" t="s">
        <v>533</v>
      </c>
      <c r="B129" t="s">
        <v>534</v>
      </c>
      <c r="C129" t="s">
        <v>535</v>
      </c>
      <c r="D129" t="s">
        <v>536</v>
      </c>
      <c r="E129" t="s">
        <v>95</v>
      </c>
      <c r="F129" t="s">
        <v>26</v>
      </c>
      <c r="G129" t="s">
        <v>296</v>
      </c>
      <c r="H129">
        <v>2</v>
      </c>
      <c r="I129">
        <v>1243.31</v>
      </c>
      <c r="J129" t="s">
        <v>42</v>
      </c>
      <c r="K129" t="s">
        <v>29</v>
      </c>
      <c r="L129">
        <f t="shared" si="1"/>
        <v>2486.62</v>
      </c>
    </row>
    <row r="130" spans="1:12" x14ac:dyDescent="0.3">
      <c r="A130" t="s">
        <v>537</v>
      </c>
      <c r="B130" t="s">
        <v>538</v>
      </c>
      <c r="C130" t="s">
        <v>539</v>
      </c>
      <c r="D130" t="s">
        <v>540</v>
      </c>
      <c r="E130" t="s">
        <v>104</v>
      </c>
      <c r="F130" t="s">
        <v>48</v>
      </c>
      <c r="G130" t="s">
        <v>110</v>
      </c>
      <c r="H130">
        <v>9</v>
      </c>
      <c r="I130">
        <v>3184.64</v>
      </c>
      <c r="J130" t="s">
        <v>19</v>
      </c>
      <c r="K130" t="s">
        <v>51</v>
      </c>
      <c r="L130">
        <f t="shared" si="1"/>
        <v>28661.759999999998</v>
      </c>
    </row>
    <row r="131" spans="1:12" x14ac:dyDescent="0.3">
      <c r="A131" t="s">
        <v>541</v>
      </c>
      <c r="B131" t="s">
        <v>542</v>
      </c>
      <c r="C131" t="s">
        <v>543</v>
      </c>
      <c r="D131" t="s">
        <v>544</v>
      </c>
      <c r="E131" t="s">
        <v>16</v>
      </c>
      <c r="F131" t="s">
        <v>48</v>
      </c>
      <c r="G131" t="s">
        <v>63</v>
      </c>
      <c r="H131">
        <v>9</v>
      </c>
      <c r="I131">
        <v>4383.04</v>
      </c>
      <c r="J131" t="s">
        <v>50</v>
      </c>
      <c r="K131" t="s">
        <v>29</v>
      </c>
      <c r="L131">
        <f t="shared" ref="L131:L194" si="2">H131*I131</f>
        <v>39447.360000000001</v>
      </c>
    </row>
    <row r="132" spans="1:12" x14ac:dyDescent="0.3">
      <c r="A132" t="s">
        <v>545</v>
      </c>
      <c r="B132" t="s">
        <v>546</v>
      </c>
      <c r="C132" t="s">
        <v>547</v>
      </c>
      <c r="D132" t="s">
        <v>548</v>
      </c>
      <c r="E132" t="s">
        <v>104</v>
      </c>
      <c r="F132" t="s">
        <v>17</v>
      </c>
      <c r="G132" t="s">
        <v>68</v>
      </c>
      <c r="H132">
        <v>9</v>
      </c>
      <c r="I132">
        <v>307.10000000000002</v>
      </c>
      <c r="J132" t="s">
        <v>50</v>
      </c>
      <c r="K132" t="s">
        <v>51</v>
      </c>
      <c r="L132">
        <f t="shared" si="2"/>
        <v>2763.9</v>
      </c>
    </row>
    <row r="133" spans="1:12" x14ac:dyDescent="0.3">
      <c r="A133" t="s">
        <v>549</v>
      </c>
      <c r="B133" t="s">
        <v>550</v>
      </c>
      <c r="C133" t="s">
        <v>551</v>
      </c>
      <c r="D133" t="s">
        <v>552</v>
      </c>
      <c r="E133" t="s">
        <v>56</v>
      </c>
      <c r="F133" t="s">
        <v>48</v>
      </c>
      <c r="G133" t="s">
        <v>63</v>
      </c>
      <c r="H133">
        <v>3</v>
      </c>
      <c r="I133">
        <v>2047.19</v>
      </c>
      <c r="J133" t="s">
        <v>42</v>
      </c>
      <c r="K133" t="s">
        <v>36</v>
      </c>
      <c r="L133">
        <f t="shared" si="2"/>
        <v>6141.57</v>
      </c>
    </row>
    <row r="134" spans="1:12" x14ac:dyDescent="0.3">
      <c r="A134" t="s">
        <v>553</v>
      </c>
      <c r="B134" t="s">
        <v>295</v>
      </c>
      <c r="C134" t="s">
        <v>554</v>
      </c>
      <c r="D134" t="s">
        <v>555</v>
      </c>
      <c r="E134" t="s">
        <v>62</v>
      </c>
      <c r="F134" t="s">
        <v>48</v>
      </c>
      <c r="G134" t="s">
        <v>179</v>
      </c>
      <c r="H134">
        <v>10</v>
      </c>
      <c r="I134">
        <v>478.46</v>
      </c>
      <c r="J134" t="s">
        <v>19</v>
      </c>
      <c r="K134" t="s">
        <v>29</v>
      </c>
      <c r="L134">
        <f t="shared" si="2"/>
        <v>4784.5999999999995</v>
      </c>
    </row>
    <row r="135" spans="1:12" x14ac:dyDescent="0.3">
      <c r="A135" t="s">
        <v>556</v>
      </c>
      <c r="B135" t="s">
        <v>557</v>
      </c>
      <c r="C135" t="s">
        <v>558</v>
      </c>
      <c r="D135" t="s">
        <v>559</v>
      </c>
      <c r="E135" t="s">
        <v>62</v>
      </c>
      <c r="F135" t="s">
        <v>77</v>
      </c>
      <c r="G135" t="s">
        <v>123</v>
      </c>
      <c r="H135">
        <v>5</v>
      </c>
      <c r="I135">
        <v>3951.7</v>
      </c>
      <c r="J135" t="s">
        <v>42</v>
      </c>
      <c r="K135" t="s">
        <v>83</v>
      </c>
      <c r="L135">
        <f t="shared" si="2"/>
        <v>19758.5</v>
      </c>
    </row>
    <row r="136" spans="1:12" x14ac:dyDescent="0.3">
      <c r="A136" t="s">
        <v>560</v>
      </c>
      <c r="B136" t="s">
        <v>561</v>
      </c>
      <c r="C136" t="s">
        <v>562</v>
      </c>
      <c r="D136" t="s">
        <v>536</v>
      </c>
      <c r="E136" t="s">
        <v>62</v>
      </c>
      <c r="F136" t="s">
        <v>77</v>
      </c>
      <c r="G136" t="s">
        <v>78</v>
      </c>
      <c r="H136">
        <v>4</v>
      </c>
      <c r="I136">
        <v>402.21</v>
      </c>
      <c r="J136" t="s">
        <v>42</v>
      </c>
      <c r="K136" t="s">
        <v>51</v>
      </c>
      <c r="L136">
        <f t="shared" si="2"/>
        <v>1608.84</v>
      </c>
    </row>
    <row r="137" spans="1:12" x14ac:dyDescent="0.3">
      <c r="A137" t="s">
        <v>563</v>
      </c>
      <c r="B137" t="s">
        <v>564</v>
      </c>
      <c r="C137" t="s">
        <v>565</v>
      </c>
      <c r="D137" t="s">
        <v>122</v>
      </c>
      <c r="E137" t="s">
        <v>56</v>
      </c>
      <c r="F137" t="s">
        <v>26</v>
      </c>
      <c r="G137" t="s">
        <v>208</v>
      </c>
      <c r="H137">
        <v>1</v>
      </c>
      <c r="I137">
        <v>2319.4499999999998</v>
      </c>
      <c r="J137" t="s">
        <v>42</v>
      </c>
      <c r="K137" t="s">
        <v>20</v>
      </c>
      <c r="L137">
        <f t="shared" si="2"/>
        <v>2319.4499999999998</v>
      </c>
    </row>
    <row r="138" spans="1:12" x14ac:dyDescent="0.3">
      <c r="A138" t="s">
        <v>566</v>
      </c>
      <c r="B138" t="s">
        <v>117</v>
      </c>
      <c r="C138" t="s">
        <v>394</v>
      </c>
      <c r="D138" t="s">
        <v>428</v>
      </c>
      <c r="E138" t="s">
        <v>104</v>
      </c>
      <c r="F138" t="s">
        <v>17</v>
      </c>
      <c r="G138" t="s">
        <v>188</v>
      </c>
      <c r="H138">
        <v>6</v>
      </c>
      <c r="I138">
        <v>428.8</v>
      </c>
      <c r="J138" t="s">
        <v>19</v>
      </c>
      <c r="K138" t="s">
        <v>20</v>
      </c>
      <c r="L138">
        <f t="shared" si="2"/>
        <v>2572.8000000000002</v>
      </c>
    </row>
    <row r="139" spans="1:12" x14ac:dyDescent="0.3">
      <c r="A139" t="s">
        <v>567</v>
      </c>
      <c r="B139" t="s">
        <v>568</v>
      </c>
      <c r="C139" t="s">
        <v>569</v>
      </c>
      <c r="D139" t="s">
        <v>207</v>
      </c>
      <c r="E139" t="s">
        <v>25</v>
      </c>
      <c r="F139" t="s">
        <v>77</v>
      </c>
      <c r="G139" t="s">
        <v>171</v>
      </c>
      <c r="H139">
        <v>9</v>
      </c>
      <c r="I139">
        <v>3240.88</v>
      </c>
      <c r="J139" t="s">
        <v>28</v>
      </c>
      <c r="K139" t="s">
        <v>43</v>
      </c>
      <c r="L139">
        <f t="shared" si="2"/>
        <v>29167.920000000002</v>
      </c>
    </row>
    <row r="140" spans="1:12" x14ac:dyDescent="0.3">
      <c r="A140" t="s">
        <v>570</v>
      </c>
      <c r="B140" t="s">
        <v>571</v>
      </c>
      <c r="C140" t="s">
        <v>572</v>
      </c>
      <c r="D140" t="s">
        <v>573</v>
      </c>
      <c r="E140" t="s">
        <v>95</v>
      </c>
      <c r="F140" t="s">
        <v>48</v>
      </c>
      <c r="G140" t="s">
        <v>63</v>
      </c>
      <c r="H140">
        <v>10</v>
      </c>
      <c r="I140">
        <v>3436.3</v>
      </c>
      <c r="J140" t="s">
        <v>50</v>
      </c>
      <c r="K140" t="s">
        <v>43</v>
      </c>
      <c r="L140">
        <f t="shared" si="2"/>
        <v>34363</v>
      </c>
    </row>
    <row r="141" spans="1:12" x14ac:dyDescent="0.3">
      <c r="A141" t="s">
        <v>574</v>
      </c>
      <c r="B141" t="s">
        <v>575</v>
      </c>
      <c r="C141" t="s">
        <v>576</v>
      </c>
      <c r="D141" t="s">
        <v>577</v>
      </c>
      <c r="E141" t="s">
        <v>62</v>
      </c>
      <c r="F141" t="s">
        <v>48</v>
      </c>
      <c r="G141" t="s">
        <v>179</v>
      </c>
      <c r="H141">
        <v>8</v>
      </c>
      <c r="I141">
        <v>4438.9399999999996</v>
      </c>
      <c r="J141" t="s">
        <v>50</v>
      </c>
      <c r="K141" t="s">
        <v>43</v>
      </c>
      <c r="L141">
        <f t="shared" si="2"/>
        <v>35511.519999999997</v>
      </c>
    </row>
    <row r="142" spans="1:12" x14ac:dyDescent="0.3">
      <c r="A142" t="s">
        <v>578</v>
      </c>
      <c r="B142" t="s">
        <v>579</v>
      </c>
      <c r="C142" t="s">
        <v>580</v>
      </c>
      <c r="D142" t="s">
        <v>199</v>
      </c>
      <c r="E142" t="s">
        <v>34</v>
      </c>
      <c r="F142" t="s">
        <v>77</v>
      </c>
      <c r="G142" t="s">
        <v>78</v>
      </c>
      <c r="H142">
        <v>7</v>
      </c>
      <c r="I142">
        <v>3787.42</v>
      </c>
      <c r="J142" t="s">
        <v>42</v>
      </c>
      <c r="K142" t="s">
        <v>29</v>
      </c>
      <c r="L142">
        <f t="shared" si="2"/>
        <v>26511.940000000002</v>
      </c>
    </row>
    <row r="143" spans="1:12" x14ac:dyDescent="0.3">
      <c r="A143" t="s">
        <v>581</v>
      </c>
      <c r="B143" t="s">
        <v>582</v>
      </c>
      <c r="C143" t="s">
        <v>583</v>
      </c>
      <c r="D143" t="s">
        <v>584</v>
      </c>
      <c r="E143" t="s">
        <v>128</v>
      </c>
      <c r="F143" t="s">
        <v>48</v>
      </c>
      <c r="G143" t="s">
        <v>49</v>
      </c>
      <c r="H143">
        <v>9</v>
      </c>
      <c r="I143">
        <v>723.86</v>
      </c>
      <c r="J143" t="s">
        <v>50</v>
      </c>
      <c r="K143" t="s">
        <v>83</v>
      </c>
      <c r="L143">
        <f t="shared" si="2"/>
        <v>6514.74</v>
      </c>
    </row>
    <row r="144" spans="1:12" x14ac:dyDescent="0.3">
      <c r="A144" t="s">
        <v>585</v>
      </c>
      <c r="B144" t="s">
        <v>586</v>
      </c>
      <c r="C144" t="s">
        <v>378</v>
      </c>
      <c r="D144" t="s">
        <v>587</v>
      </c>
      <c r="E144" t="s">
        <v>104</v>
      </c>
      <c r="F144" t="s">
        <v>26</v>
      </c>
      <c r="G144" t="s">
        <v>296</v>
      </c>
      <c r="H144">
        <v>2</v>
      </c>
      <c r="I144">
        <v>4537.49</v>
      </c>
      <c r="J144" t="s">
        <v>19</v>
      </c>
      <c r="K144" t="s">
        <v>36</v>
      </c>
      <c r="L144">
        <f t="shared" si="2"/>
        <v>9074.98</v>
      </c>
    </row>
    <row r="145" spans="1:12" x14ac:dyDescent="0.3">
      <c r="A145" t="s">
        <v>588</v>
      </c>
      <c r="B145" t="s">
        <v>589</v>
      </c>
      <c r="C145" t="s">
        <v>590</v>
      </c>
      <c r="D145" t="s">
        <v>591</v>
      </c>
      <c r="E145" t="s">
        <v>34</v>
      </c>
      <c r="F145" t="s">
        <v>26</v>
      </c>
      <c r="G145" t="s">
        <v>296</v>
      </c>
      <c r="H145">
        <v>10</v>
      </c>
      <c r="I145">
        <v>4220.78</v>
      </c>
      <c r="J145" t="s">
        <v>50</v>
      </c>
      <c r="K145" t="s">
        <v>51</v>
      </c>
      <c r="L145">
        <f t="shared" si="2"/>
        <v>42207.799999999996</v>
      </c>
    </row>
    <row r="146" spans="1:12" x14ac:dyDescent="0.3">
      <c r="A146" t="s">
        <v>592</v>
      </c>
      <c r="B146" t="s">
        <v>593</v>
      </c>
      <c r="C146" t="s">
        <v>594</v>
      </c>
      <c r="D146" t="s">
        <v>595</v>
      </c>
      <c r="E146" t="s">
        <v>128</v>
      </c>
      <c r="F146" t="s">
        <v>48</v>
      </c>
      <c r="G146" t="s">
        <v>179</v>
      </c>
      <c r="H146">
        <v>6</v>
      </c>
      <c r="I146">
        <v>693.85</v>
      </c>
      <c r="J146" t="s">
        <v>28</v>
      </c>
      <c r="K146" t="s">
        <v>83</v>
      </c>
      <c r="L146">
        <f t="shared" si="2"/>
        <v>4163.1000000000004</v>
      </c>
    </row>
    <row r="147" spans="1:12" x14ac:dyDescent="0.3">
      <c r="A147" t="s">
        <v>596</v>
      </c>
      <c r="B147" t="s">
        <v>597</v>
      </c>
      <c r="C147" t="s">
        <v>598</v>
      </c>
      <c r="D147" t="s">
        <v>599</v>
      </c>
      <c r="E147" t="s">
        <v>25</v>
      </c>
      <c r="F147" t="s">
        <v>17</v>
      </c>
      <c r="G147" t="s">
        <v>35</v>
      </c>
      <c r="H147">
        <v>5</v>
      </c>
      <c r="I147">
        <v>4095.58</v>
      </c>
      <c r="J147" t="s">
        <v>50</v>
      </c>
      <c r="K147" t="s">
        <v>83</v>
      </c>
      <c r="L147">
        <f t="shared" si="2"/>
        <v>20477.900000000001</v>
      </c>
    </row>
    <row r="148" spans="1:12" x14ac:dyDescent="0.3">
      <c r="A148" t="s">
        <v>600</v>
      </c>
      <c r="B148" t="s">
        <v>601</v>
      </c>
      <c r="C148" t="s">
        <v>602</v>
      </c>
      <c r="D148" t="s">
        <v>603</v>
      </c>
      <c r="E148" t="s">
        <v>34</v>
      </c>
      <c r="F148" t="s">
        <v>17</v>
      </c>
      <c r="G148" t="s">
        <v>35</v>
      </c>
      <c r="H148">
        <v>9</v>
      </c>
      <c r="I148">
        <v>1396.59</v>
      </c>
      <c r="J148" t="s">
        <v>28</v>
      </c>
      <c r="K148" t="s">
        <v>43</v>
      </c>
      <c r="L148">
        <f t="shared" si="2"/>
        <v>12569.31</v>
      </c>
    </row>
    <row r="149" spans="1:12" x14ac:dyDescent="0.3">
      <c r="A149" t="s">
        <v>604</v>
      </c>
      <c r="B149" t="s">
        <v>605</v>
      </c>
      <c r="C149" t="s">
        <v>606</v>
      </c>
      <c r="D149" t="s">
        <v>607</v>
      </c>
      <c r="E149" t="s">
        <v>95</v>
      </c>
      <c r="F149" t="s">
        <v>26</v>
      </c>
      <c r="G149" t="s">
        <v>208</v>
      </c>
      <c r="H149">
        <v>2</v>
      </c>
      <c r="I149">
        <v>3380.7</v>
      </c>
      <c r="J149" t="s">
        <v>19</v>
      </c>
      <c r="K149" t="s">
        <v>83</v>
      </c>
      <c r="L149">
        <f t="shared" si="2"/>
        <v>6761.4</v>
      </c>
    </row>
    <row r="150" spans="1:12" x14ac:dyDescent="0.3">
      <c r="A150" t="s">
        <v>608</v>
      </c>
      <c r="B150" t="s">
        <v>609</v>
      </c>
      <c r="C150" t="s">
        <v>610</v>
      </c>
      <c r="D150" t="s">
        <v>611</v>
      </c>
      <c r="E150" t="s">
        <v>16</v>
      </c>
      <c r="F150" t="s">
        <v>26</v>
      </c>
      <c r="G150" t="s">
        <v>166</v>
      </c>
      <c r="H150">
        <v>2</v>
      </c>
      <c r="I150">
        <v>500.58</v>
      </c>
      <c r="J150" t="s">
        <v>19</v>
      </c>
      <c r="K150" t="s">
        <v>51</v>
      </c>
      <c r="L150">
        <f t="shared" si="2"/>
        <v>1001.16</v>
      </c>
    </row>
    <row r="151" spans="1:12" x14ac:dyDescent="0.3">
      <c r="A151" t="s">
        <v>612</v>
      </c>
      <c r="B151" t="s">
        <v>613</v>
      </c>
      <c r="C151" t="s">
        <v>614</v>
      </c>
      <c r="D151" t="s">
        <v>94</v>
      </c>
      <c r="E151" t="s">
        <v>128</v>
      </c>
      <c r="F151" t="s">
        <v>77</v>
      </c>
      <c r="G151" t="s">
        <v>171</v>
      </c>
      <c r="H151">
        <v>9</v>
      </c>
      <c r="I151">
        <v>1824.33</v>
      </c>
      <c r="J151" t="s">
        <v>19</v>
      </c>
      <c r="K151" t="s">
        <v>20</v>
      </c>
      <c r="L151">
        <f t="shared" si="2"/>
        <v>16418.97</v>
      </c>
    </row>
    <row r="152" spans="1:12" x14ac:dyDescent="0.3">
      <c r="A152" t="s">
        <v>615</v>
      </c>
      <c r="B152" t="s">
        <v>616</v>
      </c>
      <c r="C152" t="s">
        <v>617</v>
      </c>
      <c r="D152" t="s">
        <v>618</v>
      </c>
      <c r="E152" t="s">
        <v>95</v>
      </c>
      <c r="F152" t="s">
        <v>26</v>
      </c>
      <c r="G152" t="s">
        <v>166</v>
      </c>
      <c r="H152">
        <v>9</v>
      </c>
      <c r="I152">
        <v>2865.09</v>
      </c>
      <c r="J152" t="s">
        <v>50</v>
      </c>
      <c r="K152" t="s">
        <v>83</v>
      </c>
      <c r="L152">
        <f t="shared" si="2"/>
        <v>25785.81</v>
      </c>
    </row>
    <row r="153" spans="1:12" x14ac:dyDescent="0.3">
      <c r="A153" t="s">
        <v>619</v>
      </c>
      <c r="B153" t="s">
        <v>393</v>
      </c>
      <c r="C153" t="s">
        <v>620</v>
      </c>
      <c r="D153" t="s">
        <v>621</v>
      </c>
      <c r="E153" t="s">
        <v>104</v>
      </c>
      <c r="F153" t="s">
        <v>77</v>
      </c>
      <c r="G153" t="s">
        <v>78</v>
      </c>
      <c r="H153">
        <v>6</v>
      </c>
      <c r="I153">
        <v>1750.68</v>
      </c>
      <c r="J153" t="s">
        <v>19</v>
      </c>
      <c r="K153" t="s">
        <v>51</v>
      </c>
      <c r="L153">
        <f t="shared" si="2"/>
        <v>10504.08</v>
      </c>
    </row>
    <row r="154" spans="1:12" x14ac:dyDescent="0.3">
      <c r="A154" t="s">
        <v>622</v>
      </c>
      <c r="B154" t="s">
        <v>623</v>
      </c>
      <c r="C154" t="s">
        <v>624</v>
      </c>
      <c r="D154" t="s">
        <v>67</v>
      </c>
      <c r="E154" t="s">
        <v>128</v>
      </c>
      <c r="F154" t="s">
        <v>26</v>
      </c>
      <c r="G154" t="s">
        <v>166</v>
      </c>
      <c r="H154">
        <v>7</v>
      </c>
      <c r="I154">
        <v>3257.17</v>
      </c>
      <c r="J154" t="s">
        <v>19</v>
      </c>
      <c r="K154" t="s">
        <v>20</v>
      </c>
      <c r="L154">
        <f t="shared" si="2"/>
        <v>22800.190000000002</v>
      </c>
    </row>
    <row r="155" spans="1:12" x14ac:dyDescent="0.3">
      <c r="A155" t="s">
        <v>625</v>
      </c>
      <c r="B155" t="s">
        <v>626</v>
      </c>
      <c r="C155" t="s">
        <v>627</v>
      </c>
      <c r="D155" t="s">
        <v>628</v>
      </c>
      <c r="E155" t="s">
        <v>34</v>
      </c>
      <c r="F155" t="s">
        <v>17</v>
      </c>
      <c r="G155" t="s">
        <v>18</v>
      </c>
      <c r="H155">
        <v>1</v>
      </c>
      <c r="I155">
        <v>1773.23</v>
      </c>
      <c r="J155" t="s">
        <v>42</v>
      </c>
      <c r="K155" t="s">
        <v>51</v>
      </c>
      <c r="L155">
        <f t="shared" si="2"/>
        <v>1773.23</v>
      </c>
    </row>
    <row r="156" spans="1:12" x14ac:dyDescent="0.3">
      <c r="A156" t="s">
        <v>629</v>
      </c>
      <c r="B156" t="s">
        <v>630</v>
      </c>
      <c r="C156" t="s">
        <v>631</v>
      </c>
      <c r="D156" t="s">
        <v>632</v>
      </c>
      <c r="E156" t="s">
        <v>56</v>
      </c>
      <c r="F156" t="s">
        <v>26</v>
      </c>
      <c r="G156" t="s">
        <v>296</v>
      </c>
      <c r="H156">
        <v>8</v>
      </c>
      <c r="I156">
        <v>1298.78</v>
      </c>
      <c r="J156" t="s">
        <v>42</v>
      </c>
      <c r="K156" t="s">
        <v>20</v>
      </c>
      <c r="L156">
        <f t="shared" si="2"/>
        <v>10390.24</v>
      </c>
    </row>
    <row r="157" spans="1:12" x14ac:dyDescent="0.3">
      <c r="A157" t="s">
        <v>633</v>
      </c>
      <c r="B157" t="s">
        <v>634</v>
      </c>
      <c r="C157" t="s">
        <v>635</v>
      </c>
      <c r="D157" t="s">
        <v>451</v>
      </c>
      <c r="E157" t="s">
        <v>104</v>
      </c>
      <c r="F157" t="s">
        <v>48</v>
      </c>
      <c r="G157" t="s">
        <v>110</v>
      </c>
      <c r="H157">
        <v>7</v>
      </c>
      <c r="I157">
        <v>777.39</v>
      </c>
      <c r="J157" t="s">
        <v>50</v>
      </c>
      <c r="K157" t="s">
        <v>29</v>
      </c>
      <c r="L157">
        <f t="shared" si="2"/>
        <v>5441.73</v>
      </c>
    </row>
    <row r="158" spans="1:12" x14ac:dyDescent="0.3">
      <c r="A158" t="s">
        <v>636</v>
      </c>
      <c r="B158" t="s">
        <v>262</v>
      </c>
      <c r="C158" t="s">
        <v>637</v>
      </c>
      <c r="D158" t="s">
        <v>277</v>
      </c>
      <c r="E158" t="s">
        <v>34</v>
      </c>
      <c r="F158" t="s">
        <v>26</v>
      </c>
      <c r="G158" t="s">
        <v>208</v>
      </c>
      <c r="H158">
        <v>9</v>
      </c>
      <c r="I158">
        <v>3364.22</v>
      </c>
      <c r="J158" t="s">
        <v>42</v>
      </c>
      <c r="K158" t="s">
        <v>83</v>
      </c>
      <c r="L158">
        <f t="shared" si="2"/>
        <v>30277.98</v>
      </c>
    </row>
    <row r="159" spans="1:12" x14ac:dyDescent="0.3">
      <c r="A159" t="s">
        <v>638</v>
      </c>
      <c r="B159" t="s">
        <v>639</v>
      </c>
      <c r="C159" t="s">
        <v>640</v>
      </c>
      <c r="D159" t="s">
        <v>228</v>
      </c>
      <c r="E159" t="s">
        <v>95</v>
      </c>
      <c r="F159" t="s">
        <v>26</v>
      </c>
      <c r="G159" t="s">
        <v>208</v>
      </c>
      <c r="H159">
        <v>2</v>
      </c>
      <c r="I159">
        <v>2611.36</v>
      </c>
      <c r="J159" t="s">
        <v>42</v>
      </c>
      <c r="K159" t="s">
        <v>51</v>
      </c>
      <c r="L159">
        <f t="shared" si="2"/>
        <v>5222.72</v>
      </c>
    </row>
    <row r="160" spans="1:12" x14ac:dyDescent="0.3">
      <c r="A160" t="s">
        <v>641</v>
      </c>
      <c r="B160" t="s">
        <v>642</v>
      </c>
      <c r="C160" t="s">
        <v>643</v>
      </c>
      <c r="D160" t="s">
        <v>644</v>
      </c>
      <c r="E160" t="s">
        <v>56</v>
      </c>
      <c r="F160" t="s">
        <v>48</v>
      </c>
      <c r="G160" t="s">
        <v>63</v>
      </c>
      <c r="H160">
        <v>5</v>
      </c>
      <c r="I160">
        <v>406.26</v>
      </c>
      <c r="J160" t="s">
        <v>42</v>
      </c>
      <c r="K160" t="s">
        <v>83</v>
      </c>
      <c r="L160">
        <f t="shared" si="2"/>
        <v>2031.3</v>
      </c>
    </row>
    <row r="161" spans="1:12" x14ac:dyDescent="0.3">
      <c r="A161" t="s">
        <v>645</v>
      </c>
      <c r="B161" t="s">
        <v>646</v>
      </c>
      <c r="C161" t="s">
        <v>647</v>
      </c>
      <c r="D161" t="s">
        <v>648</v>
      </c>
      <c r="E161" t="s">
        <v>56</v>
      </c>
      <c r="F161" t="s">
        <v>77</v>
      </c>
      <c r="G161" t="s">
        <v>123</v>
      </c>
      <c r="H161">
        <v>5</v>
      </c>
      <c r="I161">
        <v>3816.59</v>
      </c>
      <c r="J161" t="s">
        <v>19</v>
      </c>
      <c r="K161" t="s">
        <v>36</v>
      </c>
      <c r="L161">
        <f t="shared" si="2"/>
        <v>19082.95</v>
      </c>
    </row>
    <row r="162" spans="1:12" x14ac:dyDescent="0.3">
      <c r="A162" t="s">
        <v>649</v>
      </c>
      <c r="B162" t="s">
        <v>650</v>
      </c>
      <c r="C162" t="s">
        <v>651</v>
      </c>
      <c r="D162" t="s">
        <v>652</v>
      </c>
      <c r="E162" t="s">
        <v>34</v>
      </c>
      <c r="F162" t="s">
        <v>17</v>
      </c>
      <c r="G162" t="s">
        <v>68</v>
      </c>
      <c r="H162">
        <v>3</v>
      </c>
      <c r="I162">
        <v>2326.98</v>
      </c>
      <c r="J162" t="s">
        <v>28</v>
      </c>
      <c r="K162" t="s">
        <v>20</v>
      </c>
      <c r="L162">
        <f t="shared" si="2"/>
        <v>6980.9400000000005</v>
      </c>
    </row>
    <row r="163" spans="1:12" x14ac:dyDescent="0.3">
      <c r="A163" t="s">
        <v>653</v>
      </c>
      <c r="B163" t="s">
        <v>654</v>
      </c>
      <c r="C163" t="s">
        <v>655</v>
      </c>
      <c r="D163" t="s">
        <v>656</v>
      </c>
      <c r="E163" t="s">
        <v>16</v>
      </c>
      <c r="F163" t="s">
        <v>17</v>
      </c>
      <c r="G163" t="s">
        <v>188</v>
      </c>
      <c r="H163">
        <v>1</v>
      </c>
      <c r="I163">
        <v>810.39</v>
      </c>
      <c r="J163" t="s">
        <v>28</v>
      </c>
      <c r="K163" t="s">
        <v>83</v>
      </c>
      <c r="L163">
        <f t="shared" si="2"/>
        <v>810.39</v>
      </c>
    </row>
    <row r="164" spans="1:12" x14ac:dyDescent="0.3">
      <c r="A164" t="s">
        <v>657</v>
      </c>
      <c r="B164" t="s">
        <v>159</v>
      </c>
      <c r="C164" t="s">
        <v>516</v>
      </c>
      <c r="D164" t="s">
        <v>658</v>
      </c>
      <c r="E164" t="s">
        <v>128</v>
      </c>
      <c r="F164" t="s">
        <v>48</v>
      </c>
      <c r="G164" t="s">
        <v>57</v>
      </c>
      <c r="H164">
        <v>5</v>
      </c>
      <c r="I164">
        <v>1069.97</v>
      </c>
      <c r="J164" t="s">
        <v>28</v>
      </c>
      <c r="K164" t="s">
        <v>36</v>
      </c>
      <c r="L164">
        <f t="shared" si="2"/>
        <v>5349.85</v>
      </c>
    </row>
    <row r="165" spans="1:12" x14ac:dyDescent="0.3">
      <c r="A165" t="s">
        <v>659</v>
      </c>
      <c r="B165" t="s">
        <v>660</v>
      </c>
      <c r="C165" t="s">
        <v>661</v>
      </c>
      <c r="D165" t="s">
        <v>662</v>
      </c>
      <c r="E165" t="s">
        <v>16</v>
      </c>
      <c r="F165" t="s">
        <v>48</v>
      </c>
      <c r="G165" t="s">
        <v>49</v>
      </c>
      <c r="H165">
        <v>2</v>
      </c>
      <c r="I165">
        <v>587.51</v>
      </c>
      <c r="J165" t="s">
        <v>50</v>
      </c>
      <c r="K165" t="s">
        <v>20</v>
      </c>
      <c r="L165">
        <f t="shared" si="2"/>
        <v>1175.02</v>
      </c>
    </row>
    <row r="166" spans="1:12" x14ac:dyDescent="0.3">
      <c r="A166" t="s">
        <v>663</v>
      </c>
      <c r="B166" t="s">
        <v>664</v>
      </c>
      <c r="C166" t="s">
        <v>665</v>
      </c>
      <c r="D166" t="s">
        <v>666</v>
      </c>
      <c r="E166" t="s">
        <v>56</v>
      </c>
      <c r="F166" t="s">
        <v>77</v>
      </c>
      <c r="G166" t="s">
        <v>105</v>
      </c>
      <c r="H166">
        <v>10</v>
      </c>
      <c r="I166">
        <v>1225.3800000000001</v>
      </c>
      <c r="J166" t="s">
        <v>28</v>
      </c>
      <c r="K166" t="s">
        <v>36</v>
      </c>
      <c r="L166">
        <f t="shared" si="2"/>
        <v>12253.800000000001</v>
      </c>
    </row>
    <row r="167" spans="1:12" x14ac:dyDescent="0.3">
      <c r="A167" t="s">
        <v>667</v>
      </c>
      <c r="B167" t="s">
        <v>668</v>
      </c>
      <c r="C167" t="s">
        <v>669</v>
      </c>
      <c r="D167" t="s">
        <v>670</v>
      </c>
      <c r="E167" t="s">
        <v>16</v>
      </c>
      <c r="F167" t="s">
        <v>48</v>
      </c>
      <c r="G167" t="s">
        <v>49</v>
      </c>
      <c r="H167">
        <v>2</v>
      </c>
      <c r="I167">
        <v>3895.84</v>
      </c>
      <c r="J167" t="s">
        <v>50</v>
      </c>
      <c r="K167" t="s">
        <v>43</v>
      </c>
      <c r="L167">
        <f t="shared" si="2"/>
        <v>7791.68</v>
      </c>
    </row>
    <row r="168" spans="1:12" x14ac:dyDescent="0.3">
      <c r="A168" t="s">
        <v>671</v>
      </c>
      <c r="B168" t="s">
        <v>672</v>
      </c>
      <c r="C168" t="s">
        <v>673</v>
      </c>
      <c r="D168" t="s">
        <v>674</v>
      </c>
      <c r="E168" t="s">
        <v>95</v>
      </c>
      <c r="F168" t="s">
        <v>26</v>
      </c>
      <c r="G168" t="s">
        <v>296</v>
      </c>
      <c r="H168">
        <v>4</v>
      </c>
      <c r="I168">
        <v>4868.7700000000004</v>
      </c>
      <c r="J168" t="s">
        <v>28</v>
      </c>
      <c r="K168" t="s">
        <v>51</v>
      </c>
      <c r="L168">
        <f t="shared" si="2"/>
        <v>19475.080000000002</v>
      </c>
    </row>
    <row r="169" spans="1:12" x14ac:dyDescent="0.3">
      <c r="A169" t="s">
        <v>675</v>
      </c>
      <c r="B169" t="s">
        <v>676</v>
      </c>
      <c r="C169" t="s">
        <v>677</v>
      </c>
      <c r="D169" t="s">
        <v>678</v>
      </c>
      <c r="E169" t="s">
        <v>62</v>
      </c>
      <c r="F169" t="s">
        <v>26</v>
      </c>
      <c r="G169" t="s">
        <v>208</v>
      </c>
      <c r="H169">
        <v>5</v>
      </c>
      <c r="I169">
        <v>2547.15</v>
      </c>
      <c r="J169" t="s">
        <v>50</v>
      </c>
      <c r="K169" t="s">
        <v>29</v>
      </c>
      <c r="L169">
        <f t="shared" si="2"/>
        <v>12735.75</v>
      </c>
    </row>
    <row r="170" spans="1:12" x14ac:dyDescent="0.3">
      <c r="A170" t="s">
        <v>679</v>
      </c>
      <c r="B170" t="s">
        <v>112</v>
      </c>
      <c r="C170" t="s">
        <v>680</v>
      </c>
      <c r="D170" t="s">
        <v>681</v>
      </c>
      <c r="E170" t="s">
        <v>104</v>
      </c>
      <c r="F170" t="s">
        <v>48</v>
      </c>
      <c r="G170" t="s">
        <v>110</v>
      </c>
      <c r="H170">
        <v>4</v>
      </c>
      <c r="I170">
        <v>2093.79</v>
      </c>
      <c r="J170" t="s">
        <v>50</v>
      </c>
      <c r="K170" t="s">
        <v>36</v>
      </c>
      <c r="L170">
        <f t="shared" si="2"/>
        <v>8375.16</v>
      </c>
    </row>
    <row r="171" spans="1:12" x14ac:dyDescent="0.3">
      <c r="A171" t="s">
        <v>682</v>
      </c>
      <c r="B171" t="s">
        <v>683</v>
      </c>
      <c r="C171" t="s">
        <v>684</v>
      </c>
      <c r="D171" t="s">
        <v>685</v>
      </c>
      <c r="E171" t="s">
        <v>104</v>
      </c>
      <c r="F171" t="s">
        <v>17</v>
      </c>
      <c r="G171" t="s">
        <v>68</v>
      </c>
      <c r="H171">
        <v>1</v>
      </c>
      <c r="I171">
        <v>3919.71</v>
      </c>
      <c r="J171" t="s">
        <v>42</v>
      </c>
      <c r="K171" t="s">
        <v>43</v>
      </c>
      <c r="L171">
        <f t="shared" si="2"/>
        <v>3919.71</v>
      </c>
    </row>
    <row r="172" spans="1:12" x14ac:dyDescent="0.3">
      <c r="A172" t="s">
        <v>686</v>
      </c>
      <c r="B172" t="s">
        <v>687</v>
      </c>
      <c r="C172" t="s">
        <v>688</v>
      </c>
      <c r="D172" t="s">
        <v>488</v>
      </c>
      <c r="E172" t="s">
        <v>34</v>
      </c>
      <c r="F172" t="s">
        <v>17</v>
      </c>
      <c r="G172" t="s">
        <v>18</v>
      </c>
      <c r="H172">
        <v>4</v>
      </c>
      <c r="I172">
        <v>430.53</v>
      </c>
      <c r="J172" t="s">
        <v>42</v>
      </c>
      <c r="K172" t="s">
        <v>29</v>
      </c>
      <c r="L172">
        <f t="shared" si="2"/>
        <v>1722.12</v>
      </c>
    </row>
    <row r="173" spans="1:12" x14ac:dyDescent="0.3">
      <c r="A173" t="s">
        <v>689</v>
      </c>
      <c r="B173" t="s">
        <v>419</v>
      </c>
      <c r="C173" t="s">
        <v>690</v>
      </c>
      <c r="D173" t="s">
        <v>691</v>
      </c>
      <c r="E173" t="s">
        <v>104</v>
      </c>
      <c r="F173" t="s">
        <v>48</v>
      </c>
      <c r="G173" t="s">
        <v>179</v>
      </c>
      <c r="H173">
        <v>9</v>
      </c>
      <c r="I173">
        <v>1355.63</v>
      </c>
      <c r="J173" t="s">
        <v>50</v>
      </c>
      <c r="K173" t="s">
        <v>83</v>
      </c>
      <c r="L173">
        <f t="shared" si="2"/>
        <v>12200.670000000002</v>
      </c>
    </row>
    <row r="174" spans="1:12" x14ac:dyDescent="0.3">
      <c r="A174" t="s">
        <v>692</v>
      </c>
      <c r="B174" t="s">
        <v>542</v>
      </c>
      <c r="C174" t="s">
        <v>693</v>
      </c>
      <c r="D174" t="s">
        <v>694</v>
      </c>
      <c r="E174" t="s">
        <v>62</v>
      </c>
      <c r="F174" t="s">
        <v>26</v>
      </c>
      <c r="G174" t="s">
        <v>166</v>
      </c>
      <c r="H174">
        <v>6</v>
      </c>
      <c r="I174">
        <v>1489.81</v>
      </c>
      <c r="J174" t="s">
        <v>28</v>
      </c>
      <c r="K174" t="s">
        <v>51</v>
      </c>
      <c r="L174">
        <f t="shared" si="2"/>
        <v>8938.86</v>
      </c>
    </row>
    <row r="175" spans="1:12" x14ac:dyDescent="0.3">
      <c r="A175" t="s">
        <v>695</v>
      </c>
      <c r="B175" t="s">
        <v>613</v>
      </c>
      <c r="C175" t="s">
        <v>696</v>
      </c>
      <c r="D175" t="s">
        <v>697</v>
      </c>
      <c r="E175" t="s">
        <v>95</v>
      </c>
      <c r="F175" t="s">
        <v>26</v>
      </c>
      <c r="G175" t="s">
        <v>115</v>
      </c>
      <c r="H175">
        <v>8</v>
      </c>
      <c r="I175">
        <v>3274.41</v>
      </c>
      <c r="J175" t="s">
        <v>42</v>
      </c>
      <c r="K175" t="s">
        <v>83</v>
      </c>
      <c r="L175">
        <f t="shared" si="2"/>
        <v>26195.279999999999</v>
      </c>
    </row>
    <row r="176" spans="1:12" x14ac:dyDescent="0.3">
      <c r="A176" t="s">
        <v>698</v>
      </c>
      <c r="B176" t="s">
        <v>699</v>
      </c>
      <c r="C176" t="s">
        <v>700</v>
      </c>
      <c r="D176" t="s">
        <v>701</v>
      </c>
      <c r="E176" t="s">
        <v>128</v>
      </c>
      <c r="F176" t="s">
        <v>48</v>
      </c>
      <c r="G176" t="s">
        <v>57</v>
      </c>
      <c r="H176">
        <v>2</v>
      </c>
      <c r="I176">
        <v>2581.62</v>
      </c>
      <c r="J176" t="s">
        <v>19</v>
      </c>
      <c r="K176" t="s">
        <v>51</v>
      </c>
      <c r="L176">
        <f t="shared" si="2"/>
        <v>5163.24</v>
      </c>
    </row>
    <row r="177" spans="1:12" x14ac:dyDescent="0.3">
      <c r="A177" t="s">
        <v>702</v>
      </c>
      <c r="B177" t="s">
        <v>703</v>
      </c>
      <c r="C177" t="s">
        <v>704</v>
      </c>
      <c r="D177" t="s">
        <v>87</v>
      </c>
      <c r="E177" t="s">
        <v>25</v>
      </c>
      <c r="F177" t="s">
        <v>77</v>
      </c>
      <c r="G177" t="s">
        <v>123</v>
      </c>
      <c r="H177">
        <v>2</v>
      </c>
      <c r="I177">
        <v>2852.48</v>
      </c>
      <c r="J177" t="s">
        <v>50</v>
      </c>
      <c r="K177" t="s">
        <v>83</v>
      </c>
      <c r="L177">
        <f t="shared" si="2"/>
        <v>5704.96</v>
      </c>
    </row>
    <row r="178" spans="1:12" x14ac:dyDescent="0.3">
      <c r="A178" t="s">
        <v>705</v>
      </c>
      <c r="B178" t="s">
        <v>706</v>
      </c>
      <c r="C178" t="s">
        <v>142</v>
      </c>
      <c r="D178" t="s">
        <v>707</v>
      </c>
      <c r="E178" t="s">
        <v>16</v>
      </c>
      <c r="F178" t="s">
        <v>77</v>
      </c>
      <c r="G178" t="s">
        <v>78</v>
      </c>
      <c r="H178">
        <v>3</v>
      </c>
      <c r="I178">
        <v>3401.76</v>
      </c>
      <c r="J178" t="s">
        <v>28</v>
      </c>
      <c r="K178" t="s">
        <v>29</v>
      </c>
      <c r="L178">
        <f t="shared" si="2"/>
        <v>10205.280000000001</v>
      </c>
    </row>
    <row r="179" spans="1:12" x14ac:dyDescent="0.3">
      <c r="A179" t="s">
        <v>708</v>
      </c>
      <c r="B179" t="s">
        <v>709</v>
      </c>
      <c r="C179" t="s">
        <v>710</v>
      </c>
      <c r="D179" t="s">
        <v>711</v>
      </c>
      <c r="E179" t="s">
        <v>128</v>
      </c>
      <c r="F179" t="s">
        <v>26</v>
      </c>
      <c r="G179" t="s">
        <v>27</v>
      </c>
      <c r="H179">
        <v>6</v>
      </c>
      <c r="I179">
        <v>1812.8</v>
      </c>
      <c r="J179" t="s">
        <v>19</v>
      </c>
      <c r="K179" t="s">
        <v>36</v>
      </c>
      <c r="L179">
        <f t="shared" si="2"/>
        <v>10876.8</v>
      </c>
    </row>
    <row r="180" spans="1:12" x14ac:dyDescent="0.3">
      <c r="A180" t="s">
        <v>712</v>
      </c>
      <c r="B180" t="s">
        <v>467</v>
      </c>
      <c r="C180" t="s">
        <v>713</v>
      </c>
      <c r="D180" t="s">
        <v>714</v>
      </c>
      <c r="E180" t="s">
        <v>34</v>
      </c>
      <c r="F180" t="s">
        <v>48</v>
      </c>
      <c r="G180" t="s">
        <v>179</v>
      </c>
      <c r="H180">
        <v>8</v>
      </c>
      <c r="I180">
        <v>3966.01</v>
      </c>
      <c r="J180" t="s">
        <v>28</v>
      </c>
      <c r="K180" t="s">
        <v>20</v>
      </c>
      <c r="L180">
        <f t="shared" si="2"/>
        <v>31728.080000000002</v>
      </c>
    </row>
    <row r="181" spans="1:12" x14ac:dyDescent="0.3">
      <c r="A181" t="s">
        <v>715</v>
      </c>
      <c r="B181" t="s">
        <v>716</v>
      </c>
      <c r="C181" t="s">
        <v>717</v>
      </c>
      <c r="D181" t="s">
        <v>718</v>
      </c>
      <c r="E181" t="s">
        <v>104</v>
      </c>
      <c r="F181" t="s">
        <v>77</v>
      </c>
      <c r="G181" t="s">
        <v>123</v>
      </c>
      <c r="H181">
        <v>1</v>
      </c>
      <c r="I181">
        <v>3080.66</v>
      </c>
      <c r="J181" t="s">
        <v>28</v>
      </c>
      <c r="K181" t="s">
        <v>36</v>
      </c>
      <c r="L181">
        <f t="shared" si="2"/>
        <v>3080.66</v>
      </c>
    </row>
    <row r="182" spans="1:12" x14ac:dyDescent="0.3">
      <c r="A182" t="s">
        <v>719</v>
      </c>
      <c r="B182" t="s">
        <v>65</v>
      </c>
      <c r="C182" t="s">
        <v>720</v>
      </c>
      <c r="D182" t="s">
        <v>721</v>
      </c>
      <c r="E182" t="s">
        <v>25</v>
      </c>
      <c r="F182" t="s">
        <v>77</v>
      </c>
      <c r="G182" t="s">
        <v>78</v>
      </c>
      <c r="H182">
        <v>7</v>
      </c>
      <c r="I182">
        <v>2593.34</v>
      </c>
      <c r="J182" t="s">
        <v>19</v>
      </c>
      <c r="K182" t="s">
        <v>83</v>
      </c>
      <c r="L182">
        <f t="shared" si="2"/>
        <v>18153.38</v>
      </c>
    </row>
    <row r="183" spans="1:12" x14ac:dyDescent="0.3">
      <c r="A183" t="s">
        <v>722</v>
      </c>
      <c r="B183" t="s">
        <v>112</v>
      </c>
      <c r="C183" t="s">
        <v>723</v>
      </c>
      <c r="D183" t="s">
        <v>178</v>
      </c>
      <c r="E183" t="s">
        <v>62</v>
      </c>
      <c r="F183" t="s">
        <v>48</v>
      </c>
      <c r="G183" t="s">
        <v>57</v>
      </c>
      <c r="H183">
        <v>8</v>
      </c>
      <c r="I183">
        <v>3515.88</v>
      </c>
      <c r="J183" t="s">
        <v>42</v>
      </c>
      <c r="K183" t="s">
        <v>51</v>
      </c>
      <c r="L183">
        <f t="shared" si="2"/>
        <v>28127.040000000001</v>
      </c>
    </row>
    <row r="184" spans="1:12" x14ac:dyDescent="0.3">
      <c r="A184" t="s">
        <v>724</v>
      </c>
      <c r="B184" t="s">
        <v>725</v>
      </c>
      <c r="C184" t="s">
        <v>726</v>
      </c>
      <c r="D184" t="s">
        <v>236</v>
      </c>
      <c r="E184" t="s">
        <v>56</v>
      </c>
      <c r="F184" t="s">
        <v>77</v>
      </c>
      <c r="G184" t="s">
        <v>171</v>
      </c>
      <c r="H184">
        <v>8</v>
      </c>
      <c r="I184">
        <v>577.09</v>
      </c>
      <c r="J184" t="s">
        <v>28</v>
      </c>
      <c r="K184" t="s">
        <v>29</v>
      </c>
      <c r="L184">
        <f t="shared" si="2"/>
        <v>4616.72</v>
      </c>
    </row>
    <row r="185" spans="1:12" x14ac:dyDescent="0.3">
      <c r="A185" t="s">
        <v>727</v>
      </c>
      <c r="B185" t="s">
        <v>728</v>
      </c>
      <c r="C185" t="s">
        <v>620</v>
      </c>
      <c r="D185" t="s">
        <v>729</v>
      </c>
      <c r="E185" t="s">
        <v>104</v>
      </c>
      <c r="F185" t="s">
        <v>48</v>
      </c>
      <c r="G185" t="s">
        <v>57</v>
      </c>
      <c r="H185">
        <v>10</v>
      </c>
      <c r="I185">
        <v>768.33</v>
      </c>
      <c r="J185" t="s">
        <v>42</v>
      </c>
      <c r="K185" t="s">
        <v>51</v>
      </c>
      <c r="L185">
        <f t="shared" si="2"/>
        <v>7683.3</v>
      </c>
    </row>
    <row r="186" spans="1:12" x14ac:dyDescent="0.3">
      <c r="A186" t="s">
        <v>730</v>
      </c>
      <c r="B186" t="s">
        <v>731</v>
      </c>
      <c r="C186" t="s">
        <v>732</v>
      </c>
      <c r="D186" t="s">
        <v>733</v>
      </c>
      <c r="E186" t="s">
        <v>128</v>
      </c>
      <c r="F186" t="s">
        <v>26</v>
      </c>
      <c r="G186" t="s">
        <v>27</v>
      </c>
      <c r="H186">
        <v>4</v>
      </c>
      <c r="I186">
        <v>2183.48</v>
      </c>
      <c r="J186" t="s">
        <v>28</v>
      </c>
      <c r="K186" t="s">
        <v>20</v>
      </c>
      <c r="L186">
        <f t="shared" si="2"/>
        <v>8733.92</v>
      </c>
    </row>
    <row r="187" spans="1:12" x14ac:dyDescent="0.3">
      <c r="A187" t="s">
        <v>734</v>
      </c>
      <c r="B187" t="s">
        <v>550</v>
      </c>
      <c r="C187" t="s">
        <v>735</v>
      </c>
      <c r="D187" t="s">
        <v>736</v>
      </c>
      <c r="E187" t="s">
        <v>104</v>
      </c>
      <c r="F187" t="s">
        <v>77</v>
      </c>
      <c r="G187" t="s">
        <v>171</v>
      </c>
      <c r="H187">
        <v>3</v>
      </c>
      <c r="I187">
        <v>329.99</v>
      </c>
      <c r="J187" t="s">
        <v>19</v>
      </c>
      <c r="K187" t="s">
        <v>51</v>
      </c>
      <c r="L187">
        <f t="shared" si="2"/>
        <v>989.97</v>
      </c>
    </row>
    <row r="188" spans="1:12" x14ac:dyDescent="0.3">
      <c r="A188" t="s">
        <v>737</v>
      </c>
      <c r="B188" t="s">
        <v>738</v>
      </c>
      <c r="C188" t="s">
        <v>739</v>
      </c>
      <c r="D188" t="s">
        <v>740</v>
      </c>
      <c r="E188" t="s">
        <v>25</v>
      </c>
      <c r="F188" t="s">
        <v>26</v>
      </c>
      <c r="G188" t="s">
        <v>115</v>
      </c>
      <c r="H188">
        <v>7</v>
      </c>
      <c r="I188">
        <v>3525.06</v>
      </c>
      <c r="J188" t="s">
        <v>42</v>
      </c>
      <c r="K188" t="s">
        <v>20</v>
      </c>
      <c r="L188">
        <f t="shared" si="2"/>
        <v>24675.42</v>
      </c>
    </row>
    <row r="189" spans="1:12" x14ac:dyDescent="0.3">
      <c r="A189" t="s">
        <v>741</v>
      </c>
      <c r="B189" t="s">
        <v>742</v>
      </c>
      <c r="C189" t="s">
        <v>743</v>
      </c>
      <c r="D189" t="s">
        <v>744</v>
      </c>
      <c r="E189" t="s">
        <v>25</v>
      </c>
      <c r="F189" t="s">
        <v>26</v>
      </c>
      <c r="G189" t="s">
        <v>166</v>
      </c>
      <c r="H189">
        <v>4</v>
      </c>
      <c r="I189">
        <v>1699.38</v>
      </c>
      <c r="J189" t="s">
        <v>42</v>
      </c>
      <c r="K189" t="s">
        <v>29</v>
      </c>
      <c r="L189">
        <f t="shared" si="2"/>
        <v>6797.52</v>
      </c>
    </row>
    <row r="190" spans="1:12" x14ac:dyDescent="0.3">
      <c r="A190" t="s">
        <v>745</v>
      </c>
      <c r="B190" t="s">
        <v>746</v>
      </c>
      <c r="C190" t="s">
        <v>747</v>
      </c>
      <c r="D190" t="s">
        <v>748</v>
      </c>
      <c r="E190" t="s">
        <v>128</v>
      </c>
      <c r="F190" t="s">
        <v>26</v>
      </c>
      <c r="G190" t="s">
        <v>208</v>
      </c>
      <c r="H190">
        <v>8</v>
      </c>
      <c r="I190">
        <v>2488.02</v>
      </c>
      <c r="J190" t="s">
        <v>50</v>
      </c>
      <c r="K190" t="s">
        <v>43</v>
      </c>
      <c r="L190">
        <f t="shared" si="2"/>
        <v>19904.16</v>
      </c>
    </row>
    <row r="191" spans="1:12" x14ac:dyDescent="0.3">
      <c r="A191" t="s">
        <v>749</v>
      </c>
      <c r="B191" t="s">
        <v>750</v>
      </c>
      <c r="C191" t="s">
        <v>627</v>
      </c>
      <c r="D191" t="s">
        <v>751</v>
      </c>
      <c r="E191" t="s">
        <v>128</v>
      </c>
      <c r="F191" t="s">
        <v>77</v>
      </c>
      <c r="G191" t="s">
        <v>105</v>
      </c>
      <c r="H191">
        <v>4</v>
      </c>
      <c r="I191">
        <v>1881.58</v>
      </c>
      <c r="J191" t="s">
        <v>19</v>
      </c>
      <c r="K191" t="s">
        <v>29</v>
      </c>
      <c r="L191">
        <f t="shared" si="2"/>
        <v>7526.32</v>
      </c>
    </row>
    <row r="192" spans="1:12" x14ac:dyDescent="0.3">
      <c r="A192" t="s">
        <v>752</v>
      </c>
      <c r="B192" t="s">
        <v>753</v>
      </c>
      <c r="C192" t="s">
        <v>430</v>
      </c>
      <c r="D192" t="s">
        <v>754</v>
      </c>
      <c r="E192" t="s">
        <v>25</v>
      </c>
      <c r="F192" t="s">
        <v>77</v>
      </c>
      <c r="G192" t="s">
        <v>78</v>
      </c>
      <c r="H192">
        <v>7</v>
      </c>
      <c r="I192">
        <v>3915.83</v>
      </c>
      <c r="J192" t="s">
        <v>42</v>
      </c>
      <c r="K192" t="s">
        <v>20</v>
      </c>
      <c r="L192">
        <f t="shared" si="2"/>
        <v>27410.809999999998</v>
      </c>
    </row>
    <row r="193" spans="1:12" x14ac:dyDescent="0.3">
      <c r="A193" t="s">
        <v>755</v>
      </c>
      <c r="B193" t="s">
        <v>756</v>
      </c>
      <c r="C193" t="s">
        <v>757</v>
      </c>
      <c r="D193" t="s">
        <v>758</v>
      </c>
      <c r="E193" t="s">
        <v>104</v>
      </c>
      <c r="F193" t="s">
        <v>17</v>
      </c>
      <c r="G193" t="s">
        <v>68</v>
      </c>
      <c r="H193">
        <v>8</v>
      </c>
      <c r="I193">
        <v>3650.96</v>
      </c>
      <c r="J193" t="s">
        <v>42</v>
      </c>
      <c r="K193" t="s">
        <v>83</v>
      </c>
      <c r="L193">
        <f t="shared" si="2"/>
        <v>29207.68</v>
      </c>
    </row>
    <row r="194" spans="1:12" x14ac:dyDescent="0.3">
      <c r="A194" t="s">
        <v>759</v>
      </c>
      <c r="B194" t="s">
        <v>65</v>
      </c>
      <c r="C194" t="s">
        <v>760</v>
      </c>
      <c r="D194" t="s">
        <v>761</v>
      </c>
      <c r="E194" t="s">
        <v>34</v>
      </c>
      <c r="F194" t="s">
        <v>17</v>
      </c>
      <c r="G194" t="s">
        <v>18</v>
      </c>
      <c r="H194">
        <v>6</v>
      </c>
      <c r="I194">
        <v>3348.83</v>
      </c>
      <c r="J194" t="s">
        <v>28</v>
      </c>
      <c r="K194" t="s">
        <v>29</v>
      </c>
      <c r="L194">
        <f t="shared" si="2"/>
        <v>20092.98</v>
      </c>
    </row>
    <row r="195" spans="1:12" x14ac:dyDescent="0.3">
      <c r="A195" t="s">
        <v>762</v>
      </c>
      <c r="B195" t="s">
        <v>389</v>
      </c>
      <c r="C195" t="s">
        <v>569</v>
      </c>
      <c r="D195" t="s">
        <v>763</v>
      </c>
      <c r="E195" t="s">
        <v>62</v>
      </c>
      <c r="F195" t="s">
        <v>26</v>
      </c>
      <c r="G195" t="s">
        <v>115</v>
      </c>
      <c r="H195">
        <v>5</v>
      </c>
      <c r="I195">
        <v>1543.69</v>
      </c>
      <c r="J195" t="s">
        <v>19</v>
      </c>
      <c r="K195" t="s">
        <v>20</v>
      </c>
      <c r="L195">
        <f t="shared" ref="L195:L258" si="3">H195*I195</f>
        <v>7718.4500000000007</v>
      </c>
    </row>
    <row r="196" spans="1:12" x14ac:dyDescent="0.3">
      <c r="A196" t="s">
        <v>764</v>
      </c>
      <c r="B196" t="s">
        <v>275</v>
      </c>
      <c r="C196" t="s">
        <v>765</v>
      </c>
      <c r="D196" t="s">
        <v>766</v>
      </c>
      <c r="E196" t="s">
        <v>34</v>
      </c>
      <c r="F196" t="s">
        <v>48</v>
      </c>
      <c r="G196" t="s">
        <v>63</v>
      </c>
      <c r="H196">
        <v>5</v>
      </c>
      <c r="I196">
        <v>1297.98</v>
      </c>
      <c r="J196" t="s">
        <v>50</v>
      </c>
      <c r="K196" t="s">
        <v>20</v>
      </c>
      <c r="L196">
        <f t="shared" si="3"/>
        <v>6489.9</v>
      </c>
    </row>
    <row r="197" spans="1:12" x14ac:dyDescent="0.3">
      <c r="A197" t="s">
        <v>767</v>
      </c>
      <c r="B197" t="s">
        <v>768</v>
      </c>
      <c r="C197" t="s">
        <v>769</v>
      </c>
      <c r="D197" t="s">
        <v>770</v>
      </c>
      <c r="E197" t="s">
        <v>56</v>
      </c>
      <c r="F197" t="s">
        <v>17</v>
      </c>
      <c r="G197" t="s">
        <v>68</v>
      </c>
      <c r="H197">
        <v>6</v>
      </c>
      <c r="I197">
        <v>2642.46</v>
      </c>
      <c r="J197" t="s">
        <v>28</v>
      </c>
      <c r="K197" t="s">
        <v>43</v>
      </c>
      <c r="L197">
        <f t="shared" si="3"/>
        <v>15854.76</v>
      </c>
    </row>
    <row r="198" spans="1:12" x14ac:dyDescent="0.3">
      <c r="A198" t="s">
        <v>771</v>
      </c>
      <c r="B198" t="s">
        <v>609</v>
      </c>
      <c r="C198" t="s">
        <v>164</v>
      </c>
      <c r="D198" t="s">
        <v>224</v>
      </c>
      <c r="E198" t="s">
        <v>56</v>
      </c>
      <c r="F198" t="s">
        <v>17</v>
      </c>
      <c r="G198" t="s">
        <v>68</v>
      </c>
      <c r="H198">
        <v>6</v>
      </c>
      <c r="I198">
        <v>494.07</v>
      </c>
      <c r="J198" t="s">
        <v>28</v>
      </c>
      <c r="K198" t="s">
        <v>43</v>
      </c>
      <c r="L198">
        <f t="shared" si="3"/>
        <v>2964.42</v>
      </c>
    </row>
    <row r="199" spans="1:12" x14ac:dyDescent="0.3">
      <c r="A199" t="s">
        <v>772</v>
      </c>
      <c r="B199" t="s">
        <v>773</v>
      </c>
      <c r="C199" t="s">
        <v>774</v>
      </c>
      <c r="D199" t="s">
        <v>775</v>
      </c>
      <c r="E199" t="s">
        <v>25</v>
      </c>
      <c r="F199" t="s">
        <v>77</v>
      </c>
      <c r="G199" t="s">
        <v>171</v>
      </c>
      <c r="H199">
        <v>6</v>
      </c>
      <c r="I199">
        <v>4640.58</v>
      </c>
      <c r="J199" t="s">
        <v>19</v>
      </c>
      <c r="K199" t="s">
        <v>51</v>
      </c>
      <c r="L199">
        <f t="shared" si="3"/>
        <v>27843.48</v>
      </c>
    </row>
    <row r="200" spans="1:12" x14ac:dyDescent="0.3">
      <c r="A200" t="s">
        <v>776</v>
      </c>
      <c r="B200" t="s">
        <v>777</v>
      </c>
      <c r="C200" t="s">
        <v>32</v>
      </c>
      <c r="D200" t="s">
        <v>778</v>
      </c>
      <c r="E200" t="s">
        <v>16</v>
      </c>
      <c r="F200" t="s">
        <v>77</v>
      </c>
      <c r="G200" t="s">
        <v>171</v>
      </c>
      <c r="H200">
        <v>4</v>
      </c>
      <c r="I200">
        <v>1657.37</v>
      </c>
      <c r="J200" t="s">
        <v>28</v>
      </c>
      <c r="K200" t="s">
        <v>29</v>
      </c>
      <c r="L200">
        <f t="shared" si="3"/>
        <v>6629.48</v>
      </c>
    </row>
    <row r="201" spans="1:12" x14ac:dyDescent="0.3">
      <c r="A201" t="s">
        <v>779</v>
      </c>
      <c r="B201" t="s">
        <v>780</v>
      </c>
      <c r="C201" t="s">
        <v>781</v>
      </c>
      <c r="D201" t="s">
        <v>782</v>
      </c>
      <c r="E201" t="s">
        <v>16</v>
      </c>
      <c r="F201" t="s">
        <v>17</v>
      </c>
      <c r="G201" t="s">
        <v>68</v>
      </c>
      <c r="H201">
        <v>3</v>
      </c>
      <c r="I201">
        <v>2485.6999999999998</v>
      </c>
      <c r="J201" t="s">
        <v>50</v>
      </c>
      <c r="K201" t="s">
        <v>51</v>
      </c>
      <c r="L201">
        <f t="shared" si="3"/>
        <v>7457.0999999999995</v>
      </c>
    </row>
    <row r="202" spans="1:12" x14ac:dyDescent="0.3">
      <c r="A202" t="s">
        <v>783</v>
      </c>
      <c r="B202" t="s">
        <v>784</v>
      </c>
      <c r="C202" t="s">
        <v>160</v>
      </c>
      <c r="D202" t="s">
        <v>785</v>
      </c>
      <c r="E202" t="s">
        <v>16</v>
      </c>
      <c r="F202" t="s">
        <v>77</v>
      </c>
      <c r="G202" t="s">
        <v>78</v>
      </c>
      <c r="H202">
        <v>9</v>
      </c>
      <c r="I202">
        <v>541.59</v>
      </c>
      <c r="J202" t="s">
        <v>42</v>
      </c>
      <c r="K202" t="s">
        <v>29</v>
      </c>
      <c r="L202">
        <f t="shared" si="3"/>
        <v>4874.3100000000004</v>
      </c>
    </row>
    <row r="203" spans="1:12" x14ac:dyDescent="0.3">
      <c r="A203" t="s">
        <v>786</v>
      </c>
      <c r="B203" t="s">
        <v>74</v>
      </c>
      <c r="C203" t="s">
        <v>787</v>
      </c>
      <c r="D203" t="s">
        <v>788</v>
      </c>
      <c r="E203" t="s">
        <v>95</v>
      </c>
      <c r="F203" t="s">
        <v>26</v>
      </c>
      <c r="G203" t="s">
        <v>166</v>
      </c>
      <c r="H203">
        <v>5</v>
      </c>
      <c r="I203">
        <v>904.42</v>
      </c>
      <c r="J203" t="s">
        <v>19</v>
      </c>
      <c r="K203" t="s">
        <v>20</v>
      </c>
      <c r="L203">
        <f t="shared" si="3"/>
        <v>4522.0999999999995</v>
      </c>
    </row>
    <row r="204" spans="1:12" x14ac:dyDescent="0.3">
      <c r="A204" t="s">
        <v>789</v>
      </c>
      <c r="B204" t="s">
        <v>790</v>
      </c>
      <c r="C204" t="s">
        <v>791</v>
      </c>
      <c r="D204" t="s">
        <v>792</v>
      </c>
      <c r="E204" t="s">
        <v>95</v>
      </c>
      <c r="F204" t="s">
        <v>17</v>
      </c>
      <c r="G204" t="s">
        <v>68</v>
      </c>
      <c r="H204">
        <v>7</v>
      </c>
      <c r="I204">
        <v>1730.65</v>
      </c>
      <c r="J204" t="s">
        <v>28</v>
      </c>
      <c r="K204" t="s">
        <v>20</v>
      </c>
      <c r="L204">
        <f t="shared" si="3"/>
        <v>12114.550000000001</v>
      </c>
    </row>
    <row r="205" spans="1:12" x14ac:dyDescent="0.3">
      <c r="A205" t="s">
        <v>793</v>
      </c>
      <c r="B205" t="s">
        <v>794</v>
      </c>
      <c r="C205" t="s">
        <v>795</v>
      </c>
      <c r="D205" t="s">
        <v>796</v>
      </c>
      <c r="E205" t="s">
        <v>62</v>
      </c>
      <c r="F205" t="s">
        <v>48</v>
      </c>
      <c r="G205" t="s">
        <v>49</v>
      </c>
      <c r="H205">
        <v>8</v>
      </c>
      <c r="I205">
        <v>2782.61</v>
      </c>
      <c r="J205" t="s">
        <v>50</v>
      </c>
      <c r="K205" t="s">
        <v>43</v>
      </c>
      <c r="L205">
        <f t="shared" si="3"/>
        <v>22260.880000000001</v>
      </c>
    </row>
    <row r="206" spans="1:12" x14ac:dyDescent="0.3">
      <c r="A206" t="s">
        <v>797</v>
      </c>
      <c r="B206" t="s">
        <v>441</v>
      </c>
      <c r="C206" t="s">
        <v>798</v>
      </c>
      <c r="D206" t="s">
        <v>520</v>
      </c>
      <c r="E206" t="s">
        <v>95</v>
      </c>
      <c r="F206" t="s">
        <v>17</v>
      </c>
      <c r="G206" t="s">
        <v>41</v>
      </c>
      <c r="H206">
        <v>10</v>
      </c>
      <c r="I206">
        <v>2761.98</v>
      </c>
      <c r="J206" t="s">
        <v>28</v>
      </c>
      <c r="K206" t="s">
        <v>43</v>
      </c>
      <c r="L206">
        <f t="shared" si="3"/>
        <v>27619.8</v>
      </c>
    </row>
    <row r="207" spans="1:12" x14ac:dyDescent="0.3">
      <c r="A207" t="s">
        <v>799</v>
      </c>
      <c r="B207" t="s">
        <v>800</v>
      </c>
      <c r="C207" t="s">
        <v>801</v>
      </c>
      <c r="D207" t="s">
        <v>802</v>
      </c>
      <c r="E207" t="s">
        <v>128</v>
      </c>
      <c r="F207" t="s">
        <v>17</v>
      </c>
      <c r="G207" t="s">
        <v>35</v>
      </c>
      <c r="H207">
        <v>8</v>
      </c>
      <c r="I207">
        <v>428.91</v>
      </c>
      <c r="J207" t="s">
        <v>19</v>
      </c>
      <c r="K207" t="s">
        <v>20</v>
      </c>
      <c r="L207">
        <f t="shared" si="3"/>
        <v>3431.28</v>
      </c>
    </row>
    <row r="208" spans="1:12" x14ac:dyDescent="0.3">
      <c r="A208" t="s">
        <v>803</v>
      </c>
      <c r="B208" t="s">
        <v>804</v>
      </c>
      <c r="C208" t="s">
        <v>805</v>
      </c>
      <c r="D208" t="s">
        <v>806</v>
      </c>
      <c r="E208" t="s">
        <v>25</v>
      </c>
      <c r="F208" t="s">
        <v>77</v>
      </c>
      <c r="G208" t="s">
        <v>105</v>
      </c>
      <c r="H208">
        <v>1</v>
      </c>
      <c r="I208">
        <v>4934.3100000000004</v>
      </c>
      <c r="J208" t="s">
        <v>19</v>
      </c>
      <c r="K208" t="s">
        <v>29</v>
      </c>
      <c r="L208">
        <f t="shared" si="3"/>
        <v>4934.3100000000004</v>
      </c>
    </row>
    <row r="209" spans="1:12" x14ac:dyDescent="0.3">
      <c r="A209" t="s">
        <v>807</v>
      </c>
      <c r="B209" t="s">
        <v>250</v>
      </c>
      <c r="C209" t="s">
        <v>808</v>
      </c>
      <c r="D209" t="s">
        <v>809</v>
      </c>
      <c r="E209" t="s">
        <v>16</v>
      </c>
      <c r="F209" t="s">
        <v>48</v>
      </c>
      <c r="G209" t="s">
        <v>179</v>
      </c>
      <c r="H209">
        <v>5</v>
      </c>
      <c r="I209">
        <v>1966</v>
      </c>
      <c r="J209" t="s">
        <v>50</v>
      </c>
      <c r="K209" t="s">
        <v>43</v>
      </c>
      <c r="L209">
        <f t="shared" si="3"/>
        <v>9830</v>
      </c>
    </row>
    <row r="210" spans="1:12" x14ac:dyDescent="0.3">
      <c r="A210" t="s">
        <v>810</v>
      </c>
      <c r="B210" t="s">
        <v>811</v>
      </c>
      <c r="C210" t="s">
        <v>812</v>
      </c>
      <c r="D210" t="s">
        <v>770</v>
      </c>
      <c r="E210" t="s">
        <v>62</v>
      </c>
      <c r="F210" t="s">
        <v>17</v>
      </c>
      <c r="G210" t="s">
        <v>41</v>
      </c>
      <c r="H210">
        <v>9</v>
      </c>
      <c r="I210">
        <v>1871.9</v>
      </c>
      <c r="J210" t="s">
        <v>42</v>
      </c>
      <c r="K210" t="s">
        <v>36</v>
      </c>
      <c r="L210">
        <f t="shared" si="3"/>
        <v>16847.100000000002</v>
      </c>
    </row>
    <row r="211" spans="1:12" x14ac:dyDescent="0.3">
      <c r="A211" t="s">
        <v>813</v>
      </c>
      <c r="B211" t="s">
        <v>814</v>
      </c>
      <c r="C211" t="s">
        <v>815</v>
      </c>
      <c r="D211" t="s">
        <v>165</v>
      </c>
      <c r="E211" t="s">
        <v>34</v>
      </c>
      <c r="F211" t="s">
        <v>26</v>
      </c>
      <c r="G211" t="s">
        <v>296</v>
      </c>
      <c r="H211">
        <v>6</v>
      </c>
      <c r="I211">
        <v>4670.4399999999996</v>
      </c>
      <c r="J211" t="s">
        <v>28</v>
      </c>
      <c r="K211" t="s">
        <v>36</v>
      </c>
      <c r="L211">
        <f t="shared" si="3"/>
        <v>28022.639999999999</v>
      </c>
    </row>
    <row r="212" spans="1:12" x14ac:dyDescent="0.3">
      <c r="A212" t="s">
        <v>816</v>
      </c>
      <c r="B212" t="s">
        <v>377</v>
      </c>
      <c r="C212" t="s">
        <v>817</v>
      </c>
      <c r="D212" t="s">
        <v>818</v>
      </c>
      <c r="E212" t="s">
        <v>34</v>
      </c>
      <c r="F212" t="s">
        <v>17</v>
      </c>
      <c r="G212" t="s">
        <v>68</v>
      </c>
      <c r="H212">
        <v>3</v>
      </c>
      <c r="I212">
        <v>1610.86</v>
      </c>
      <c r="J212" t="s">
        <v>42</v>
      </c>
      <c r="K212" t="s">
        <v>83</v>
      </c>
      <c r="L212">
        <f t="shared" si="3"/>
        <v>4832.58</v>
      </c>
    </row>
    <row r="213" spans="1:12" x14ac:dyDescent="0.3">
      <c r="A213" t="s">
        <v>819</v>
      </c>
      <c r="B213" t="s">
        <v>377</v>
      </c>
      <c r="C213" t="s">
        <v>820</v>
      </c>
      <c r="D213" t="s">
        <v>821</v>
      </c>
      <c r="E213" t="s">
        <v>16</v>
      </c>
      <c r="F213" t="s">
        <v>26</v>
      </c>
      <c r="G213" t="s">
        <v>27</v>
      </c>
      <c r="H213">
        <v>4</v>
      </c>
      <c r="I213">
        <v>3023.65</v>
      </c>
      <c r="J213" t="s">
        <v>19</v>
      </c>
      <c r="K213" t="s">
        <v>20</v>
      </c>
      <c r="L213">
        <f t="shared" si="3"/>
        <v>12094.6</v>
      </c>
    </row>
    <row r="214" spans="1:12" x14ac:dyDescent="0.3">
      <c r="A214" t="s">
        <v>822</v>
      </c>
      <c r="B214" t="s">
        <v>823</v>
      </c>
      <c r="C214" t="s">
        <v>824</v>
      </c>
      <c r="D214" t="s">
        <v>825</v>
      </c>
      <c r="E214" t="s">
        <v>16</v>
      </c>
      <c r="F214" t="s">
        <v>77</v>
      </c>
      <c r="G214" t="s">
        <v>123</v>
      </c>
      <c r="H214">
        <v>6</v>
      </c>
      <c r="I214">
        <v>3156.97</v>
      </c>
      <c r="J214" t="s">
        <v>19</v>
      </c>
      <c r="K214" t="s">
        <v>36</v>
      </c>
      <c r="L214">
        <f t="shared" si="3"/>
        <v>18941.82</v>
      </c>
    </row>
    <row r="215" spans="1:12" x14ac:dyDescent="0.3">
      <c r="A215" t="s">
        <v>826</v>
      </c>
      <c r="B215" t="s">
        <v>827</v>
      </c>
      <c r="C215" t="s">
        <v>828</v>
      </c>
      <c r="D215" t="s">
        <v>829</v>
      </c>
      <c r="E215" t="s">
        <v>34</v>
      </c>
      <c r="F215" t="s">
        <v>77</v>
      </c>
      <c r="G215" t="s">
        <v>171</v>
      </c>
      <c r="H215">
        <v>9</v>
      </c>
      <c r="I215">
        <v>666.78</v>
      </c>
      <c r="J215" t="s">
        <v>28</v>
      </c>
      <c r="K215" t="s">
        <v>43</v>
      </c>
      <c r="L215">
        <f t="shared" si="3"/>
        <v>6001.0199999999995</v>
      </c>
    </row>
    <row r="216" spans="1:12" x14ac:dyDescent="0.3">
      <c r="A216" t="s">
        <v>830</v>
      </c>
      <c r="B216" t="s">
        <v>731</v>
      </c>
      <c r="C216" t="s">
        <v>831</v>
      </c>
      <c r="D216" t="s">
        <v>832</v>
      </c>
      <c r="E216" t="s">
        <v>25</v>
      </c>
      <c r="F216" t="s">
        <v>48</v>
      </c>
      <c r="G216" t="s">
        <v>49</v>
      </c>
      <c r="H216">
        <v>9</v>
      </c>
      <c r="I216">
        <v>3865.62</v>
      </c>
      <c r="J216" t="s">
        <v>42</v>
      </c>
      <c r="K216" t="s">
        <v>20</v>
      </c>
      <c r="L216">
        <f t="shared" si="3"/>
        <v>34790.58</v>
      </c>
    </row>
    <row r="217" spans="1:12" x14ac:dyDescent="0.3">
      <c r="A217" t="s">
        <v>833</v>
      </c>
      <c r="B217" t="s">
        <v>437</v>
      </c>
      <c r="C217" t="s">
        <v>834</v>
      </c>
      <c r="D217" t="s">
        <v>835</v>
      </c>
      <c r="E217" t="s">
        <v>34</v>
      </c>
      <c r="F217" t="s">
        <v>26</v>
      </c>
      <c r="G217" t="s">
        <v>166</v>
      </c>
      <c r="H217">
        <v>9</v>
      </c>
      <c r="I217">
        <v>2735.49</v>
      </c>
      <c r="J217" t="s">
        <v>28</v>
      </c>
      <c r="K217" t="s">
        <v>36</v>
      </c>
      <c r="L217">
        <f t="shared" si="3"/>
        <v>24619.409999999996</v>
      </c>
    </row>
    <row r="218" spans="1:12" x14ac:dyDescent="0.3">
      <c r="A218" t="s">
        <v>836</v>
      </c>
      <c r="B218" t="s">
        <v>474</v>
      </c>
      <c r="C218" t="s">
        <v>837</v>
      </c>
      <c r="D218" t="s">
        <v>838</v>
      </c>
      <c r="E218" t="s">
        <v>62</v>
      </c>
      <c r="F218" t="s">
        <v>77</v>
      </c>
      <c r="G218" t="s">
        <v>265</v>
      </c>
      <c r="H218">
        <v>5</v>
      </c>
      <c r="I218">
        <v>187.84</v>
      </c>
      <c r="J218" t="s">
        <v>50</v>
      </c>
      <c r="K218" t="s">
        <v>20</v>
      </c>
      <c r="L218">
        <f t="shared" si="3"/>
        <v>939.2</v>
      </c>
    </row>
    <row r="219" spans="1:12" x14ac:dyDescent="0.3">
      <c r="A219" t="s">
        <v>839</v>
      </c>
      <c r="B219" t="s">
        <v>840</v>
      </c>
      <c r="C219" t="s">
        <v>841</v>
      </c>
      <c r="D219" t="s">
        <v>842</v>
      </c>
      <c r="E219" t="s">
        <v>16</v>
      </c>
      <c r="F219" t="s">
        <v>17</v>
      </c>
      <c r="G219" t="s">
        <v>41</v>
      </c>
      <c r="H219">
        <v>9</v>
      </c>
      <c r="I219">
        <v>4580.76</v>
      </c>
      <c r="J219" t="s">
        <v>50</v>
      </c>
      <c r="K219" t="s">
        <v>83</v>
      </c>
      <c r="L219">
        <f t="shared" si="3"/>
        <v>41226.840000000004</v>
      </c>
    </row>
    <row r="220" spans="1:12" x14ac:dyDescent="0.3">
      <c r="A220" t="s">
        <v>843</v>
      </c>
      <c r="B220" t="s">
        <v>844</v>
      </c>
      <c r="C220" t="s">
        <v>845</v>
      </c>
      <c r="D220" t="s">
        <v>846</v>
      </c>
      <c r="E220" t="s">
        <v>16</v>
      </c>
      <c r="F220" t="s">
        <v>26</v>
      </c>
      <c r="G220" t="s">
        <v>27</v>
      </c>
      <c r="H220">
        <v>5</v>
      </c>
      <c r="I220">
        <v>2135.4899999999998</v>
      </c>
      <c r="J220" t="s">
        <v>19</v>
      </c>
      <c r="K220" t="s">
        <v>20</v>
      </c>
      <c r="L220">
        <f t="shared" si="3"/>
        <v>10677.449999999999</v>
      </c>
    </row>
    <row r="221" spans="1:12" x14ac:dyDescent="0.3">
      <c r="A221" t="s">
        <v>847</v>
      </c>
      <c r="B221" t="s">
        <v>13</v>
      </c>
      <c r="C221" t="s">
        <v>848</v>
      </c>
      <c r="D221" t="s">
        <v>849</v>
      </c>
      <c r="E221" t="s">
        <v>34</v>
      </c>
      <c r="F221" t="s">
        <v>48</v>
      </c>
      <c r="G221" t="s">
        <v>110</v>
      </c>
      <c r="H221">
        <v>3</v>
      </c>
      <c r="I221">
        <v>3036.92</v>
      </c>
      <c r="J221" t="s">
        <v>50</v>
      </c>
      <c r="K221" t="s">
        <v>43</v>
      </c>
      <c r="L221">
        <f t="shared" si="3"/>
        <v>9110.76</v>
      </c>
    </row>
    <row r="222" spans="1:12" x14ac:dyDescent="0.3">
      <c r="A222" t="s">
        <v>850</v>
      </c>
      <c r="B222" t="s">
        <v>654</v>
      </c>
      <c r="C222" t="s">
        <v>851</v>
      </c>
      <c r="D222" t="s">
        <v>852</v>
      </c>
      <c r="E222" t="s">
        <v>62</v>
      </c>
      <c r="F222" t="s">
        <v>26</v>
      </c>
      <c r="G222" t="s">
        <v>115</v>
      </c>
      <c r="H222">
        <v>9</v>
      </c>
      <c r="I222">
        <v>4706.1899999999996</v>
      </c>
      <c r="J222" t="s">
        <v>50</v>
      </c>
      <c r="K222" t="s">
        <v>36</v>
      </c>
      <c r="L222">
        <f t="shared" si="3"/>
        <v>42355.71</v>
      </c>
    </row>
    <row r="223" spans="1:12" x14ac:dyDescent="0.3">
      <c r="A223" t="s">
        <v>853</v>
      </c>
      <c r="B223" t="s">
        <v>854</v>
      </c>
      <c r="C223" t="s">
        <v>450</v>
      </c>
      <c r="D223" t="s">
        <v>277</v>
      </c>
      <c r="E223" t="s">
        <v>56</v>
      </c>
      <c r="F223" t="s">
        <v>17</v>
      </c>
      <c r="G223" t="s">
        <v>41</v>
      </c>
      <c r="H223">
        <v>3</v>
      </c>
      <c r="I223">
        <v>2886.45</v>
      </c>
      <c r="J223" t="s">
        <v>42</v>
      </c>
      <c r="K223" t="s">
        <v>20</v>
      </c>
      <c r="L223">
        <f t="shared" si="3"/>
        <v>8659.3499999999985</v>
      </c>
    </row>
    <row r="224" spans="1:12" x14ac:dyDescent="0.3">
      <c r="A224" t="s">
        <v>855</v>
      </c>
      <c r="B224" t="s">
        <v>141</v>
      </c>
      <c r="C224" t="s">
        <v>856</v>
      </c>
      <c r="D224" t="s">
        <v>857</v>
      </c>
      <c r="E224" t="s">
        <v>104</v>
      </c>
      <c r="F224" t="s">
        <v>26</v>
      </c>
      <c r="G224" t="s">
        <v>166</v>
      </c>
      <c r="H224">
        <v>3</v>
      </c>
      <c r="I224">
        <v>2854.47</v>
      </c>
      <c r="J224" t="s">
        <v>19</v>
      </c>
      <c r="K224" t="s">
        <v>51</v>
      </c>
      <c r="L224">
        <f t="shared" si="3"/>
        <v>8563.41</v>
      </c>
    </row>
    <row r="225" spans="1:12" x14ac:dyDescent="0.3">
      <c r="A225" t="s">
        <v>858</v>
      </c>
      <c r="B225" t="s">
        <v>859</v>
      </c>
      <c r="C225" t="s">
        <v>340</v>
      </c>
      <c r="D225" t="s">
        <v>860</v>
      </c>
      <c r="E225" t="s">
        <v>128</v>
      </c>
      <c r="F225" t="s">
        <v>48</v>
      </c>
      <c r="G225" t="s">
        <v>57</v>
      </c>
      <c r="H225">
        <v>9</v>
      </c>
      <c r="I225">
        <v>264.85000000000002</v>
      </c>
      <c r="J225" t="s">
        <v>19</v>
      </c>
      <c r="K225" t="s">
        <v>20</v>
      </c>
      <c r="L225">
        <f t="shared" si="3"/>
        <v>2383.65</v>
      </c>
    </row>
    <row r="226" spans="1:12" x14ac:dyDescent="0.3">
      <c r="A226" t="s">
        <v>861</v>
      </c>
      <c r="B226" t="s">
        <v>862</v>
      </c>
      <c r="C226" t="s">
        <v>531</v>
      </c>
      <c r="D226" t="s">
        <v>863</v>
      </c>
      <c r="E226" t="s">
        <v>62</v>
      </c>
      <c r="F226" t="s">
        <v>77</v>
      </c>
      <c r="G226" t="s">
        <v>123</v>
      </c>
      <c r="H226">
        <v>3</v>
      </c>
      <c r="I226">
        <v>4709.3900000000003</v>
      </c>
      <c r="J226" t="s">
        <v>42</v>
      </c>
      <c r="K226" t="s">
        <v>36</v>
      </c>
      <c r="L226">
        <f t="shared" si="3"/>
        <v>14128.170000000002</v>
      </c>
    </row>
    <row r="227" spans="1:12" x14ac:dyDescent="0.3">
      <c r="A227" t="s">
        <v>864</v>
      </c>
      <c r="B227" t="s">
        <v>865</v>
      </c>
      <c r="C227" t="s">
        <v>866</v>
      </c>
      <c r="D227" t="s">
        <v>867</v>
      </c>
      <c r="E227" t="s">
        <v>128</v>
      </c>
      <c r="F227" t="s">
        <v>77</v>
      </c>
      <c r="G227" t="s">
        <v>78</v>
      </c>
      <c r="H227">
        <v>5</v>
      </c>
      <c r="I227">
        <v>51.41</v>
      </c>
      <c r="J227" t="s">
        <v>42</v>
      </c>
      <c r="K227" t="s">
        <v>43</v>
      </c>
      <c r="L227">
        <f t="shared" si="3"/>
        <v>257.04999999999995</v>
      </c>
    </row>
    <row r="228" spans="1:12" x14ac:dyDescent="0.3">
      <c r="A228" t="s">
        <v>868</v>
      </c>
      <c r="B228" t="s">
        <v>869</v>
      </c>
      <c r="C228" t="s">
        <v>870</v>
      </c>
      <c r="D228" t="s">
        <v>871</v>
      </c>
      <c r="E228" t="s">
        <v>104</v>
      </c>
      <c r="F228" t="s">
        <v>26</v>
      </c>
      <c r="G228" t="s">
        <v>27</v>
      </c>
      <c r="H228">
        <v>7</v>
      </c>
      <c r="I228">
        <v>2559.4899999999998</v>
      </c>
      <c r="J228" t="s">
        <v>50</v>
      </c>
      <c r="K228" t="s">
        <v>51</v>
      </c>
      <c r="L228">
        <f t="shared" si="3"/>
        <v>17916.43</v>
      </c>
    </row>
    <row r="229" spans="1:12" x14ac:dyDescent="0.3">
      <c r="A229" t="s">
        <v>872</v>
      </c>
      <c r="B229" t="s">
        <v>873</v>
      </c>
      <c r="C229" t="s">
        <v>874</v>
      </c>
      <c r="D229" t="s">
        <v>875</v>
      </c>
      <c r="E229" t="s">
        <v>56</v>
      </c>
      <c r="F229" t="s">
        <v>17</v>
      </c>
      <c r="G229" t="s">
        <v>35</v>
      </c>
      <c r="H229">
        <v>9</v>
      </c>
      <c r="I229">
        <v>4288.42</v>
      </c>
      <c r="J229" t="s">
        <v>50</v>
      </c>
      <c r="K229" t="s">
        <v>36</v>
      </c>
      <c r="L229">
        <f t="shared" si="3"/>
        <v>38595.78</v>
      </c>
    </row>
    <row r="230" spans="1:12" x14ac:dyDescent="0.3">
      <c r="A230" t="s">
        <v>876</v>
      </c>
      <c r="B230" t="s">
        <v>877</v>
      </c>
      <c r="C230" t="s">
        <v>878</v>
      </c>
      <c r="D230" t="s">
        <v>879</v>
      </c>
      <c r="E230" t="s">
        <v>34</v>
      </c>
      <c r="F230" t="s">
        <v>26</v>
      </c>
      <c r="G230" t="s">
        <v>115</v>
      </c>
      <c r="H230">
        <v>9</v>
      </c>
      <c r="I230">
        <v>2355.16</v>
      </c>
      <c r="J230" t="s">
        <v>28</v>
      </c>
      <c r="K230" t="s">
        <v>83</v>
      </c>
      <c r="L230">
        <f t="shared" si="3"/>
        <v>21196.44</v>
      </c>
    </row>
    <row r="231" spans="1:12" x14ac:dyDescent="0.3">
      <c r="A231" t="s">
        <v>880</v>
      </c>
      <c r="B231" t="s">
        <v>840</v>
      </c>
      <c r="C231" t="s">
        <v>881</v>
      </c>
      <c r="D231" t="s">
        <v>341</v>
      </c>
      <c r="E231" t="s">
        <v>56</v>
      </c>
      <c r="F231" t="s">
        <v>77</v>
      </c>
      <c r="G231" t="s">
        <v>105</v>
      </c>
      <c r="H231">
        <v>4</v>
      </c>
      <c r="I231">
        <v>2959.94</v>
      </c>
      <c r="J231" t="s">
        <v>28</v>
      </c>
      <c r="K231" t="s">
        <v>51</v>
      </c>
      <c r="L231">
        <f t="shared" si="3"/>
        <v>11839.76</v>
      </c>
    </row>
    <row r="232" spans="1:12" x14ac:dyDescent="0.3">
      <c r="A232" t="s">
        <v>882</v>
      </c>
      <c r="B232" t="s">
        <v>883</v>
      </c>
      <c r="C232" t="s">
        <v>884</v>
      </c>
      <c r="D232" t="s">
        <v>170</v>
      </c>
      <c r="E232" t="s">
        <v>25</v>
      </c>
      <c r="F232" t="s">
        <v>48</v>
      </c>
      <c r="G232" t="s">
        <v>179</v>
      </c>
      <c r="H232">
        <v>9</v>
      </c>
      <c r="I232">
        <v>1027.28</v>
      </c>
      <c r="J232" t="s">
        <v>50</v>
      </c>
      <c r="K232" t="s">
        <v>83</v>
      </c>
      <c r="L232">
        <f t="shared" si="3"/>
        <v>9245.52</v>
      </c>
    </row>
    <row r="233" spans="1:12" x14ac:dyDescent="0.3">
      <c r="A233" t="s">
        <v>885</v>
      </c>
      <c r="B233" t="s">
        <v>886</v>
      </c>
      <c r="C233" t="s">
        <v>887</v>
      </c>
      <c r="D233" t="s">
        <v>888</v>
      </c>
      <c r="E233" t="s">
        <v>128</v>
      </c>
      <c r="F233" t="s">
        <v>48</v>
      </c>
      <c r="G233" t="s">
        <v>110</v>
      </c>
      <c r="H233">
        <v>8</v>
      </c>
      <c r="I233">
        <v>1359.4</v>
      </c>
      <c r="J233" t="s">
        <v>50</v>
      </c>
      <c r="K233" t="s">
        <v>83</v>
      </c>
      <c r="L233">
        <f t="shared" si="3"/>
        <v>10875.2</v>
      </c>
    </row>
    <row r="234" spans="1:12" x14ac:dyDescent="0.3">
      <c r="A234" t="s">
        <v>889</v>
      </c>
      <c r="B234" t="s">
        <v>862</v>
      </c>
      <c r="C234" t="s">
        <v>890</v>
      </c>
      <c r="D234" t="s">
        <v>891</v>
      </c>
      <c r="E234" t="s">
        <v>104</v>
      </c>
      <c r="F234" t="s">
        <v>26</v>
      </c>
      <c r="G234" t="s">
        <v>27</v>
      </c>
      <c r="H234">
        <v>8</v>
      </c>
      <c r="I234">
        <v>4603.83</v>
      </c>
      <c r="J234" t="s">
        <v>42</v>
      </c>
      <c r="K234" t="s">
        <v>20</v>
      </c>
      <c r="L234">
        <f t="shared" si="3"/>
        <v>36830.639999999999</v>
      </c>
    </row>
    <row r="235" spans="1:12" x14ac:dyDescent="0.3">
      <c r="A235" t="s">
        <v>892</v>
      </c>
      <c r="B235" t="s">
        <v>893</v>
      </c>
      <c r="C235" t="s">
        <v>468</v>
      </c>
      <c r="D235" t="s">
        <v>559</v>
      </c>
      <c r="E235" t="s">
        <v>56</v>
      </c>
      <c r="F235" t="s">
        <v>77</v>
      </c>
      <c r="G235" t="s">
        <v>123</v>
      </c>
      <c r="H235">
        <v>8</v>
      </c>
      <c r="I235">
        <v>4649.7</v>
      </c>
      <c r="J235" t="s">
        <v>19</v>
      </c>
      <c r="K235" t="s">
        <v>51</v>
      </c>
      <c r="L235">
        <f t="shared" si="3"/>
        <v>37197.599999999999</v>
      </c>
    </row>
    <row r="236" spans="1:12" x14ac:dyDescent="0.3">
      <c r="A236" t="s">
        <v>894</v>
      </c>
      <c r="B236" t="s">
        <v>895</v>
      </c>
      <c r="C236" t="s">
        <v>896</v>
      </c>
      <c r="D236" t="s">
        <v>236</v>
      </c>
      <c r="E236" t="s">
        <v>95</v>
      </c>
      <c r="F236" t="s">
        <v>48</v>
      </c>
      <c r="G236" t="s">
        <v>110</v>
      </c>
      <c r="H236">
        <v>9</v>
      </c>
      <c r="I236">
        <v>704.65</v>
      </c>
      <c r="J236" t="s">
        <v>19</v>
      </c>
      <c r="K236" t="s">
        <v>51</v>
      </c>
      <c r="L236">
        <f t="shared" si="3"/>
        <v>6341.8499999999995</v>
      </c>
    </row>
    <row r="237" spans="1:12" x14ac:dyDescent="0.3">
      <c r="A237" t="s">
        <v>897</v>
      </c>
      <c r="B237" t="s">
        <v>898</v>
      </c>
      <c r="C237" t="s">
        <v>899</v>
      </c>
      <c r="D237" t="s">
        <v>900</v>
      </c>
      <c r="E237" t="s">
        <v>56</v>
      </c>
      <c r="F237" t="s">
        <v>17</v>
      </c>
      <c r="G237" t="s">
        <v>35</v>
      </c>
      <c r="H237">
        <v>10</v>
      </c>
      <c r="I237">
        <v>2533.64</v>
      </c>
      <c r="J237" t="s">
        <v>50</v>
      </c>
      <c r="K237" t="s">
        <v>51</v>
      </c>
      <c r="L237">
        <f t="shared" si="3"/>
        <v>25336.399999999998</v>
      </c>
    </row>
    <row r="238" spans="1:12" x14ac:dyDescent="0.3">
      <c r="A238" t="s">
        <v>901</v>
      </c>
      <c r="B238" t="s">
        <v>902</v>
      </c>
      <c r="C238" t="s">
        <v>576</v>
      </c>
      <c r="D238" t="s">
        <v>103</v>
      </c>
      <c r="E238" t="s">
        <v>25</v>
      </c>
      <c r="F238" t="s">
        <v>17</v>
      </c>
      <c r="G238" t="s">
        <v>188</v>
      </c>
      <c r="H238">
        <v>10</v>
      </c>
      <c r="I238">
        <v>436.1</v>
      </c>
      <c r="J238" t="s">
        <v>19</v>
      </c>
      <c r="K238" t="s">
        <v>51</v>
      </c>
      <c r="L238">
        <f t="shared" si="3"/>
        <v>4361</v>
      </c>
    </row>
    <row r="239" spans="1:12" x14ac:dyDescent="0.3">
      <c r="A239" t="s">
        <v>903</v>
      </c>
      <c r="B239" t="s">
        <v>904</v>
      </c>
      <c r="C239" t="s">
        <v>905</v>
      </c>
      <c r="D239" t="s">
        <v>906</v>
      </c>
      <c r="E239" t="s">
        <v>62</v>
      </c>
      <c r="F239" t="s">
        <v>17</v>
      </c>
      <c r="G239" t="s">
        <v>188</v>
      </c>
      <c r="H239">
        <v>5</v>
      </c>
      <c r="I239">
        <v>627.23</v>
      </c>
      <c r="J239" t="s">
        <v>50</v>
      </c>
      <c r="K239" t="s">
        <v>29</v>
      </c>
      <c r="L239">
        <f t="shared" si="3"/>
        <v>3136.15</v>
      </c>
    </row>
    <row r="240" spans="1:12" x14ac:dyDescent="0.3">
      <c r="A240" t="s">
        <v>907</v>
      </c>
      <c r="B240" t="s">
        <v>908</v>
      </c>
      <c r="C240" t="s">
        <v>909</v>
      </c>
      <c r="D240" t="s">
        <v>109</v>
      </c>
      <c r="E240" t="s">
        <v>34</v>
      </c>
      <c r="F240" t="s">
        <v>26</v>
      </c>
      <c r="G240" t="s">
        <v>208</v>
      </c>
      <c r="H240">
        <v>8</v>
      </c>
      <c r="I240">
        <v>3805.12</v>
      </c>
      <c r="J240" t="s">
        <v>50</v>
      </c>
      <c r="K240" t="s">
        <v>51</v>
      </c>
      <c r="L240">
        <f t="shared" si="3"/>
        <v>30440.959999999999</v>
      </c>
    </row>
    <row r="241" spans="1:12" x14ac:dyDescent="0.3">
      <c r="A241" t="s">
        <v>910</v>
      </c>
      <c r="B241" t="s">
        <v>911</v>
      </c>
      <c r="C241" t="s">
        <v>118</v>
      </c>
      <c r="D241" t="s">
        <v>912</v>
      </c>
      <c r="E241" t="s">
        <v>16</v>
      </c>
      <c r="F241" t="s">
        <v>26</v>
      </c>
      <c r="G241" t="s">
        <v>27</v>
      </c>
      <c r="H241">
        <v>10</v>
      </c>
      <c r="I241">
        <v>4091.6</v>
      </c>
      <c r="J241" t="s">
        <v>42</v>
      </c>
      <c r="K241" t="s">
        <v>36</v>
      </c>
      <c r="L241">
        <f t="shared" si="3"/>
        <v>40916</v>
      </c>
    </row>
    <row r="242" spans="1:12" x14ac:dyDescent="0.3">
      <c r="A242" t="s">
        <v>913</v>
      </c>
      <c r="B242" t="s">
        <v>914</v>
      </c>
      <c r="C242" t="s">
        <v>915</v>
      </c>
      <c r="D242" t="s">
        <v>916</v>
      </c>
      <c r="E242" t="s">
        <v>62</v>
      </c>
      <c r="F242" t="s">
        <v>77</v>
      </c>
      <c r="G242" t="s">
        <v>105</v>
      </c>
      <c r="H242">
        <v>5</v>
      </c>
      <c r="I242">
        <v>2163.2800000000002</v>
      </c>
      <c r="J242" t="s">
        <v>42</v>
      </c>
      <c r="K242" t="s">
        <v>20</v>
      </c>
      <c r="L242">
        <f t="shared" si="3"/>
        <v>10816.400000000001</v>
      </c>
    </row>
    <row r="243" spans="1:12" x14ac:dyDescent="0.3">
      <c r="A243" t="s">
        <v>917</v>
      </c>
      <c r="B243" t="s">
        <v>908</v>
      </c>
      <c r="C243" t="s">
        <v>918</v>
      </c>
      <c r="D243" t="s">
        <v>919</v>
      </c>
      <c r="E243" t="s">
        <v>95</v>
      </c>
      <c r="F243" t="s">
        <v>26</v>
      </c>
      <c r="G243" t="s">
        <v>296</v>
      </c>
      <c r="H243">
        <v>8</v>
      </c>
      <c r="I243">
        <v>180.61</v>
      </c>
      <c r="J243" t="s">
        <v>50</v>
      </c>
      <c r="K243" t="s">
        <v>20</v>
      </c>
      <c r="L243">
        <f t="shared" si="3"/>
        <v>1444.88</v>
      </c>
    </row>
    <row r="244" spans="1:12" x14ac:dyDescent="0.3">
      <c r="A244" t="s">
        <v>920</v>
      </c>
      <c r="B244" t="s">
        <v>895</v>
      </c>
      <c r="C244" t="s">
        <v>921</v>
      </c>
      <c r="D244" t="s">
        <v>922</v>
      </c>
      <c r="E244" t="s">
        <v>25</v>
      </c>
      <c r="F244" t="s">
        <v>77</v>
      </c>
      <c r="G244" t="s">
        <v>171</v>
      </c>
      <c r="H244">
        <v>3</v>
      </c>
      <c r="I244">
        <v>1532.16</v>
      </c>
      <c r="J244" t="s">
        <v>28</v>
      </c>
      <c r="K244" t="s">
        <v>43</v>
      </c>
      <c r="L244">
        <f t="shared" si="3"/>
        <v>4596.4800000000005</v>
      </c>
    </row>
    <row r="245" spans="1:12" x14ac:dyDescent="0.3">
      <c r="A245" t="s">
        <v>923</v>
      </c>
      <c r="B245" t="s">
        <v>924</v>
      </c>
      <c r="C245" t="s">
        <v>925</v>
      </c>
      <c r="D245" t="s">
        <v>926</v>
      </c>
      <c r="E245" t="s">
        <v>95</v>
      </c>
      <c r="F245" t="s">
        <v>17</v>
      </c>
      <c r="G245" t="s">
        <v>41</v>
      </c>
      <c r="H245">
        <v>3</v>
      </c>
      <c r="I245">
        <v>2799.89</v>
      </c>
      <c r="J245" t="s">
        <v>19</v>
      </c>
      <c r="K245" t="s">
        <v>83</v>
      </c>
      <c r="L245">
        <f t="shared" si="3"/>
        <v>8399.67</v>
      </c>
    </row>
    <row r="246" spans="1:12" x14ac:dyDescent="0.3">
      <c r="A246" t="s">
        <v>927</v>
      </c>
      <c r="B246" t="s">
        <v>483</v>
      </c>
      <c r="C246" t="s">
        <v>928</v>
      </c>
      <c r="D246" t="s">
        <v>929</v>
      </c>
      <c r="E246" t="s">
        <v>128</v>
      </c>
      <c r="F246" t="s">
        <v>48</v>
      </c>
      <c r="G246" t="s">
        <v>179</v>
      </c>
      <c r="H246">
        <v>7</v>
      </c>
      <c r="I246">
        <v>3747.88</v>
      </c>
      <c r="J246" t="s">
        <v>28</v>
      </c>
      <c r="K246" t="s">
        <v>20</v>
      </c>
      <c r="L246">
        <f t="shared" si="3"/>
        <v>26235.16</v>
      </c>
    </row>
    <row r="247" spans="1:12" x14ac:dyDescent="0.3">
      <c r="A247" t="s">
        <v>930</v>
      </c>
      <c r="B247" t="s">
        <v>931</v>
      </c>
      <c r="C247" t="s">
        <v>932</v>
      </c>
      <c r="D247" t="s">
        <v>933</v>
      </c>
      <c r="E247" t="s">
        <v>25</v>
      </c>
      <c r="F247" t="s">
        <v>48</v>
      </c>
      <c r="G247" t="s">
        <v>57</v>
      </c>
      <c r="H247">
        <v>9</v>
      </c>
      <c r="I247">
        <v>3454.16</v>
      </c>
      <c r="J247" t="s">
        <v>19</v>
      </c>
      <c r="K247" t="s">
        <v>20</v>
      </c>
      <c r="L247">
        <f t="shared" si="3"/>
        <v>31087.439999999999</v>
      </c>
    </row>
    <row r="248" spans="1:12" x14ac:dyDescent="0.3">
      <c r="A248" t="s">
        <v>934</v>
      </c>
      <c r="B248" t="s">
        <v>634</v>
      </c>
      <c r="C248" t="s">
        <v>935</v>
      </c>
      <c r="D248" t="s">
        <v>936</v>
      </c>
      <c r="E248" t="s">
        <v>62</v>
      </c>
      <c r="F248" t="s">
        <v>48</v>
      </c>
      <c r="G248" t="s">
        <v>49</v>
      </c>
      <c r="H248">
        <v>8</v>
      </c>
      <c r="I248">
        <v>1856.06</v>
      </c>
      <c r="J248" t="s">
        <v>50</v>
      </c>
      <c r="K248" t="s">
        <v>51</v>
      </c>
      <c r="L248">
        <f t="shared" si="3"/>
        <v>14848.48</v>
      </c>
    </row>
    <row r="249" spans="1:12" x14ac:dyDescent="0.3">
      <c r="A249" t="s">
        <v>937</v>
      </c>
      <c r="B249" t="s">
        <v>938</v>
      </c>
      <c r="C249" t="s">
        <v>939</v>
      </c>
      <c r="D249" t="s">
        <v>940</v>
      </c>
      <c r="E249" t="s">
        <v>34</v>
      </c>
      <c r="F249" t="s">
        <v>26</v>
      </c>
      <c r="G249" t="s">
        <v>27</v>
      </c>
      <c r="H249">
        <v>3</v>
      </c>
      <c r="I249">
        <v>3503.3</v>
      </c>
      <c r="J249" t="s">
        <v>19</v>
      </c>
      <c r="K249" t="s">
        <v>36</v>
      </c>
      <c r="L249">
        <f t="shared" si="3"/>
        <v>10509.900000000001</v>
      </c>
    </row>
    <row r="250" spans="1:12" x14ac:dyDescent="0.3">
      <c r="A250" t="s">
        <v>941</v>
      </c>
      <c r="B250" t="s">
        <v>942</v>
      </c>
      <c r="C250" t="s">
        <v>943</v>
      </c>
      <c r="D250" t="s">
        <v>256</v>
      </c>
      <c r="E250" t="s">
        <v>16</v>
      </c>
      <c r="F250" t="s">
        <v>48</v>
      </c>
      <c r="G250" t="s">
        <v>49</v>
      </c>
      <c r="H250">
        <v>6</v>
      </c>
      <c r="I250">
        <v>2496.94</v>
      </c>
      <c r="J250" t="s">
        <v>19</v>
      </c>
      <c r="K250" t="s">
        <v>43</v>
      </c>
      <c r="L250">
        <f t="shared" si="3"/>
        <v>14981.64</v>
      </c>
    </row>
    <row r="251" spans="1:12" x14ac:dyDescent="0.3">
      <c r="A251" t="s">
        <v>944</v>
      </c>
      <c r="B251" t="s">
        <v>328</v>
      </c>
      <c r="C251" t="s">
        <v>614</v>
      </c>
      <c r="D251" t="s">
        <v>203</v>
      </c>
      <c r="E251" t="s">
        <v>34</v>
      </c>
      <c r="F251" t="s">
        <v>77</v>
      </c>
      <c r="G251" t="s">
        <v>123</v>
      </c>
      <c r="H251">
        <v>5</v>
      </c>
      <c r="I251">
        <v>4282.6400000000003</v>
      </c>
      <c r="J251" t="s">
        <v>28</v>
      </c>
      <c r="K251" t="s">
        <v>43</v>
      </c>
      <c r="L251">
        <f t="shared" si="3"/>
        <v>21413.200000000001</v>
      </c>
    </row>
    <row r="252" spans="1:12" x14ac:dyDescent="0.3">
      <c r="A252" t="s">
        <v>945</v>
      </c>
      <c r="B252" t="s">
        <v>946</v>
      </c>
      <c r="C252" t="s">
        <v>637</v>
      </c>
      <c r="D252" t="s">
        <v>947</v>
      </c>
      <c r="E252" t="s">
        <v>104</v>
      </c>
      <c r="F252" t="s">
        <v>17</v>
      </c>
      <c r="G252" t="s">
        <v>188</v>
      </c>
      <c r="H252">
        <v>1</v>
      </c>
      <c r="I252">
        <v>1925.24</v>
      </c>
      <c r="J252" t="s">
        <v>42</v>
      </c>
      <c r="K252" t="s">
        <v>51</v>
      </c>
      <c r="L252">
        <f t="shared" si="3"/>
        <v>1925.24</v>
      </c>
    </row>
    <row r="253" spans="1:12" x14ac:dyDescent="0.3">
      <c r="A253" t="s">
        <v>948</v>
      </c>
      <c r="B253" t="s">
        <v>949</v>
      </c>
      <c r="C253" t="s">
        <v>950</v>
      </c>
      <c r="D253" t="s">
        <v>951</v>
      </c>
      <c r="E253" t="s">
        <v>104</v>
      </c>
      <c r="F253" t="s">
        <v>26</v>
      </c>
      <c r="G253" t="s">
        <v>27</v>
      </c>
      <c r="H253">
        <v>9</v>
      </c>
      <c r="I253">
        <v>1357.07</v>
      </c>
      <c r="J253" t="s">
        <v>28</v>
      </c>
      <c r="K253" t="s">
        <v>29</v>
      </c>
      <c r="L253">
        <f t="shared" si="3"/>
        <v>12213.63</v>
      </c>
    </row>
    <row r="254" spans="1:12" x14ac:dyDescent="0.3">
      <c r="A254" t="s">
        <v>952</v>
      </c>
      <c r="B254" t="s">
        <v>214</v>
      </c>
      <c r="C254" t="s">
        <v>953</v>
      </c>
      <c r="D254" t="s">
        <v>954</v>
      </c>
      <c r="E254" t="s">
        <v>56</v>
      </c>
      <c r="F254" t="s">
        <v>48</v>
      </c>
      <c r="G254" t="s">
        <v>63</v>
      </c>
      <c r="H254">
        <v>4</v>
      </c>
      <c r="I254">
        <v>2076.96</v>
      </c>
      <c r="J254" t="s">
        <v>50</v>
      </c>
      <c r="K254" t="s">
        <v>20</v>
      </c>
      <c r="L254">
        <f t="shared" si="3"/>
        <v>8307.84</v>
      </c>
    </row>
    <row r="255" spans="1:12" x14ac:dyDescent="0.3">
      <c r="A255" t="s">
        <v>955</v>
      </c>
      <c r="B255" t="s">
        <v>238</v>
      </c>
      <c r="C255" t="s">
        <v>956</v>
      </c>
      <c r="D255" t="s">
        <v>957</v>
      </c>
      <c r="E255" t="s">
        <v>104</v>
      </c>
      <c r="F255" t="s">
        <v>26</v>
      </c>
      <c r="G255" t="s">
        <v>296</v>
      </c>
      <c r="H255">
        <v>5</v>
      </c>
      <c r="I255">
        <v>4759.13</v>
      </c>
      <c r="J255" t="s">
        <v>50</v>
      </c>
      <c r="K255" t="s">
        <v>36</v>
      </c>
      <c r="L255">
        <f t="shared" si="3"/>
        <v>23795.65</v>
      </c>
    </row>
    <row r="256" spans="1:12" x14ac:dyDescent="0.3">
      <c r="A256" t="s">
        <v>958</v>
      </c>
      <c r="B256" t="s">
        <v>163</v>
      </c>
      <c r="C256" t="s">
        <v>959</v>
      </c>
      <c r="D256" t="s">
        <v>960</v>
      </c>
      <c r="E256" t="s">
        <v>62</v>
      </c>
      <c r="F256" t="s">
        <v>26</v>
      </c>
      <c r="G256" t="s">
        <v>115</v>
      </c>
      <c r="H256">
        <v>9</v>
      </c>
      <c r="I256">
        <v>1711.18</v>
      </c>
      <c r="J256" t="s">
        <v>28</v>
      </c>
      <c r="K256" t="s">
        <v>29</v>
      </c>
      <c r="L256">
        <f t="shared" si="3"/>
        <v>15400.62</v>
      </c>
    </row>
    <row r="257" spans="1:12" x14ac:dyDescent="0.3">
      <c r="A257" t="s">
        <v>961</v>
      </c>
      <c r="B257" t="s">
        <v>419</v>
      </c>
      <c r="C257" t="s">
        <v>962</v>
      </c>
      <c r="D257" t="s">
        <v>963</v>
      </c>
      <c r="E257" t="s">
        <v>95</v>
      </c>
      <c r="F257" t="s">
        <v>77</v>
      </c>
      <c r="G257" t="s">
        <v>78</v>
      </c>
      <c r="H257">
        <v>8</v>
      </c>
      <c r="I257">
        <v>593.64</v>
      </c>
      <c r="J257" t="s">
        <v>28</v>
      </c>
      <c r="K257" t="s">
        <v>83</v>
      </c>
      <c r="L257">
        <f t="shared" si="3"/>
        <v>4749.12</v>
      </c>
    </row>
    <row r="258" spans="1:12" x14ac:dyDescent="0.3">
      <c r="A258" t="s">
        <v>964</v>
      </c>
      <c r="B258" t="s">
        <v>965</v>
      </c>
      <c r="C258" t="s">
        <v>966</v>
      </c>
      <c r="D258" t="s">
        <v>967</v>
      </c>
      <c r="E258" t="s">
        <v>128</v>
      </c>
      <c r="F258" t="s">
        <v>26</v>
      </c>
      <c r="G258" t="s">
        <v>115</v>
      </c>
      <c r="H258">
        <v>4</v>
      </c>
      <c r="I258">
        <v>4139.0200000000004</v>
      </c>
      <c r="J258" t="s">
        <v>19</v>
      </c>
      <c r="K258" t="s">
        <v>83</v>
      </c>
      <c r="L258">
        <f t="shared" si="3"/>
        <v>16556.080000000002</v>
      </c>
    </row>
    <row r="259" spans="1:12" x14ac:dyDescent="0.3">
      <c r="A259" t="s">
        <v>968</v>
      </c>
      <c r="B259" t="s">
        <v>969</v>
      </c>
      <c r="C259" t="s">
        <v>186</v>
      </c>
      <c r="D259" t="s">
        <v>970</v>
      </c>
      <c r="E259" t="s">
        <v>104</v>
      </c>
      <c r="F259" t="s">
        <v>26</v>
      </c>
      <c r="G259" t="s">
        <v>208</v>
      </c>
      <c r="H259">
        <v>9</v>
      </c>
      <c r="I259">
        <v>3728.57</v>
      </c>
      <c r="J259" t="s">
        <v>50</v>
      </c>
      <c r="K259" t="s">
        <v>20</v>
      </c>
      <c r="L259">
        <f t="shared" ref="L259:L322" si="4">H259*I259</f>
        <v>33557.130000000005</v>
      </c>
    </row>
    <row r="260" spans="1:12" x14ac:dyDescent="0.3">
      <c r="A260" t="s">
        <v>971</v>
      </c>
      <c r="B260" t="s">
        <v>904</v>
      </c>
      <c r="C260" t="s">
        <v>972</v>
      </c>
      <c r="D260" t="s">
        <v>61</v>
      </c>
      <c r="E260" t="s">
        <v>95</v>
      </c>
      <c r="F260" t="s">
        <v>26</v>
      </c>
      <c r="G260" t="s">
        <v>296</v>
      </c>
      <c r="H260">
        <v>3</v>
      </c>
      <c r="I260">
        <v>1306.17</v>
      </c>
      <c r="J260" t="s">
        <v>42</v>
      </c>
      <c r="K260" t="s">
        <v>20</v>
      </c>
      <c r="L260">
        <f t="shared" si="4"/>
        <v>3918.51</v>
      </c>
    </row>
    <row r="261" spans="1:12" x14ac:dyDescent="0.3">
      <c r="A261" t="s">
        <v>973</v>
      </c>
      <c r="B261" t="s">
        <v>974</v>
      </c>
      <c r="C261" t="s">
        <v>975</v>
      </c>
      <c r="D261" t="s">
        <v>976</v>
      </c>
      <c r="E261" t="s">
        <v>104</v>
      </c>
      <c r="F261" t="s">
        <v>17</v>
      </c>
      <c r="G261" t="s">
        <v>18</v>
      </c>
      <c r="H261">
        <v>8</v>
      </c>
      <c r="I261">
        <v>4574.95</v>
      </c>
      <c r="J261" t="s">
        <v>42</v>
      </c>
      <c r="K261" t="s">
        <v>51</v>
      </c>
      <c r="L261">
        <f t="shared" si="4"/>
        <v>36599.599999999999</v>
      </c>
    </row>
    <row r="262" spans="1:12" x14ac:dyDescent="0.3">
      <c r="A262" t="s">
        <v>977</v>
      </c>
      <c r="B262" t="s">
        <v>978</v>
      </c>
      <c r="C262" t="s">
        <v>979</v>
      </c>
      <c r="D262" t="s">
        <v>933</v>
      </c>
      <c r="E262" t="s">
        <v>56</v>
      </c>
      <c r="F262" t="s">
        <v>17</v>
      </c>
      <c r="G262" t="s">
        <v>35</v>
      </c>
      <c r="H262">
        <v>7</v>
      </c>
      <c r="I262">
        <v>105.82</v>
      </c>
      <c r="J262" t="s">
        <v>19</v>
      </c>
      <c r="K262" t="s">
        <v>83</v>
      </c>
      <c r="L262">
        <f t="shared" si="4"/>
        <v>740.74</v>
      </c>
    </row>
    <row r="263" spans="1:12" x14ac:dyDescent="0.3">
      <c r="A263" t="s">
        <v>980</v>
      </c>
      <c r="B263" t="s">
        <v>393</v>
      </c>
      <c r="C263" t="s">
        <v>981</v>
      </c>
      <c r="D263" t="s">
        <v>982</v>
      </c>
      <c r="E263" t="s">
        <v>62</v>
      </c>
      <c r="F263" t="s">
        <v>26</v>
      </c>
      <c r="G263" t="s">
        <v>208</v>
      </c>
      <c r="H263">
        <v>4</v>
      </c>
      <c r="I263">
        <v>4615.93</v>
      </c>
      <c r="J263" t="s">
        <v>28</v>
      </c>
      <c r="K263" t="s">
        <v>20</v>
      </c>
      <c r="L263">
        <f t="shared" si="4"/>
        <v>18463.72</v>
      </c>
    </row>
    <row r="264" spans="1:12" x14ac:dyDescent="0.3">
      <c r="A264" t="s">
        <v>983</v>
      </c>
      <c r="B264" t="s">
        <v>155</v>
      </c>
      <c r="C264" t="s">
        <v>984</v>
      </c>
      <c r="D264" t="s">
        <v>407</v>
      </c>
      <c r="E264" t="s">
        <v>104</v>
      </c>
      <c r="F264" t="s">
        <v>77</v>
      </c>
      <c r="G264" t="s">
        <v>123</v>
      </c>
      <c r="H264">
        <v>9</v>
      </c>
      <c r="I264">
        <v>3469.57</v>
      </c>
      <c r="J264" t="s">
        <v>42</v>
      </c>
      <c r="K264" t="s">
        <v>29</v>
      </c>
      <c r="L264">
        <f t="shared" si="4"/>
        <v>31226.13</v>
      </c>
    </row>
    <row r="265" spans="1:12" x14ac:dyDescent="0.3">
      <c r="A265" t="s">
        <v>985</v>
      </c>
      <c r="B265" t="s">
        <v>483</v>
      </c>
      <c r="C265" t="s">
        <v>594</v>
      </c>
      <c r="D265" t="s">
        <v>986</v>
      </c>
      <c r="E265" t="s">
        <v>25</v>
      </c>
      <c r="F265" t="s">
        <v>26</v>
      </c>
      <c r="G265" t="s">
        <v>208</v>
      </c>
      <c r="H265">
        <v>5</v>
      </c>
      <c r="I265">
        <v>1098.1400000000001</v>
      </c>
      <c r="J265" t="s">
        <v>50</v>
      </c>
      <c r="K265" t="s">
        <v>43</v>
      </c>
      <c r="L265">
        <f t="shared" si="4"/>
        <v>5490.7000000000007</v>
      </c>
    </row>
    <row r="266" spans="1:12" x14ac:dyDescent="0.3">
      <c r="A266" t="s">
        <v>987</v>
      </c>
      <c r="B266" t="s">
        <v>988</v>
      </c>
      <c r="C266" t="s">
        <v>580</v>
      </c>
      <c r="D266" t="s">
        <v>989</v>
      </c>
      <c r="E266" t="s">
        <v>25</v>
      </c>
      <c r="F266" t="s">
        <v>26</v>
      </c>
      <c r="G266" t="s">
        <v>115</v>
      </c>
      <c r="H266">
        <v>3</v>
      </c>
      <c r="I266">
        <v>1610.75</v>
      </c>
      <c r="J266" t="s">
        <v>19</v>
      </c>
      <c r="K266" t="s">
        <v>83</v>
      </c>
      <c r="L266">
        <f t="shared" si="4"/>
        <v>4832.25</v>
      </c>
    </row>
    <row r="267" spans="1:12" x14ac:dyDescent="0.3">
      <c r="A267" t="s">
        <v>990</v>
      </c>
      <c r="B267" t="s">
        <v>991</v>
      </c>
      <c r="C267" t="s">
        <v>992</v>
      </c>
      <c r="D267" t="s">
        <v>993</v>
      </c>
      <c r="E267" t="s">
        <v>25</v>
      </c>
      <c r="F267" t="s">
        <v>17</v>
      </c>
      <c r="G267" t="s">
        <v>41</v>
      </c>
      <c r="H267">
        <v>1</v>
      </c>
      <c r="I267">
        <v>4954.99</v>
      </c>
      <c r="J267" t="s">
        <v>42</v>
      </c>
      <c r="K267" t="s">
        <v>83</v>
      </c>
      <c r="L267">
        <f t="shared" si="4"/>
        <v>4954.99</v>
      </c>
    </row>
    <row r="268" spans="1:12" x14ac:dyDescent="0.3">
      <c r="A268" t="s">
        <v>994</v>
      </c>
      <c r="B268" t="s">
        <v>593</v>
      </c>
      <c r="C268" t="s">
        <v>820</v>
      </c>
      <c r="D268" t="s">
        <v>670</v>
      </c>
      <c r="E268" t="s">
        <v>34</v>
      </c>
      <c r="F268" t="s">
        <v>77</v>
      </c>
      <c r="G268" t="s">
        <v>265</v>
      </c>
      <c r="H268">
        <v>1</v>
      </c>
      <c r="I268">
        <v>401.52</v>
      </c>
      <c r="J268" t="s">
        <v>42</v>
      </c>
      <c r="K268" t="s">
        <v>51</v>
      </c>
      <c r="L268">
        <f t="shared" si="4"/>
        <v>401.52</v>
      </c>
    </row>
    <row r="269" spans="1:12" x14ac:dyDescent="0.3">
      <c r="A269" t="s">
        <v>995</v>
      </c>
      <c r="B269" t="s">
        <v>996</v>
      </c>
      <c r="C269" t="s">
        <v>997</v>
      </c>
      <c r="D269" t="s">
        <v>998</v>
      </c>
      <c r="E269" t="s">
        <v>95</v>
      </c>
      <c r="F269" t="s">
        <v>48</v>
      </c>
      <c r="G269" t="s">
        <v>179</v>
      </c>
      <c r="H269">
        <v>9</v>
      </c>
      <c r="I269">
        <v>3628.83</v>
      </c>
      <c r="J269" t="s">
        <v>50</v>
      </c>
      <c r="K269" t="s">
        <v>20</v>
      </c>
      <c r="L269">
        <f t="shared" si="4"/>
        <v>32659.47</v>
      </c>
    </row>
    <row r="270" spans="1:12" x14ac:dyDescent="0.3">
      <c r="A270" t="s">
        <v>999</v>
      </c>
      <c r="B270" t="s">
        <v>464</v>
      </c>
      <c r="C270" t="s">
        <v>1000</v>
      </c>
      <c r="D270" t="s">
        <v>1001</v>
      </c>
      <c r="E270" t="s">
        <v>25</v>
      </c>
      <c r="F270" t="s">
        <v>77</v>
      </c>
      <c r="G270" t="s">
        <v>105</v>
      </c>
      <c r="H270">
        <v>6</v>
      </c>
      <c r="I270">
        <v>1684.57</v>
      </c>
      <c r="J270" t="s">
        <v>19</v>
      </c>
      <c r="K270" t="s">
        <v>51</v>
      </c>
      <c r="L270">
        <f t="shared" si="4"/>
        <v>10107.42</v>
      </c>
    </row>
    <row r="271" spans="1:12" x14ac:dyDescent="0.3">
      <c r="A271" t="s">
        <v>1002</v>
      </c>
      <c r="B271" t="s">
        <v>1003</v>
      </c>
      <c r="C271" t="s">
        <v>1004</v>
      </c>
      <c r="D271" t="s">
        <v>656</v>
      </c>
      <c r="E271" t="s">
        <v>34</v>
      </c>
      <c r="F271" t="s">
        <v>48</v>
      </c>
      <c r="G271" t="s">
        <v>110</v>
      </c>
      <c r="H271">
        <v>5</v>
      </c>
      <c r="I271">
        <v>1481.54</v>
      </c>
      <c r="J271" t="s">
        <v>28</v>
      </c>
      <c r="K271" t="s">
        <v>83</v>
      </c>
      <c r="L271">
        <f t="shared" si="4"/>
        <v>7407.7</v>
      </c>
    </row>
    <row r="272" spans="1:12" x14ac:dyDescent="0.3">
      <c r="A272" t="s">
        <v>1005</v>
      </c>
      <c r="B272" t="s">
        <v>1006</v>
      </c>
      <c r="C272" t="s">
        <v>1007</v>
      </c>
      <c r="D272" t="s">
        <v>835</v>
      </c>
      <c r="E272" t="s">
        <v>25</v>
      </c>
      <c r="F272" t="s">
        <v>17</v>
      </c>
      <c r="G272" t="s">
        <v>188</v>
      </c>
      <c r="H272">
        <v>8</v>
      </c>
      <c r="I272">
        <v>4470.0200000000004</v>
      </c>
      <c r="J272" t="s">
        <v>50</v>
      </c>
      <c r="K272" t="s">
        <v>36</v>
      </c>
      <c r="L272">
        <f t="shared" si="4"/>
        <v>35760.160000000003</v>
      </c>
    </row>
    <row r="273" spans="1:12" x14ac:dyDescent="0.3">
      <c r="A273" t="s">
        <v>1008</v>
      </c>
      <c r="B273" t="s">
        <v>494</v>
      </c>
      <c r="C273" t="s">
        <v>1009</v>
      </c>
      <c r="D273" t="s">
        <v>875</v>
      </c>
      <c r="E273" t="s">
        <v>25</v>
      </c>
      <c r="F273" t="s">
        <v>77</v>
      </c>
      <c r="G273" t="s">
        <v>171</v>
      </c>
      <c r="H273">
        <v>1</v>
      </c>
      <c r="I273">
        <v>3746.07</v>
      </c>
      <c r="J273" t="s">
        <v>42</v>
      </c>
      <c r="K273" t="s">
        <v>83</v>
      </c>
      <c r="L273">
        <f t="shared" si="4"/>
        <v>3746.07</v>
      </c>
    </row>
    <row r="274" spans="1:12" x14ac:dyDescent="0.3">
      <c r="A274" t="s">
        <v>1010</v>
      </c>
      <c r="B274" t="s">
        <v>1011</v>
      </c>
      <c r="C274" t="s">
        <v>1012</v>
      </c>
      <c r="D274" t="s">
        <v>1013</v>
      </c>
      <c r="E274" t="s">
        <v>34</v>
      </c>
      <c r="F274" t="s">
        <v>26</v>
      </c>
      <c r="G274" t="s">
        <v>115</v>
      </c>
      <c r="H274">
        <v>10</v>
      </c>
      <c r="I274">
        <v>51.08</v>
      </c>
      <c r="J274" t="s">
        <v>28</v>
      </c>
      <c r="K274" t="s">
        <v>51</v>
      </c>
      <c r="L274">
        <f t="shared" si="4"/>
        <v>510.79999999999995</v>
      </c>
    </row>
    <row r="275" spans="1:12" x14ac:dyDescent="0.3">
      <c r="A275" t="s">
        <v>1014</v>
      </c>
      <c r="B275" t="s">
        <v>1015</v>
      </c>
      <c r="C275" t="s">
        <v>1016</v>
      </c>
      <c r="D275" t="s">
        <v>1017</v>
      </c>
      <c r="E275" t="s">
        <v>95</v>
      </c>
      <c r="F275" t="s">
        <v>77</v>
      </c>
      <c r="G275" t="s">
        <v>105</v>
      </c>
      <c r="H275">
        <v>4</v>
      </c>
      <c r="I275">
        <v>4914.71</v>
      </c>
      <c r="J275" t="s">
        <v>28</v>
      </c>
      <c r="K275" t="s">
        <v>43</v>
      </c>
      <c r="L275">
        <f t="shared" si="4"/>
        <v>19658.84</v>
      </c>
    </row>
    <row r="276" spans="1:12" x14ac:dyDescent="0.3">
      <c r="A276" t="s">
        <v>1018</v>
      </c>
      <c r="B276" t="s">
        <v>1019</v>
      </c>
      <c r="C276" t="s">
        <v>344</v>
      </c>
      <c r="D276" t="s">
        <v>1020</v>
      </c>
      <c r="E276" t="s">
        <v>34</v>
      </c>
      <c r="F276" t="s">
        <v>17</v>
      </c>
      <c r="G276" t="s">
        <v>35</v>
      </c>
      <c r="H276">
        <v>6</v>
      </c>
      <c r="I276">
        <v>554.15</v>
      </c>
      <c r="J276" t="s">
        <v>50</v>
      </c>
      <c r="K276" t="s">
        <v>36</v>
      </c>
      <c r="L276">
        <f t="shared" si="4"/>
        <v>3324.8999999999996</v>
      </c>
    </row>
    <row r="277" spans="1:12" x14ac:dyDescent="0.3">
      <c r="A277" t="s">
        <v>1021</v>
      </c>
      <c r="B277" t="s">
        <v>176</v>
      </c>
      <c r="C277" t="s">
        <v>1022</v>
      </c>
      <c r="D277" t="s">
        <v>1023</v>
      </c>
      <c r="E277" t="s">
        <v>16</v>
      </c>
      <c r="F277" t="s">
        <v>17</v>
      </c>
      <c r="G277" t="s">
        <v>41</v>
      </c>
      <c r="H277">
        <v>5</v>
      </c>
      <c r="I277">
        <v>3809.6</v>
      </c>
      <c r="J277" t="s">
        <v>42</v>
      </c>
      <c r="K277" t="s">
        <v>51</v>
      </c>
      <c r="L277">
        <f t="shared" si="4"/>
        <v>19048</v>
      </c>
    </row>
    <row r="278" spans="1:12" x14ac:dyDescent="0.3">
      <c r="A278" t="s">
        <v>1024</v>
      </c>
      <c r="B278" t="s">
        <v>1025</v>
      </c>
      <c r="C278" t="s">
        <v>1026</v>
      </c>
      <c r="D278" t="s">
        <v>1027</v>
      </c>
      <c r="E278" t="s">
        <v>95</v>
      </c>
      <c r="F278" t="s">
        <v>26</v>
      </c>
      <c r="G278" t="s">
        <v>296</v>
      </c>
      <c r="H278">
        <v>10</v>
      </c>
      <c r="I278">
        <v>4976.0600000000004</v>
      </c>
      <c r="J278" t="s">
        <v>50</v>
      </c>
      <c r="K278" t="s">
        <v>83</v>
      </c>
      <c r="L278">
        <f t="shared" si="4"/>
        <v>49760.600000000006</v>
      </c>
    </row>
    <row r="279" spans="1:12" x14ac:dyDescent="0.3">
      <c r="A279" t="s">
        <v>1028</v>
      </c>
      <c r="B279" t="s">
        <v>873</v>
      </c>
      <c r="C279" t="s">
        <v>1029</v>
      </c>
      <c r="D279" t="s">
        <v>40</v>
      </c>
      <c r="E279" t="s">
        <v>128</v>
      </c>
      <c r="F279" t="s">
        <v>26</v>
      </c>
      <c r="G279" t="s">
        <v>166</v>
      </c>
      <c r="H279">
        <v>1</v>
      </c>
      <c r="I279">
        <v>1640.64</v>
      </c>
      <c r="J279" t="s">
        <v>28</v>
      </c>
      <c r="K279" t="s">
        <v>83</v>
      </c>
      <c r="L279">
        <f t="shared" si="4"/>
        <v>1640.64</v>
      </c>
    </row>
    <row r="280" spans="1:12" x14ac:dyDescent="0.3">
      <c r="A280" t="s">
        <v>1030</v>
      </c>
      <c r="B280" t="s">
        <v>914</v>
      </c>
      <c r="C280" t="s">
        <v>66</v>
      </c>
      <c r="D280" t="s">
        <v>998</v>
      </c>
      <c r="E280" t="s">
        <v>95</v>
      </c>
      <c r="F280" t="s">
        <v>26</v>
      </c>
      <c r="G280" t="s">
        <v>166</v>
      </c>
      <c r="H280">
        <v>4</v>
      </c>
      <c r="I280">
        <v>4341.32</v>
      </c>
      <c r="J280" t="s">
        <v>28</v>
      </c>
      <c r="K280" t="s">
        <v>83</v>
      </c>
      <c r="L280">
        <f t="shared" si="4"/>
        <v>17365.28</v>
      </c>
    </row>
    <row r="281" spans="1:12" x14ac:dyDescent="0.3">
      <c r="A281" t="s">
        <v>1031</v>
      </c>
      <c r="B281" t="s">
        <v>1032</v>
      </c>
      <c r="C281" t="s">
        <v>1033</v>
      </c>
      <c r="D281" t="s">
        <v>1034</v>
      </c>
      <c r="E281" t="s">
        <v>128</v>
      </c>
      <c r="F281" t="s">
        <v>17</v>
      </c>
      <c r="G281" t="s">
        <v>18</v>
      </c>
      <c r="H281">
        <v>9</v>
      </c>
      <c r="I281">
        <v>1553.01</v>
      </c>
      <c r="J281" t="s">
        <v>28</v>
      </c>
      <c r="K281" t="s">
        <v>83</v>
      </c>
      <c r="L281">
        <f t="shared" si="4"/>
        <v>13977.09</v>
      </c>
    </row>
    <row r="282" spans="1:12" x14ac:dyDescent="0.3">
      <c r="A282" t="s">
        <v>1035</v>
      </c>
      <c r="B282" t="s">
        <v>426</v>
      </c>
      <c r="C282" t="s">
        <v>1036</v>
      </c>
      <c r="D282" t="s">
        <v>1037</v>
      </c>
      <c r="E282" t="s">
        <v>16</v>
      </c>
      <c r="F282" t="s">
        <v>48</v>
      </c>
      <c r="G282" t="s">
        <v>49</v>
      </c>
      <c r="H282">
        <v>8</v>
      </c>
      <c r="I282">
        <v>2962.81</v>
      </c>
      <c r="J282" t="s">
        <v>28</v>
      </c>
      <c r="K282" t="s">
        <v>43</v>
      </c>
      <c r="L282">
        <f t="shared" si="4"/>
        <v>23702.48</v>
      </c>
    </row>
    <row r="283" spans="1:12" x14ac:dyDescent="0.3">
      <c r="A283" t="s">
        <v>1038</v>
      </c>
      <c r="B283" t="s">
        <v>1039</v>
      </c>
      <c r="C283" t="s">
        <v>1040</v>
      </c>
      <c r="D283" t="s">
        <v>1041</v>
      </c>
      <c r="E283" t="s">
        <v>95</v>
      </c>
      <c r="F283" t="s">
        <v>48</v>
      </c>
      <c r="G283" t="s">
        <v>179</v>
      </c>
      <c r="H283">
        <v>3</v>
      </c>
      <c r="I283">
        <v>2934.26</v>
      </c>
      <c r="J283" t="s">
        <v>28</v>
      </c>
      <c r="K283" t="s">
        <v>20</v>
      </c>
      <c r="L283">
        <f t="shared" si="4"/>
        <v>8802.7800000000007</v>
      </c>
    </row>
    <row r="284" spans="1:12" x14ac:dyDescent="0.3">
      <c r="A284" t="s">
        <v>1042</v>
      </c>
      <c r="B284" t="s">
        <v>230</v>
      </c>
      <c r="C284" t="s">
        <v>446</v>
      </c>
      <c r="D284" t="s">
        <v>1043</v>
      </c>
      <c r="E284" t="s">
        <v>128</v>
      </c>
      <c r="F284" t="s">
        <v>26</v>
      </c>
      <c r="G284" t="s">
        <v>166</v>
      </c>
      <c r="H284">
        <v>3</v>
      </c>
      <c r="I284">
        <v>3425.97</v>
      </c>
      <c r="J284" t="s">
        <v>19</v>
      </c>
      <c r="K284" t="s">
        <v>83</v>
      </c>
      <c r="L284">
        <f t="shared" si="4"/>
        <v>10277.91</v>
      </c>
    </row>
    <row r="285" spans="1:12" x14ac:dyDescent="0.3">
      <c r="A285" t="s">
        <v>1044</v>
      </c>
      <c r="B285" t="s">
        <v>1045</v>
      </c>
      <c r="C285" t="s">
        <v>1046</v>
      </c>
      <c r="D285" t="s">
        <v>1047</v>
      </c>
      <c r="E285" t="s">
        <v>16</v>
      </c>
      <c r="F285" t="s">
        <v>26</v>
      </c>
      <c r="G285" t="s">
        <v>115</v>
      </c>
      <c r="H285">
        <v>3</v>
      </c>
      <c r="I285">
        <v>1083.9000000000001</v>
      </c>
      <c r="J285" t="s">
        <v>50</v>
      </c>
      <c r="K285" t="s">
        <v>51</v>
      </c>
      <c r="L285">
        <f t="shared" si="4"/>
        <v>3251.7000000000003</v>
      </c>
    </row>
    <row r="286" spans="1:12" x14ac:dyDescent="0.3">
      <c r="A286" t="s">
        <v>1048</v>
      </c>
      <c r="B286" t="s">
        <v>750</v>
      </c>
      <c r="C286" t="s">
        <v>1049</v>
      </c>
      <c r="D286" t="s">
        <v>1050</v>
      </c>
      <c r="E286" t="s">
        <v>34</v>
      </c>
      <c r="F286" t="s">
        <v>26</v>
      </c>
      <c r="G286" t="s">
        <v>115</v>
      </c>
      <c r="H286">
        <v>4</v>
      </c>
      <c r="I286">
        <v>588.19000000000005</v>
      </c>
      <c r="J286" t="s">
        <v>19</v>
      </c>
      <c r="K286" t="s">
        <v>29</v>
      </c>
      <c r="L286">
        <f t="shared" si="4"/>
        <v>2352.7600000000002</v>
      </c>
    </row>
    <row r="287" spans="1:12" x14ac:dyDescent="0.3">
      <c r="A287" t="s">
        <v>1051</v>
      </c>
      <c r="B287" t="s">
        <v>1052</v>
      </c>
      <c r="C287" t="s">
        <v>1053</v>
      </c>
      <c r="D287" t="s">
        <v>289</v>
      </c>
      <c r="E287" t="s">
        <v>16</v>
      </c>
      <c r="F287" t="s">
        <v>17</v>
      </c>
      <c r="G287" t="s">
        <v>188</v>
      </c>
      <c r="H287">
        <v>7</v>
      </c>
      <c r="I287">
        <v>535.13</v>
      </c>
      <c r="J287" t="s">
        <v>42</v>
      </c>
      <c r="K287" t="s">
        <v>43</v>
      </c>
      <c r="L287">
        <f t="shared" si="4"/>
        <v>3745.91</v>
      </c>
    </row>
    <row r="288" spans="1:12" x14ac:dyDescent="0.3">
      <c r="A288" t="s">
        <v>1054</v>
      </c>
      <c r="B288" t="s">
        <v>59</v>
      </c>
      <c r="C288" t="s">
        <v>1055</v>
      </c>
      <c r="D288" t="s">
        <v>1056</v>
      </c>
      <c r="E288" t="s">
        <v>95</v>
      </c>
      <c r="F288" t="s">
        <v>26</v>
      </c>
      <c r="G288" t="s">
        <v>166</v>
      </c>
      <c r="H288">
        <v>8</v>
      </c>
      <c r="I288">
        <v>2449.63</v>
      </c>
      <c r="J288" t="s">
        <v>28</v>
      </c>
      <c r="K288" t="s">
        <v>43</v>
      </c>
      <c r="L288">
        <f t="shared" si="4"/>
        <v>19597.04</v>
      </c>
    </row>
    <row r="289" spans="1:12" x14ac:dyDescent="0.3">
      <c r="A289" t="s">
        <v>1057</v>
      </c>
      <c r="B289" t="s">
        <v>1058</v>
      </c>
      <c r="C289" t="s">
        <v>1059</v>
      </c>
      <c r="D289" t="s">
        <v>1060</v>
      </c>
      <c r="E289" t="s">
        <v>25</v>
      </c>
      <c r="F289" t="s">
        <v>26</v>
      </c>
      <c r="G289" t="s">
        <v>115</v>
      </c>
      <c r="H289">
        <v>9</v>
      </c>
      <c r="I289">
        <v>4367.42</v>
      </c>
      <c r="J289" t="s">
        <v>19</v>
      </c>
      <c r="K289" t="s">
        <v>43</v>
      </c>
      <c r="L289">
        <f t="shared" si="4"/>
        <v>39306.78</v>
      </c>
    </row>
    <row r="290" spans="1:12" x14ac:dyDescent="0.3">
      <c r="A290" t="s">
        <v>1061</v>
      </c>
      <c r="B290" t="s">
        <v>393</v>
      </c>
      <c r="C290" t="s">
        <v>1062</v>
      </c>
      <c r="D290" t="s">
        <v>1063</v>
      </c>
      <c r="E290" t="s">
        <v>95</v>
      </c>
      <c r="F290" t="s">
        <v>48</v>
      </c>
      <c r="G290" t="s">
        <v>63</v>
      </c>
      <c r="H290">
        <v>1</v>
      </c>
      <c r="I290">
        <v>3048.12</v>
      </c>
      <c r="J290" t="s">
        <v>28</v>
      </c>
      <c r="K290" t="s">
        <v>51</v>
      </c>
      <c r="L290">
        <f t="shared" si="4"/>
        <v>3048.12</v>
      </c>
    </row>
    <row r="291" spans="1:12" x14ac:dyDescent="0.3">
      <c r="A291" t="s">
        <v>1064</v>
      </c>
      <c r="B291" t="s">
        <v>676</v>
      </c>
      <c r="C291" t="s">
        <v>1065</v>
      </c>
      <c r="D291" t="s">
        <v>792</v>
      </c>
      <c r="E291" t="s">
        <v>128</v>
      </c>
      <c r="F291" t="s">
        <v>48</v>
      </c>
      <c r="G291" t="s">
        <v>57</v>
      </c>
      <c r="H291">
        <v>4</v>
      </c>
      <c r="I291">
        <v>1747.65</v>
      </c>
      <c r="J291" t="s">
        <v>19</v>
      </c>
      <c r="K291" t="s">
        <v>51</v>
      </c>
      <c r="L291">
        <f t="shared" si="4"/>
        <v>6990.6</v>
      </c>
    </row>
    <row r="292" spans="1:12" x14ac:dyDescent="0.3">
      <c r="A292" t="s">
        <v>1066</v>
      </c>
      <c r="B292" t="s">
        <v>1067</v>
      </c>
      <c r="C292" t="s">
        <v>1068</v>
      </c>
      <c r="D292" t="s">
        <v>157</v>
      </c>
      <c r="E292" t="s">
        <v>56</v>
      </c>
      <c r="F292" t="s">
        <v>48</v>
      </c>
      <c r="G292" t="s">
        <v>57</v>
      </c>
      <c r="H292">
        <v>8</v>
      </c>
      <c r="I292">
        <v>2835.49</v>
      </c>
      <c r="J292" t="s">
        <v>19</v>
      </c>
      <c r="K292" t="s">
        <v>51</v>
      </c>
      <c r="L292">
        <f t="shared" si="4"/>
        <v>22683.919999999998</v>
      </c>
    </row>
    <row r="293" spans="1:12" x14ac:dyDescent="0.3">
      <c r="A293" t="s">
        <v>1069</v>
      </c>
      <c r="B293" t="s">
        <v>1070</v>
      </c>
      <c r="C293" t="s">
        <v>688</v>
      </c>
      <c r="D293" t="s">
        <v>1071</v>
      </c>
      <c r="E293" t="s">
        <v>95</v>
      </c>
      <c r="F293" t="s">
        <v>26</v>
      </c>
      <c r="G293" t="s">
        <v>166</v>
      </c>
      <c r="H293">
        <v>4</v>
      </c>
      <c r="I293">
        <v>3412.98</v>
      </c>
      <c r="J293" t="s">
        <v>50</v>
      </c>
      <c r="K293" t="s">
        <v>20</v>
      </c>
      <c r="L293">
        <f t="shared" si="4"/>
        <v>13651.92</v>
      </c>
    </row>
    <row r="294" spans="1:12" x14ac:dyDescent="0.3">
      <c r="A294" t="s">
        <v>1072</v>
      </c>
      <c r="B294" t="s">
        <v>579</v>
      </c>
      <c r="C294" t="s">
        <v>1073</v>
      </c>
      <c r="D294" t="s">
        <v>867</v>
      </c>
      <c r="E294" t="s">
        <v>104</v>
      </c>
      <c r="F294" t="s">
        <v>77</v>
      </c>
      <c r="G294" t="s">
        <v>78</v>
      </c>
      <c r="H294">
        <v>2</v>
      </c>
      <c r="I294">
        <v>769.68</v>
      </c>
      <c r="J294" t="s">
        <v>50</v>
      </c>
      <c r="K294" t="s">
        <v>51</v>
      </c>
      <c r="L294">
        <f t="shared" si="4"/>
        <v>1539.36</v>
      </c>
    </row>
    <row r="295" spans="1:12" x14ac:dyDescent="0.3">
      <c r="A295" t="s">
        <v>1074</v>
      </c>
      <c r="B295" t="s">
        <v>1075</v>
      </c>
      <c r="C295" t="s">
        <v>1076</v>
      </c>
      <c r="D295" t="s">
        <v>1077</v>
      </c>
      <c r="E295" t="s">
        <v>128</v>
      </c>
      <c r="F295" t="s">
        <v>17</v>
      </c>
      <c r="G295" t="s">
        <v>41</v>
      </c>
      <c r="H295">
        <v>1</v>
      </c>
      <c r="I295">
        <v>4939.38</v>
      </c>
      <c r="J295" t="s">
        <v>50</v>
      </c>
      <c r="K295" t="s">
        <v>20</v>
      </c>
      <c r="L295">
        <f t="shared" si="4"/>
        <v>4939.38</v>
      </c>
    </row>
    <row r="296" spans="1:12" x14ac:dyDescent="0.3">
      <c r="A296" t="s">
        <v>1078</v>
      </c>
      <c r="B296" t="s">
        <v>1079</v>
      </c>
      <c r="C296" t="s">
        <v>1080</v>
      </c>
      <c r="D296" t="s">
        <v>1081</v>
      </c>
      <c r="E296" t="s">
        <v>34</v>
      </c>
      <c r="F296" t="s">
        <v>48</v>
      </c>
      <c r="G296" t="s">
        <v>49</v>
      </c>
      <c r="H296">
        <v>5</v>
      </c>
      <c r="I296">
        <v>2340.17</v>
      </c>
      <c r="J296" t="s">
        <v>42</v>
      </c>
      <c r="K296" t="s">
        <v>29</v>
      </c>
      <c r="L296">
        <f t="shared" si="4"/>
        <v>11700.85</v>
      </c>
    </row>
    <row r="297" spans="1:12" x14ac:dyDescent="0.3">
      <c r="A297" t="s">
        <v>1082</v>
      </c>
      <c r="B297" t="s">
        <v>639</v>
      </c>
      <c r="C297" t="s">
        <v>624</v>
      </c>
      <c r="D297" t="s">
        <v>511</v>
      </c>
      <c r="E297" t="s">
        <v>25</v>
      </c>
      <c r="F297" t="s">
        <v>17</v>
      </c>
      <c r="G297" t="s">
        <v>188</v>
      </c>
      <c r="H297">
        <v>3</v>
      </c>
      <c r="I297">
        <v>1218.0999999999999</v>
      </c>
      <c r="J297" t="s">
        <v>42</v>
      </c>
      <c r="K297" t="s">
        <v>36</v>
      </c>
      <c r="L297">
        <f t="shared" si="4"/>
        <v>3654.2999999999997</v>
      </c>
    </row>
    <row r="298" spans="1:12" x14ac:dyDescent="0.3">
      <c r="A298" t="s">
        <v>1083</v>
      </c>
      <c r="B298" t="s">
        <v>557</v>
      </c>
      <c r="C298" t="s">
        <v>1084</v>
      </c>
      <c r="D298" t="s">
        <v>1085</v>
      </c>
      <c r="E298" t="s">
        <v>95</v>
      </c>
      <c r="F298" t="s">
        <v>77</v>
      </c>
      <c r="G298" t="s">
        <v>78</v>
      </c>
      <c r="H298">
        <v>7</v>
      </c>
      <c r="I298">
        <v>490.64</v>
      </c>
      <c r="J298" t="s">
        <v>50</v>
      </c>
      <c r="K298" t="s">
        <v>36</v>
      </c>
      <c r="L298">
        <f t="shared" si="4"/>
        <v>3434.48</v>
      </c>
    </row>
    <row r="299" spans="1:12" x14ac:dyDescent="0.3">
      <c r="A299" t="s">
        <v>1086</v>
      </c>
      <c r="B299" t="s">
        <v>780</v>
      </c>
      <c r="C299" t="s">
        <v>1087</v>
      </c>
      <c r="D299" t="s">
        <v>1088</v>
      </c>
      <c r="E299" t="s">
        <v>62</v>
      </c>
      <c r="F299" t="s">
        <v>17</v>
      </c>
      <c r="G299" t="s">
        <v>188</v>
      </c>
      <c r="H299">
        <v>4</v>
      </c>
      <c r="I299">
        <v>4520.18</v>
      </c>
      <c r="J299" t="s">
        <v>50</v>
      </c>
      <c r="K299" t="s">
        <v>51</v>
      </c>
      <c r="L299">
        <f t="shared" si="4"/>
        <v>18080.72</v>
      </c>
    </row>
    <row r="300" spans="1:12" x14ac:dyDescent="0.3">
      <c r="A300" t="s">
        <v>1089</v>
      </c>
      <c r="B300" t="s">
        <v>895</v>
      </c>
      <c r="C300" t="s">
        <v>1090</v>
      </c>
      <c r="D300" t="s">
        <v>1091</v>
      </c>
      <c r="E300" t="s">
        <v>56</v>
      </c>
      <c r="F300" t="s">
        <v>17</v>
      </c>
      <c r="G300" t="s">
        <v>41</v>
      </c>
      <c r="H300">
        <v>2</v>
      </c>
      <c r="I300">
        <v>2394.79</v>
      </c>
      <c r="J300" t="s">
        <v>50</v>
      </c>
      <c r="K300" t="s">
        <v>83</v>
      </c>
      <c r="L300">
        <f t="shared" si="4"/>
        <v>4789.58</v>
      </c>
    </row>
    <row r="301" spans="1:12" x14ac:dyDescent="0.3">
      <c r="A301" t="s">
        <v>1092</v>
      </c>
      <c r="B301" t="s">
        <v>1093</v>
      </c>
      <c r="C301" t="s">
        <v>1094</v>
      </c>
      <c r="D301" t="s">
        <v>1095</v>
      </c>
      <c r="E301" t="s">
        <v>128</v>
      </c>
      <c r="F301" t="s">
        <v>17</v>
      </c>
      <c r="G301" t="s">
        <v>18</v>
      </c>
      <c r="H301">
        <v>3</v>
      </c>
      <c r="I301">
        <v>4847.74</v>
      </c>
      <c r="J301" t="s">
        <v>50</v>
      </c>
      <c r="K301" t="s">
        <v>51</v>
      </c>
      <c r="L301">
        <f t="shared" si="4"/>
        <v>14543.22</v>
      </c>
    </row>
    <row r="302" spans="1:12" x14ac:dyDescent="0.3">
      <c r="A302" t="s">
        <v>1096</v>
      </c>
      <c r="B302" t="s">
        <v>1097</v>
      </c>
      <c r="C302" t="s">
        <v>1098</v>
      </c>
      <c r="D302" t="s">
        <v>1099</v>
      </c>
      <c r="E302" t="s">
        <v>25</v>
      </c>
      <c r="F302" t="s">
        <v>48</v>
      </c>
      <c r="G302" t="s">
        <v>179</v>
      </c>
      <c r="H302">
        <v>2</v>
      </c>
      <c r="I302">
        <v>3276.61</v>
      </c>
      <c r="J302" t="s">
        <v>42</v>
      </c>
      <c r="K302" t="s">
        <v>83</v>
      </c>
      <c r="L302">
        <f t="shared" si="4"/>
        <v>6553.22</v>
      </c>
    </row>
    <row r="303" spans="1:12" x14ac:dyDescent="0.3">
      <c r="A303" t="s">
        <v>1100</v>
      </c>
      <c r="B303" t="s">
        <v>151</v>
      </c>
      <c r="C303" t="s">
        <v>1101</v>
      </c>
      <c r="D303" t="s">
        <v>1102</v>
      </c>
      <c r="E303" t="s">
        <v>16</v>
      </c>
      <c r="F303" t="s">
        <v>26</v>
      </c>
      <c r="G303" t="s">
        <v>296</v>
      </c>
      <c r="H303">
        <v>6</v>
      </c>
      <c r="I303">
        <v>3446.15</v>
      </c>
      <c r="J303" t="s">
        <v>19</v>
      </c>
      <c r="K303" t="s">
        <v>20</v>
      </c>
      <c r="L303">
        <f t="shared" si="4"/>
        <v>20676.900000000001</v>
      </c>
    </row>
    <row r="304" spans="1:12" x14ac:dyDescent="0.3">
      <c r="A304" t="s">
        <v>1103</v>
      </c>
      <c r="B304" t="s">
        <v>630</v>
      </c>
      <c r="C304" t="s">
        <v>263</v>
      </c>
      <c r="D304" t="s">
        <v>863</v>
      </c>
      <c r="E304" t="s">
        <v>62</v>
      </c>
      <c r="F304" t="s">
        <v>48</v>
      </c>
      <c r="G304" t="s">
        <v>57</v>
      </c>
      <c r="H304">
        <v>10</v>
      </c>
      <c r="I304">
        <v>3936.75</v>
      </c>
      <c r="J304" t="s">
        <v>42</v>
      </c>
      <c r="K304" t="s">
        <v>36</v>
      </c>
      <c r="L304">
        <f t="shared" si="4"/>
        <v>39367.5</v>
      </c>
    </row>
    <row r="305" spans="1:12" x14ac:dyDescent="0.3">
      <c r="A305" t="s">
        <v>1104</v>
      </c>
      <c r="B305" t="s">
        <v>1105</v>
      </c>
      <c r="C305" t="s">
        <v>1106</v>
      </c>
      <c r="D305" t="s">
        <v>678</v>
      </c>
      <c r="E305" t="s">
        <v>128</v>
      </c>
      <c r="F305" t="s">
        <v>77</v>
      </c>
      <c r="G305" t="s">
        <v>78</v>
      </c>
      <c r="H305">
        <v>3</v>
      </c>
      <c r="I305">
        <v>1734.71</v>
      </c>
      <c r="J305" t="s">
        <v>28</v>
      </c>
      <c r="K305" t="s">
        <v>20</v>
      </c>
      <c r="L305">
        <f t="shared" si="4"/>
        <v>5204.13</v>
      </c>
    </row>
    <row r="306" spans="1:12" x14ac:dyDescent="0.3">
      <c r="A306" t="s">
        <v>1107</v>
      </c>
      <c r="B306" t="s">
        <v>519</v>
      </c>
      <c r="C306" t="s">
        <v>402</v>
      </c>
      <c r="D306" t="s">
        <v>1108</v>
      </c>
      <c r="E306" t="s">
        <v>104</v>
      </c>
      <c r="F306" t="s">
        <v>26</v>
      </c>
      <c r="G306" t="s">
        <v>208</v>
      </c>
      <c r="H306">
        <v>9</v>
      </c>
      <c r="I306">
        <v>1119.52</v>
      </c>
      <c r="J306" t="s">
        <v>42</v>
      </c>
      <c r="K306" t="s">
        <v>51</v>
      </c>
      <c r="L306">
        <f t="shared" si="4"/>
        <v>10075.68</v>
      </c>
    </row>
    <row r="307" spans="1:12" x14ac:dyDescent="0.3">
      <c r="A307" t="s">
        <v>1109</v>
      </c>
      <c r="B307" t="s">
        <v>1110</v>
      </c>
      <c r="C307" t="s">
        <v>1111</v>
      </c>
      <c r="D307" t="s">
        <v>1060</v>
      </c>
      <c r="E307" t="s">
        <v>104</v>
      </c>
      <c r="F307" t="s">
        <v>26</v>
      </c>
      <c r="G307" t="s">
        <v>208</v>
      </c>
      <c r="H307">
        <v>5</v>
      </c>
      <c r="I307">
        <v>94.01</v>
      </c>
      <c r="J307" t="s">
        <v>19</v>
      </c>
      <c r="K307" t="s">
        <v>43</v>
      </c>
      <c r="L307">
        <f t="shared" si="4"/>
        <v>470.05</v>
      </c>
    </row>
    <row r="308" spans="1:12" x14ac:dyDescent="0.3">
      <c r="A308" t="s">
        <v>1112</v>
      </c>
      <c r="B308" t="s">
        <v>1113</v>
      </c>
      <c r="C308" t="s">
        <v>617</v>
      </c>
      <c r="D308" t="s">
        <v>1114</v>
      </c>
      <c r="E308" t="s">
        <v>25</v>
      </c>
      <c r="F308" t="s">
        <v>77</v>
      </c>
      <c r="G308" t="s">
        <v>78</v>
      </c>
      <c r="H308">
        <v>3</v>
      </c>
      <c r="I308">
        <v>4412.05</v>
      </c>
      <c r="J308" t="s">
        <v>19</v>
      </c>
      <c r="K308" t="s">
        <v>83</v>
      </c>
      <c r="L308">
        <f t="shared" si="4"/>
        <v>13236.150000000001</v>
      </c>
    </row>
    <row r="309" spans="1:12" x14ac:dyDescent="0.3">
      <c r="A309" t="s">
        <v>1115</v>
      </c>
      <c r="B309" t="s">
        <v>1019</v>
      </c>
      <c r="C309" t="s">
        <v>1116</v>
      </c>
      <c r="D309" t="s">
        <v>1117</v>
      </c>
      <c r="E309" t="s">
        <v>104</v>
      </c>
      <c r="F309" t="s">
        <v>48</v>
      </c>
      <c r="G309" t="s">
        <v>49</v>
      </c>
      <c r="H309">
        <v>3</v>
      </c>
      <c r="I309">
        <v>1558.63</v>
      </c>
      <c r="J309" t="s">
        <v>19</v>
      </c>
      <c r="K309" t="s">
        <v>29</v>
      </c>
      <c r="L309">
        <f t="shared" si="4"/>
        <v>4675.8900000000003</v>
      </c>
    </row>
    <row r="310" spans="1:12" x14ac:dyDescent="0.3">
      <c r="A310" t="s">
        <v>1118</v>
      </c>
      <c r="B310" t="s">
        <v>1119</v>
      </c>
      <c r="C310" t="s">
        <v>1120</v>
      </c>
      <c r="D310" t="s">
        <v>1121</v>
      </c>
      <c r="E310" t="s">
        <v>16</v>
      </c>
      <c r="F310" t="s">
        <v>26</v>
      </c>
      <c r="G310" t="s">
        <v>115</v>
      </c>
      <c r="H310">
        <v>6</v>
      </c>
      <c r="I310">
        <v>2916.86</v>
      </c>
      <c r="J310" t="s">
        <v>28</v>
      </c>
      <c r="K310" t="s">
        <v>51</v>
      </c>
      <c r="L310">
        <f t="shared" si="4"/>
        <v>17501.16</v>
      </c>
    </row>
    <row r="311" spans="1:12" x14ac:dyDescent="0.3">
      <c r="A311" t="s">
        <v>1122</v>
      </c>
      <c r="B311" t="s">
        <v>924</v>
      </c>
      <c r="C311" t="s">
        <v>1123</v>
      </c>
      <c r="D311" t="s">
        <v>1124</v>
      </c>
      <c r="E311" t="s">
        <v>56</v>
      </c>
      <c r="F311" t="s">
        <v>77</v>
      </c>
      <c r="G311" t="s">
        <v>105</v>
      </c>
      <c r="H311">
        <v>2</v>
      </c>
      <c r="I311">
        <v>3830.28</v>
      </c>
      <c r="J311" t="s">
        <v>42</v>
      </c>
      <c r="K311" t="s">
        <v>20</v>
      </c>
      <c r="L311">
        <f t="shared" si="4"/>
        <v>7660.56</v>
      </c>
    </row>
    <row r="312" spans="1:12" x14ac:dyDescent="0.3">
      <c r="A312" t="s">
        <v>1125</v>
      </c>
      <c r="B312" t="s">
        <v>130</v>
      </c>
      <c r="C312" t="s">
        <v>1126</v>
      </c>
      <c r="D312" t="s">
        <v>132</v>
      </c>
      <c r="E312" t="s">
        <v>128</v>
      </c>
      <c r="F312" t="s">
        <v>17</v>
      </c>
      <c r="G312" t="s">
        <v>18</v>
      </c>
      <c r="H312">
        <v>3</v>
      </c>
      <c r="I312">
        <v>859.49</v>
      </c>
      <c r="J312" t="s">
        <v>28</v>
      </c>
      <c r="K312" t="s">
        <v>51</v>
      </c>
      <c r="L312">
        <f t="shared" si="4"/>
        <v>2578.4700000000003</v>
      </c>
    </row>
    <row r="313" spans="1:12" x14ac:dyDescent="0.3">
      <c r="A313" t="s">
        <v>1127</v>
      </c>
      <c r="B313" t="s">
        <v>238</v>
      </c>
      <c r="C313" t="s">
        <v>1128</v>
      </c>
      <c r="D313" t="s">
        <v>1129</v>
      </c>
      <c r="E313" t="s">
        <v>95</v>
      </c>
      <c r="F313" t="s">
        <v>48</v>
      </c>
      <c r="G313" t="s">
        <v>49</v>
      </c>
      <c r="H313">
        <v>3</v>
      </c>
      <c r="I313">
        <v>4485.72</v>
      </c>
      <c r="J313" t="s">
        <v>19</v>
      </c>
      <c r="K313" t="s">
        <v>43</v>
      </c>
      <c r="L313">
        <f t="shared" si="4"/>
        <v>13457.16</v>
      </c>
    </row>
    <row r="314" spans="1:12" x14ac:dyDescent="0.3">
      <c r="A314" t="s">
        <v>1130</v>
      </c>
      <c r="B314" t="s">
        <v>1131</v>
      </c>
      <c r="C314" t="s">
        <v>1132</v>
      </c>
      <c r="D314" t="s">
        <v>220</v>
      </c>
      <c r="E314" t="s">
        <v>34</v>
      </c>
      <c r="F314" t="s">
        <v>17</v>
      </c>
      <c r="G314" t="s">
        <v>188</v>
      </c>
      <c r="H314">
        <v>10</v>
      </c>
      <c r="I314">
        <v>4521.1000000000004</v>
      </c>
      <c r="J314" t="s">
        <v>42</v>
      </c>
      <c r="K314" t="s">
        <v>29</v>
      </c>
      <c r="L314">
        <f t="shared" si="4"/>
        <v>45211</v>
      </c>
    </row>
    <row r="315" spans="1:12" x14ac:dyDescent="0.3">
      <c r="A315" t="s">
        <v>1133</v>
      </c>
      <c r="B315" t="s">
        <v>1003</v>
      </c>
      <c r="C315" t="s">
        <v>572</v>
      </c>
      <c r="D315" t="s">
        <v>1134</v>
      </c>
      <c r="E315" t="s">
        <v>25</v>
      </c>
      <c r="F315" t="s">
        <v>77</v>
      </c>
      <c r="G315" t="s">
        <v>105</v>
      </c>
      <c r="H315">
        <v>3</v>
      </c>
      <c r="I315">
        <v>3097.09</v>
      </c>
      <c r="J315" t="s">
        <v>28</v>
      </c>
      <c r="K315" t="s">
        <v>51</v>
      </c>
      <c r="L315">
        <f t="shared" si="4"/>
        <v>9291.27</v>
      </c>
    </row>
    <row r="316" spans="1:12" x14ac:dyDescent="0.3">
      <c r="A316" t="s">
        <v>1135</v>
      </c>
      <c r="B316" t="s">
        <v>163</v>
      </c>
      <c r="C316" t="s">
        <v>1136</v>
      </c>
      <c r="D316" t="s">
        <v>1137</v>
      </c>
      <c r="E316" t="s">
        <v>104</v>
      </c>
      <c r="F316" t="s">
        <v>17</v>
      </c>
      <c r="G316" t="s">
        <v>41</v>
      </c>
      <c r="H316">
        <v>7</v>
      </c>
      <c r="I316">
        <v>3588.03</v>
      </c>
      <c r="J316" t="s">
        <v>50</v>
      </c>
      <c r="K316" t="s">
        <v>29</v>
      </c>
      <c r="L316">
        <f t="shared" si="4"/>
        <v>25116.210000000003</v>
      </c>
    </row>
    <row r="317" spans="1:12" x14ac:dyDescent="0.3">
      <c r="A317" t="s">
        <v>1138</v>
      </c>
      <c r="B317" t="s">
        <v>534</v>
      </c>
      <c r="C317" t="s">
        <v>1139</v>
      </c>
      <c r="D317" t="s">
        <v>1140</v>
      </c>
      <c r="E317" t="s">
        <v>95</v>
      </c>
      <c r="F317" t="s">
        <v>48</v>
      </c>
      <c r="G317" t="s">
        <v>49</v>
      </c>
      <c r="H317">
        <v>5</v>
      </c>
      <c r="I317">
        <v>4072.9</v>
      </c>
      <c r="J317" t="s">
        <v>50</v>
      </c>
      <c r="K317" t="s">
        <v>36</v>
      </c>
      <c r="L317">
        <f t="shared" si="4"/>
        <v>20364.5</v>
      </c>
    </row>
    <row r="318" spans="1:12" x14ac:dyDescent="0.3">
      <c r="A318" t="s">
        <v>1141</v>
      </c>
      <c r="B318" t="s">
        <v>1131</v>
      </c>
      <c r="C318" t="s">
        <v>1142</v>
      </c>
      <c r="D318" t="s">
        <v>256</v>
      </c>
      <c r="E318" t="s">
        <v>16</v>
      </c>
      <c r="F318" t="s">
        <v>48</v>
      </c>
      <c r="G318" t="s">
        <v>179</v>
      </c>
      <c r="H318">
        <v>4</v>
      </c>
      <c r="I318">
        <v>720.78</v>
      </c>
      <c r="J318" t="s">
        <v>42</v>
      </c>
      <c r="K318" t="s">
        <v>51</v>
      </c>
      <c r="L318">
        <f t="shared" si="4"/>
        <v>2883.12</v>
      </c>
    </row>
    <row r="319" spans="1:12" x14ac:dyDescent="0.3">
      <c r="A319" t="s">
        <v>1143</v>
      </c>
      <c r="B319" t="s">
        <v>38</v>
      </c>
      <c r="C319" t="s">
        <v>1144</v>
      </c>
      <c r="D319" t="s">
        <v>1145</v>
      </c>
      <c r="E319" t="s">
        <v>104</v>
      </c>
      <c r="F319" t="s">
        <v>17</v>
      </c>
      <c r="G319" t="s">
        <v>68</v>
      </c>
      <c r="H319">
        <v>3</v>
      </c>
      <c r="I319">
        <v>2978.02</v>
      </c>
      <c r="J319" t="s">
        <v>42</v>
      </c>
      <c r="K319" t="s">
        <v>36</v>
      </c>
      <c r="L319">
        <f t="shared" si="4"/>
        <v>8934.06</v>
      </c>
    </row>
    <row r="320" spans="1:12" x14ac:dyDescent="0.3">
      <c r="A320" t="s">
        <v>1146</v>
      </c>
      <c r="B320" t="s">
        <v>1147</v>
      </c>
      <c r="C320" t="s">
        <v>1148</v>
      </c>
      <c r="D320" t="s">
        <v>1149</v>
      </c>
      <c r="E320" t="s">
        <v>104</v>
      </c>
      <c r="F320" t="s">
        <v>77</v>
      </c>
      <c r="G320" t="s">
        <v>171</v>
      </c>
      <c r="H320">
        <v>2</v>
      </c>
      <c r="I320">
        <v>948.16</v>
      </c>
      <c r="J320" t="s">
        <v>42</v>
      </c>
      <c r="K320" t="s">
        <v>83</v>
      </c>
      <c r="L320">
        <f t="shared" si="4"/>
        <v>1896.32</v>
      </c>
    </row>
    <row r="321" spans="1:12" x14ac:dyDescent="0.3">
      <c r="A321" t="s">
        <v>1150</v>
      </c>
      <c r="B321" t="s">
        <v>1151</v>
      </c>
      <c r="C321" t="s">
        <v>420</v>
      </c>
      <c r="D321" t="s">
        <v>307</v>
      </c>
      <c r="E321" t="s">
        <v>104</v>
      </c>
      <c r="F321" t="s">
        <v>17</v>
      </c>
      <c r="G321" t="s">
        <v>188</v>
      </c>
      <c r="H321">
        <v>6</v>
      </c>
      <c r="I321">
        <v>917.82</v>
      </c>
      <c r="J321" t="s">
        <v>28</v>
      </c>
      <c r="K321" t="s">
        <v>29</v>
      </c>
      <c r="L321">
        <f t="shared" si="4"/>
        <v>5506.92</v>
      </c>
    </row>
    <row r="322" spans="1:12" x14ac:dyDescent="0.3">
      <c r="A322" t="s">
        <v>1152</v>
      </c>
      <c r="B322" t="s">
        <v>1153</v>
      </c>
      <c r="C322" t="s">
        <v>1154</v>
      </c>
      <c r="D322" t="s">
        <v>1155</v>
      </c>
      <c r="E322" t="s">
        <v>104</v>
      </c>
      <c r="F322" t="s">
        <v>17</v>
      </c>
      <c r="G322" t="s">
        <v>18</v>
      </c>
      <c r="H322">
        <v>3</v>
      </c>
      <c r="I322">
        <v>4951.47</v>
      </c>
      <c r="J322" t="s">
        <v>19</v>
      </c>
      <c r="K322" t="s">
        <v>20</v>
      </c>
      <c r="L322">
        <f t="shared" si="4"/>
        <v>14854.41</v>
      </c>
    </row>
    <row r="323" spans="1:12" x14ac:dyDescent="0.3">
      <c r="A323" t="s">
        <v>1156</v>
      </c>
      <c r="B323" t="s">
        <v>1157</v>
      </c>
      <c r="C323" t="s">
        <v>1158</v>
      </c>
      <c r="D323" t="s">
        <v>1159</v>
      </c>
      <c r="E323" t="s">
        <v>34</v>
      </c>
      <c r="F323" t="s">
        <v>17</v>
      </c>
      <c r="G323" t="s">
        <v>41</v>
      </c>
      <c r="H323">
        <v>10</v>
      </c>
      <c r="I323">
        <v>397.41</v>
      </c>
      <c r="J323" t="s">
        <v>42</v>
      </c>
      <c r="K323" t="s">
        <v>51</v>
      </c>
      <c r="L323">
        <f t="shared" ref="L323:L386" si="5">H323*I323</f>
        <v>3974.1000000000004</v>
      </c>
    </row>
    <row r="324" spans="1:12" x14ac:dyDescent="0.3">
      <c r="A324" t="s">
        <v>1160</v>
      </c>
      <c r="B324" t="s">
        <v>1161</v>
      </c>
      <c r="C324" t="s">
        <v>1162</v>
      </c>
      <c r="D324" t="s">
        <v>1163</v>
      </c>
      <c r="E324" t="s">
        <v>25</v>
      </c>
      <c r="F324" t="s">
        <v>17</v>
      </c>
      <c r="G324" t="s">
        <v>18</v>
      </c>
      <c r="H324">
        <v>6</v>
      </c>
      <c r="I324">
        <v>4942.93</v>
      </c>
      <c r="J324" t="s">
        <v>42</v>
      </c>
      <c r="K324" t="s">
        <v>36</v>
      </c>
      <c r="L324">
        <f t="shared" si="5"/>
        <v>29657.58</v>
      </c>
    </row>
    <row r="325" spans="1:12" x14ac:dyDescent="0.3">
      <c r="A325" t="s">
        <v>1164</v>
      </c>
      <c r="B325" t="s">
        <v>1165</v>
      </c>
      <c r="C325" t="s">
        <v>1166</v>
      </c>
      <c r="D325" t="s">
        <v>1167</v>
      </c>
      <c r="E325" t="s">
        <v>104</v>
      </c>
      <c r="F325" t="s">
        <v>26</v>
      </c>
      <c r="G325" t="s">
        <v>27</v>
      </c>
      <c r="H325">
        <v>8</v>
      </c>
      <c r="I325">
        <v>1675.07</v>
      </c>
      <c r="J325" t="s">
        <v>19</v>
      </c>
      <c r="K325" t="s">
        <v>43</v>
      </c>
      <c r="L325">
        <f t="shared" si="5"/>
        <v>13400.56</v>
      </c>
    </row>
    <row r="326" spans="1:12" x14ac:dyDescent="0.3">
      <c r="A326" t="s">
        <v>1168</v>
      </c>
      <c r="B326" t="s">
        <v>1169</v>
      </c>
      <c r="C326" t="s">
        <v>1170</v>
      </c>
      <c r="D326" t="s">
        <v>1171</v>
      </c>
      <c r="E326" t="s">
        <v>16</v>
      </c>
      <c r="F326" t="s">
        <v>77</v>
      </c>
      <c r="G326" t="s">
        <v>105</v>
      </c>
      <c r="H326">
        <v>5</v>
      </c>
      <c r="I326">
        <v>4245.41</v>
      </c>
      <c r="J326" t="s">
        <v>50</v>
      </c>
      <c r="K326" t="s">
        <v>43</v>
      </c>
      <c r="L326">
        <f t="shared" si="5"/>
        <v>21227.05</v>
      </c>
    </row>
    <row r="327" spans="1:12" x14ac:dyDescent="0.3">
      <c r="A327" t="s">
        <v>1172</v>
      </c>
      <c r="B327" t="s">
        <v>1173</v>
      </c>
      <c r="C327" t="s">
        <v>760</v>
      </c>
      <c r="D327" t="s">
        <v>1174</v>
      </c>
      <c r="E327" t="s">
        <v>56</v>
      </c>
      <c r="F327" t="s">
        <v>26</v>
      </c>
      <c r="G327" t="s">
        <v>166</v>
      </c>
      <c r="H327">
        <v>8</v>
      </c>
      <c r="I327">
        <v>1266.4000000000001</v>
      </c>
      <c r="J327" t="s">
        <v>50</v>
      </c>
      <c r="K327" t="s">
        <v>20</v>
      </c>
      <c r="L327">
        <f t="shared" si="5"/>
        <v>10131.200000000001</v>
      </c>
    </row>
    <row r="328" spans="1:12" x14ac:dyDescent="0.3">
      <c r="A328" t="s">
        <v>1175</v>
      </c>
      <c r="B328" t="s">
        <v>1157</v>
      </c>
      <c r="C328" t="s">
        <v>1176</v>
      </c>
      <c r="D328" t="s">
        <v>1177</v>
      </c>
      <c r="E328" t="s">
        <v>104</v>
      </c>
      <c r="F328" t="s">
        <v>48</v>
      </c>
      <c r="G328" t="s">
        <v>63</v>
      </c>
      <c r="H328">
        <v>2</v>
      </c>
      <c r="I328">
        <v>2415.35</v>
      </c>
      <c r="J328" t="s">
        <v>28</v>
      </c>
      <c r="K328" t="s">
        <v>83</v>
      </c>
      <c r="L328">
        <f t="shared" si="5"/>
        <v>4830.7</v>
      </c>
    </row>
    <row r="329" spans="1:12" x14ac:dyDescent="0.3">
      <c r="A329" t="s">
        <v>1178</v>
      </c>
      <c r="B329" t="s">
        <v>1179</v>
      </c>
      <c r="C329" t="s">
        <v>1029</v>
      </c>
      <c r="D329" t="s">
        <v>697</v>
      </c>
      <c r="E329" t="s">
        <v>104</v>
      </c>
      <c r="F329" t="s">
        <v>26</v>
      </c>
      <c r="G329" t="s">
        <v>166</v>
      </c>
      <c r="H329">
        <v>1</v>
      </c>
      <c r="I329">
        <v>4868.6000000000004</v>
      </c>
      <c r="J329" t="s">
        <v>28</v>
      </c>
      <c r="K329" t="s">
        <v>83</v>
      </c>
      <c r="L329">
        <f t="shared" si="5"/>
        <v>4868.6000000000004</v>
      </c>
    </row>
    <row r="330" spans="1:12" x14ac:dyDescent="0.3">
      <c r="A330" t="s">
        <v>1180</v>
      </c>
      <c r="B330" t="s">
        <v>1181</v>
      </c>
      <c r="C330" t="s">
        <v>1182</v>
      </c>
      <c r="D330" t="s">
        <v>559</v>
      </c>
      <c r="E330" t="s">
        <v>128</v>
      </c>
      <c r="F330" t="s">
        <v>77</v>
      </c>
      <c r="G330" t="s">
        <v>105</v>
      </c>
      <c r="H330">
        <v>6</v>
      </c>
      <c r="I330">
        <v>192.49</v>
      </c>
      <c r="J330" t="s">
        <v>19</v>
      </c>
      <c r="K330" t="s">
        <v>51</v>
      </c>
      <c r="L330">
        <f t="shared" si="5"/>
        <v>1154.94</v>
      </c>
    </row>
    <row r="331" spans="1:12" x14ac:dyDescent="0.3">
      <c r="A331" t="s">
        <v>1183</v>
      </c>
      <c r="B331" t="s">
        <v>134</v>
      </c>
      <c r="C331" t="s">
        <v>1184</v>
      </c>
      <c r="D331" t="s">
        <v>462</v>
      </c>
      <c r="E331" t="s">
        <v>25</v>
      </c>
      <c r="F331" t="s">
        <v>26</v>
      </c>
      <c r="G331" t="s">
        <v>27</v>
      </c>
      <c r="H331">
        <v>5</v>
      </c>
      <c r="I331">
        <v>3085.5</v>
      </c>
      <c r="J331" t="s">
        <v>42</v>
      </c>
      <c r="K331" t="s">
        <v>51</v>
      </c>
      <c r="L331">
        <f t="shared" si="5"/>
        <v>15427.5</v>
      </c>
    </row>
    <row r="332" spans="1:12" x14ac:dyDescent="0.3">
      <c r="A332" t="s">
        <v>1185</v>
      </c>
      <c r="B332" t="s">
        <v>1186</v>
      </c>
      <c r="C332" t="s">
        <v>1187</v>
      </c>
      <c r="D332" t="s">
        <v>1188</v>
      </c>
      <c r="E332" t="s">
        <v>62</v>
      </c>
      <c r="F332" t="s">
        <v>26</v>
      </c>
      <c r="G332" t="s">
        <v>27</v>
      </c>
      <c r="H332">
        <v>1</v>
      </c>
      <c r="I332">
        <v>3445.19</v>
      </c>
      <c r="J332" t="s">
        <v>19</v>
      </c>
      <c r="K332" t="s">
        <v>29</v>
      </c>
      <c r="L332">
        <f t="shared" si="5"/>
        <v>3445.19</v>
      </c>
    </row>
    <row r="333" spans="1:12" x14ac:dyDescent="0.3">
      <c r="A333" t="s">
        <v>1189</v>
      </c>
      <c r="B333" t="s">
        <v>1190</v>
      </c>
      <c r="C333" t="s">
        <v>1191</v>
      </c>
      <c r="D333" t="s">
        <v>1192</v>
      </c>
      <c r="E333" t="s">
        <v>95</v>
      </c>
      <c r="F333" t="s">
        <v>17</v>
      </c>
      <c r="G333" t="s">
        <v>188</v>
      </c>
      <c r="H333">
        <v>7</v>
      </c>
      <c r="I333">
        <v>4729.24</v>
      </c>
      <c r="J333" t="s">
        <v>50</v>
      </c>
      <c r="K333" t="s">
        <v>29</v>
      </c>
      <c r="L333">
        <f t="shared" si="5"/>
        <v>33104.68</v>
      </c>
    </row>
    <row r="334" spans="1:12" x14ac:dyDescent="0.3">
      <c r="A334" t="s">
        <v>1193</v>
      </c>
      <c r="B334" t="s">
        <v>1194</v>
      </c>
      <c r="C334" t="s">
        <v>1195</v>
      </c>
      <c r="D334" t="s">
        <v>1196</v>
      </c>
      <c r="E334" t="s">
        <v>95</v>
      </c>
      <c r="F334" t="s">
        <v>26</v>
      </c>
      <c r="G334" t="s">
        <v>208</v>
      </c>
      <c r="H334">
        <v>5</v>
      </c>
      <c r="I334">
        <v>3491.38</v>
      </c>
      <c r="J334" t="s">
        <v>50</v>
      </c>
      <c r="K334" t="s">
        <v>83</v>
      </c>
      <c r="L334">
        <f t="shared" si="5"/>
        <v>17456.900000000001</v>
      </c>
    </row>
    <row r="335" spans="1:12" x14ac:dyDescent="0.3">
      <c r="A335" t="s">
        <v>1197</v>
      </c>
      <c r="B335" t="s">
        <v>706</v>
      </c>
      <c r="C335" t="s">
        <v>1198</v>
      </c>
      <c r="D335" t="s">
        <v>1199</v>
      </c>
      <c r="E335" t="s">
        <v>128</v>
      </c>
      <c r="F335" t="s">
        <v>77</v>
      </c>
      <c r="G335" t="s">
        <v>265</v>
      </c>
      <c r="H335">
        <v>10</v>
      </c>
      <c r="I335">
        <v>3056.54</v>
      </c>
      <c r="J335" t="s">
        <v>50</v>
      </c>
      <c r="K335" t="s">
        <v>36</v>
      </c>
      <c r="L335">
        <f t="shared" si="5"/>
        <v>30565.4</v>
      </c>
    </row>
    <row r="336" spans="1:12" x14ac:dyDescent="0.3">
      <c r="A336" t="s">
        <v>1200</v>
      </c>
      <c r="B336" t="s">
        <v>716</v>
      </c>
      <c r="C336" t="s">
        <v>1201</v>
      </c>
      <c r="D336" t="s">
        <v>1202</v>
      </c>
      <c r="E336" t="s">
        <v>104</v>
      </c>
      <c r="F336" t="s">
        <v>17</v>
      </c>
      <c r="G336" t="s">
        <v>35</v>
      </c>
      <c r="H336">
        <v>1</v>
      </c>
      <c r="I336">
        <v>1415.99</v>
      </c>
      <c r="J336" t="s">
        <v>19</v>
      </c>
      <c r="K336" t="s">
        <v>51</v>
      </c>
      <c r="L336">
        <f t="shared" si="5"/>
        <v>1415.99</v>
      </c>
    </row>
    <row r="337" spans="1:12" x14ac:dyDescent="0.3">
      <c r="A337" t="s">
        <v>1203</v>
      </c>
      <c r="B337" t="s">
        <v>1204</v>
      </c>
      <c r="C337" t="s">
        <v>1205</v>
      </c>
      <c r="D337" t="s">
        <v>1206</v>
      </c>
      <c r="E337" t="s">
        <v>16</v>
      </c>
      <c r="F337" t="s">
        <v>26</v>
      </c>
      <c r="G337" t="s">
        <v>166</v>
      </c>
      <c r="H337">
        <v>4</v>
      </c>
      <c r="I337">
        <v>4243.46</v>
      </c>
      <c r="J337" t="s">
        <v>42</v>
      </c>
      <c r="K337" t="s">
        <v>29</v>
      </c>
      <c r="L337">
        <f t="shared" si="5"/>
        <v>16973.84</v>
      </c>
    </row>
    <row r="338" spans="1:12" x14ac:dyDescent="0.3">
      <c r="A338" t="s">
        <v>1207</v>
      </c>
      <c r="B338" t="s">
        <v>168</v>
      </c>
      <c r="C338" t="s">
        <v>1016</v>
      </c>
      <c r="D338" t="s">
        <v>963</v>
      </c>
      <c r="E338" t="s">
        <v>128</v>
      </c>
      <c r="F338" t="s">
        <v>17</v>
      </c>
      <c r="G338" t="s">
        <v>18</v>
      </c>
      <c r="H338">
        <v>2</v>
      </c>
      <c r="I338">
        <v>3841.22</v>
      </c>
      <c r="J338" t="s">
        <v>42</v>
      </c>
      <c r="K338" t="s">
        <v>43</v>
      </c>
      <c r="L338">
        <f t="shared" si="5"/>
        <v>7682.44</v>
      </c>
    </row>
    <row r="339" spans="1:12" x14ac:dyDescent="0.3">
      <c r="A339" t="s">
        <v>1208</v>
      </c>
      <c r="B339" t="s">
        <v>1209</v>
      </c>
      <c r="C339" t="s">
        <v>972</v>
      </c>
      <c r="D339" t="s">
        <v>1210</v>
      </c>
      <c r="E339" t="s">
        <v>16</v>
      </c>
      <c r="F339" t="s">
        <v>48</v>
      </c>
      <c r="G339" t="s">
        <v>110</v>
      </c>
      <c r="H339">
        <v>9</v>
      </c>
      <c r="I339">
        <v>2018.05</v>
      </c>
      <c r="J339" t="s">
        <v>50</v>
      </c>
      <c r="K339" t="s">
        <v>43</v>
      </c>
      <c r="L339">
        <f t="shared" si="5"/>
        <v>18162.45</v>
      </c>
    </row>
    <row r="340" spans="1:12" x14ac:dyDescent="0.3">
      <c r="A340" t="s">
        <v>1211</v>
      </c>
      <c r="B340" t="s">
        <v>1212</v>
      </c>
      <c r="C340" t="s">
        <v>959</v>
      </c>
      <c r="D340" t="s">
        <v>1213</v>
      </c>
      <c r="E340" t="s">
        <v>128</v>
      </c>
      <c r="F340" t="s">
        <v>48</v>
      </c>
      <c r="G340" t="s">
        <v>49</v>
      </c>
      <c r="H340">
        <v>9</v>
      </c>
      <c r="I340">
        <v>4321.1000000000004</v>
      </c>
      <c r="J340" t="s">
        <v>50</v>
      </c>
      <c r="K340" t="s">
        <v>43</v>
      </c>
      <c r="L340">
        <f t="shared" si="5"/>
        <v>38889.9</v>
      </c>
    </row>
    <row r="341" spans="1:12" x14ac:dyDescent="0.3">
      <c r="A341" t="s">
        <v>1214</v>
      </c>
      <c r="B341" t="s">
        <v>1215</v>
      </c>
      <c r="C341" t="s">
        <v>1216</v>
      </c>
      <c r="D341" t="s">
        <v>1217</v>
      </c>
      <c r="E341" t="s">
        <v>56</v>
      </c>
      <c r="F341" t="s">
        <v>77</v>
      </c>
      <c r="G341" t="s">
        <v>171</v>
      </c>
      <c r="H341">
        <v>10</v>
      </c>
      <c r="I341">
        <v>4758.4799999999996</v>
      </c>
      <c r="J341" t="s">
        <v>28</v>
      </c>
      <c r="K341" t="s">
        <v>83</v>
      </c>
      <c r="L341">
        <f t="shared" si="5"/>
        <v>47584.799999999996</v>
      </c>
    </row>
    <row r="342" spans="1:12" x14ac:dyDescent="0.3">
      <c r="A342" t="s">
        <v>1218</v>
      </c>
      <c r="B342" t="s">
        <v>1219</v>
      </c>
      <c r="C342" t="s">
        <v>943</v>
      </c>
      <c r="D342" t="s">
        <v>1220</v>
      </c>
      <c r="E342" t="s">
        <v>104</v>
      </c>
      <c r="F342" t="s">
        <v>26</v>
      </c>
      <c r="G342" t="s">
        <v>115</v>
      </c>
      <c r="H342">
        <v>1</v>
      </c>
      <c r="I342">
        <v>2295.27</v>
      </c>
      <c r="J342" t="s">
        <v>19</v>
      </c>
      <c r="K342" t="s">
        <v>29</v>
      </c>
      <c r="L342">
        <f t="shared" si="5"/>
        <v>2295.27</v>
      </c>
    </row>
    <row r="343" spans="1:12" x14ac:dyDescent="0.3">
      <c r="A343" t="s">
        <v>1221</v>
      </c>
      <c r="B343" t="s">
        <v>1222</v>
      </c>
      <c r="C343" t="s">
        <v>1223</v>
      </c>
      <c r="D343" t="s">
        <v>1224</v>
      </c>
      <c r="E343" t="s">
        <v>62</v>
      </c>
      <c r="F343" t="s">
        <v>26</v>
      </c>
      <c r="G343" t="s">
        <v>27</v>
      </c>
      <c r="H343">
        <v>4</v>
      </c>
      <c r="I343">
        <v>991.92</v>
      </c>
      <c r="J343" t="s">
        <v>50</v>
      </c>
      <c r="K343" t="s">
        <v>43</v>
      </c>
      <c r="L343">
        <f t="shared" si="5"/>
        <v>3967.68</v>
      </c>
    </row>
    <row r="344" spans="1:12" x14ac:dyDescent="0.3">
      <c r="A344" t="s">
        <v>1225</v>
      </c>
      <c r="B344" t="s">
        <v>1226</v>
      </c>
      <c r="C344" t="s">
        <v>442</v>
      </c>
      <c r="D344" t="s">
        <v>520</v>
      </c>
      <c r="E344" t="s">
        <v>128</v>
      </c>
      <c r="F344" t="s">
        <v>17</v>
      </c>
      <c r="G344" t="s">
        <v>188</v>
      </c>
      <c r="H344">
        <v>5</v>
      </c>
      <c r="I344">
        <v>4637.08</v>
      </c>
      <c r="J344" t="s">
        <v>28</v>
      </c>
      <c r="K344" t="s">
        <v>36</v>
      </c>
      <c r="L344">
        <f t="shared" si="5"/>
        <v>23185.4</v>
      </c>
    </row>
    <row r="345" spans="1:12" x14ac:dyDescent="0.3">
      <c r="A345" t="s">
        <v>1227</v>
      </c>
      <c r="B345" t="s">
        <v>1209</v>
      </c>
      <c r="C345" t="s">
        <v>1228</v>
      </c>
      <c r="D345" t="s">
        <v>1229</v>
      </c>
      <c r="E345" t="s">
        <v>16</v>
      </c>
      <c r="F345" t="s">
        <v>17</v>
      </c>
      <c r="G345" t="s">
        <v>41</v>
      </c>
      <c r="H345">
        <v>7</v>
      </c>
      <c r="I345">
        <v>4424.0200000000004</v>
      </c>
      <c r="J345" t="s">
        <v>19</v>
      </c>
      <c r="K345" t="s">
        <v>51</v>
      </c>
      <c r="L345">
        <f t="shared" si="5"/>
        <v>30968.140000000003</v>
      </c>
    </row>
    <row r="346" spans="1:12" x14ac:dyDescent="0.3">
      <c r="A346" t="s">
        <v>1230</v>
      </c>
      <c r="B346" t="s">
        <v>1231</v>
      </c>
      <c r="C346" t="s">
        <v>1232</v>
      </c>
      <c r="D346" t="s">
        <v>740</v>
      </c>
      <c r="E346" t="s">
        <v>104</v>
      </c>
      <c r="F346" t="s">
        <v>48</v>
      </c>
      <c r="G346" t="s">
        <v>49</v>
      </c>
      <c r="H346">
        <v>10</v>
      </c>
      <c r="I346">
        <v>3635.01</v>
      </c>
      <c r="J346" t="s">
        <v>50</v>
      </c>
      <c r="K346" t="s">
        <v>43</v>
      </c>
      <c r="L346">
        <f t="shared" si="5"/>
        <v>36350.100000000006</v>
      </c>
    </row>
    <row r="347" spans="1:12" x14ac:dyDescent="0.3">
      <c r="A347" t="s">
        <v>1233</v>
      </c>
      <c r="B347" t="s">
        <v>1234</v>
      </c>
      <c r="C347" t="s">
        <v>1235</v>
      </c>
      <c r="D347" t="s">
        <v>520</v>
      </c>
      <c r="E347" t="s">
        <v>56</v>
      </c>
      <c r="F347" t="s">
        <v>48</v>
      </c>
      <c r="G347" t="s">
        <v>57</v>
      </c>
      <c r="H347">
        <v>10</v>
      </c>
      <c r="I347">
        <v>4992.3900000000003</v>
      </c>
      <c r="J347" t="s">
        <v>28</v>
      </c>
      <c r="K347" t="s">
        <v>43</v>
      </c>
      <c r="L347">
        <f t="shared" si="5"/>
        <v>49923.9</v>
      </c>
    </row>
    <row r="348" spans="1:12" x14ac:dyDescent="0.3">
      <c r="A348" t="s">
        <v>1236</v>
      </c>
      <c r="B348" t="s">
        <v>1237</v>
      </c>
      <c r="C348" t="s">
        <v>356</v>
      </c>
      <c r="D348" t="s">
        <v>1238</v>
      </c>
      <c r="E348" t="s">
        <v>128</v>
      </c>
      <c r="F348" t="s">
        <v>17</v>
      </c>
      <c r="G348" t="s">
        <v>35</v>
      </c>
      <c r="H348">
        <v>8</v>
      </c>
      <c r="I348">
        <v>695.29</v>
      </c>
      <c r="J348" t="s">
        <v>28</v>
      </c>
      <c r="K348" t="s">
        <v>43</v>
      </c>
      <c r="L348">
        <f t="shared" si="5"/>
        <v>5562.32</v>
      </c>
    </row>
    <row r="349" spans="1:12" x14ac:dyDescent="0.3">
      <c r="A349" t="s">
        <v>1239</v>
      </c>
      <c r="B349" t="s">
        <v>1240</v>
      </c>
      <c r="C349" t="s">
        <v>1241</v>
      </c>
      <c r="D349" t="s">
        <v>1159</v>
      </c>
      <c r="E349" t="s">
        <v>95</v>
      </c>
      <c r="F349" t="s">
        <v>77</v>
      </c>
      <c r="G349" t="s">
        <v>171</v>
      </c>
      <c r="H349">
        <v>1</v>
      </c>
      <c r="I349">
        <v>3229.42</v>
      </c>
      <c r="J349" t="s">
        <v>50</v>
      </c>
      <c r="K349" t="s">
        <v>20</v>
      </c>
      <c r="L349">
        <f t="shared" si="5"/>
        <v>3229.42</v>
      </c>
    </row>
    <row r="350" spans="1:12" x14ac:dyDescent="0.3">
      <c r="A350" t="s">
        <v>1242</v>
      </c>
      <c r="B350" t="s">
        <v>1243</v>
      </c>
      <c r="C350" t="s">
        <v>1244</v>
      </c>
      <c r="D350" t="s">
        <v>1245</v>
      </c>
      <c r="E350" t="s">
        <v>56</v>
      </c>
      <c r="F350" t="s">
        <v>26</v>
      </c>
      <c r="G350" t="s">
        <v>296</v>
      </c>
      <c r="H350">
        <v>1</v>
      </c>
      <c r="I350">
        <v>2756.08</v>
      </c>
      <c r="J350" t="s">
        <v>28</v>
      </c>
      <c r="K350" t="s">
        <v>51</v>
      </c>
      <c r="L350">
        <f t="shared" si="5"/>
        <v>2756.08</v>
      </c>
    </row>
    <row r="351" spans="1:12" x14ac:dyDescent="0.3">
      <c r="A351" t="s">
        <v>1246</v>
      </c>
      <c r="B351" t="s">
        <v>654</v>
      </c>
      <c r="C351" t="s">
        <v>1247</v>
      </c>
      <c r="D351" t="s">
        <v>1248</v>
      </c>
      <c r="E351" t="s">
        <v>62</v>
      </c>
      <c r="F351" t="s">
        <v>17</v>
      </c>
      <c r="G351" t="s">
        <v>35</v>
      </c>
      <c r="H351">
        <v>3</v>
      </c>
      <c r="I351">
        <v>3295.98</v>
      </c>
      <c r="J351" t="s">
        <v>42</v>
      </c>
      <c r="K351" t="s">
        <v>51</v>
      </c>
      <c r="L351">
        <f t="shared" si="5"/>
        <v>9887.94</v>
      </c>
    </row>
    <row r="352" spans="1:12" x14ac:dyDescent="0.3">
      <c r="A352" t="s">
        <v>1249</v>
      </c>
      <c r="B352" t="s">
        <v>946</v>
      </c>
      <c r="C352" t="s">
        <v>769</v>
      </c>
      <c r="D352" t="s">
        <v>1250</v>
      </c>
      <c r="E352" t="s">
        <v>62</v>
      </c>
      <c r="F352" t="s">
        <v>17</v>
      </c>
      <c r="G352" t="s">
        <v>41</v>
      </c>
      <c r="H352">
        <v>2</v>
      </c>
      <c r="I352">
        <v>4366.03</v>
      </c>
      <c r="J352" t="s">
        <v>28</v>
      </c>
      <c r="K352" t="s">
        <v>29</v>
      </c>
      <c r="L352">
        <f t="shared" si="5"/>
        <v>8732.06</v>
      </c>
    </row>
    <row r="353" spans="1:12" x14ac:dyDescent="0.3">
      <c r="A353" t="s">
        <v>1251</v>
      </c>
      <c r="B353" t="s">
        <v>1252</v>
      </c>
      <c r="C353" t="s">
        <v>1253</v>
      </c>
      <c r="D353" t="s">
        <v>1254</v>
      </c>
      <c r="E353" t="s">
        <v>25</v>
      </c>
      <c r="F353" t="s">
        <v>17</v>
      </c>
      <c r="G353" t="s">
        <v>188</v>
      </c>
      <c r="H353">
        <v>7</v>
      </c>
      <c r="I353">
        <v>4596.51</v>
      </c>
      <c r="J353" t="s">
        <v>50</v>
      </c>
      <c r="K353" t="s">
        <v>51</v>
      </c>
      <c r="L353">
        <f t="shared" si="5"/>
        <v>32175.57</v>
      </c>
    </row>
    <row r="354" spans="1:12" x14ac:dyDescent="0.3">
      <c r="A354" t="s">
        <v>1255</v>
      </c>
      <c r="B354" t="s">
        <v>931</v>
      </c>
      <c r="C354" t="s">
        <v>1256</v>
      </c>
      <c r="D354" t="s">
        <v>678</v>
      </c>
      <c r="E354" t="s">
        <v>62</v>
      </c>
      <c r="F354" t="s">
        <v>77</v>
      </c>
      <c r="G354" t="s">
        <v>105</v>
      </c>
      <c r="H354">
        <v>9</v>
      </c>
      <c r="I354">
        <v>3184.46</v>
      </c>
      <c r="J354" t="s">
        <v>42</v>
      </c>
      <c r="K354" t="s">
        <v>83</v>
      </c>
      <c r="L354">
        <f t="shared" si="5"/>
        <v>28660.14</v>
      </c>
    </row>
    <row r="355" spans="1:12" x14ac:dyDescent="0.3">
      <c r="A355" t="s">
        <v>1257</v>
      </c>
      <c r="B355" t="s">
        <v>1153</v>
      </c>
      <c r="C355" t="s">
        <v>1258</v>
      </c>
      <c r="D355" t="s">
        <v>1259</v>
      </c>
      <c r="E355" t="s">
        <v>25</v>
      </c>
      <c r="F355" t="s">
        <v>77</v>
      </c>
      <c r="G355" t="s">
        <v>105</v>
      </c>
      <c r="H355">
        <v>10</v>
      </c>
      <c r="I355">
        <v>377.6</v>
      </c>
      <c r="J355" t="s">
        <v>42</v>
      </c>
      <c r="K355" t="s">
        <v>29</v>
      </c>
      <c r="L355">
        <f t="shared" si="5"/>
        <v>3776</v>
      </c>
    </row>
    <row r="356" spans="1:12" x14ac:dyDescent="0.3">
      <c r="A356" t="s">
        <v>1260</v>
      </c>
      <c r="B356" t="s">
        <v>1261</v>
      </c>
      <c r="C356" t="s">
        <v>1262</v>
      </c>
      <c r="D356" t="s">
        <v>1263</v>
      </c>
      <c r="E356" t="s">
        <v>128</v>
      </c>
      <c r="F356" t="s">
        <v>17</v>
      </c>
      <c r="G356" t="s">
        <v>188</v>
      </c>
      <c r="H356">
        <v>8</v>
      </c>
      <c r="I356">
        <v>663.92</v>
      </c>
      <c r="J356" t="s">
        <v>28</v>
      </c>
      <c r="K356" t="s">
        <v>36</v>
      </c>
      <c r="L356">
        <f t="shared" si="5"/>
        <v>5311.36</v>
      </c>
    </row>
    <row r="357" spans="1:12" x14ac:dyDescent="0.3">
      <c r="A357" t="s">
        <v>1264</v>
      </c>
      <c r="B357" t="s">
        <v>895</v>
      </c>
      <c r="C357" t="s">
        <v>1265</v>
      </c>
      <c r="D357" t="s">
        <v>1266</v>
      </c>
      <c r="E357" t="s">
        <v>16</v>
      </c>
      <c r="F357" t="s">
        <v>48</v>
      </c>
      <c r="G357" t="s">
        <v>179</v>
      </c>
      <c r="H357">
        <v>6</v>
      </c>
      <c r="I357">
        <v>522.48</v>
      </c>
      <c r="J357" t="s">
        <v>50</v>
      </c>
      <c r="K357" t="s">
        <v>43</v>
      </c>
      <c r="L357">
        <f t="shared" si="5"/>
        <v>3134.88</v>
      </c>
    </row>
    <row r="358" spans="1:12" x14ac:dyDescent="0.3">
      <c r="A358" t="s">
        <v>1267</v>
      </c>
      <c r="B358" t="s">
        <v>1268</v>
      </c>
      <c r="C358" t="s">
        <v>160</v>
      </c>
      <c r="D358" t="s">
        <v>1269</v>
      </c>
      <c r="E358" t="s">
        <v>95</v>
      </c>
      <c r="F358" t="s">
        <v>48</v>
      </c>
      <c r="G358" t="s">
        <v>110</v>
      </c>
      <c r="H358">
        <v>10</v>
      </c>
      <c r="I358">
        <v>4783.49</v>
      </c>
      <c r="J358" t="s">
        <v>42</v>
      </c>
      <c r="K358" t="s">
        <v>20</v>
      </c>
      <c r="L358">
        <f t="shared" si="5"/>
        <v>47834.899999999994</v>
      </c>
    </row>
    <row r="359" spans="1:12" x14ac:dyDescent="0.3">
      <c r="A359" t="s">
        <v>1270</v>
      </c>
      <c r="B359" t="s">
        <v>494</v>
      </c>
      <c r="C359" t="s">
        <v>1271</v>
      </c>
      <c r="D359" t="s">
        <v>1272</v>
      </c>
      <c r="E359" t="s">
        <v>56</v>
      </c>
      <c r="F359" t="s">
        <v>17</v>
      </c>
      <c r="G359" t="s">
        <v>188</v>
      </c>
      <c r="H359">
        <v>1</v>
      </c>
      <c r="I359">
        <v>3502.78</v>
      </c>
      <c r="J359" t="s">
        <v>50</v>
      </c>
      <c r="K359" t="s">
        <v>51</v>
      </c>
      <c r="L359">
        <f t="shared" si="5"/>
        <v>3502.78</v>
      </c>
    </row>
    <row r="360" spans="1:12" x14ac:dyDescent="0.3">
      <c r="A360" t="s">
        <v>1273</v>
      </c>
      <c r="B360" t="s">
        <v>1274</v>
      </c>
      <c r="C360" t="s">
        <v>1275</v>
      </c>
      <c r="D360" t="s">
        <v>1276</v>
      </c>
      <c r="E360" t="s">
        <v>34</v>
      </c>
      <c r="F360" t="s">
        <v>17</v>
      </c>
      <c r="G360" t="s">
        <v>188</v>
      </c>
      <c r="H360">
        <v>3</v>
      </c>
      <c r="I360">
        <v>1902.97</v>
      </c>
      <c r="J360" t="s">
        <v>42</v>
      </c>
      <c r="K360" t="s">
        <v>36</v>
      </c>
      <c r="L360">
        <f t="shared" si="5"/>
        <v>5708.91</v>
      </c>
    </row>
    <row r="361" spans="1:12" x14ac:dyDescent="0.3">
      <c r="A361" t="s">
        <v>1277</v>
      </c>
      <c r="B361" t="s">
        <v>1278</v>
      </c>
      <c r="C361" t="s">
        <v>726</v>
      </c>
      <c r="D361" t="s">
        <v>372</v>
      </c>
      <c r="E361" t="s">
        <v>95</v>
      </c>
      <c r="F361" t="s">
        <v>17</v>
      </c>
      <c r="G361" t="s">
        <v>18</v>
      </c>
      <c r="H361">
        <v>2</v>
      </c>
      <c r="I361">
        <v>4990.53</v>
      </c>
      <c r="J361" t="s">
        <v>50</v>
      </c>
      <c r="K361" t="s">
        <v>36</v>
      </c>
      <c r="L361">
        <f t="shared" si="5"/>
        <v>9981.06</v>
      </c>
    </row>
    <row r="362" spans="1:12" x14ac:dyDescent="0.3">
      <c r="A362" t="s">
        <v>1279</v>
      </c>
      <c r="B362" t="s">
        <v>1280</v>
      </c>
      <c r="C362" t="s">
        <v>1281</v>
      </c>
      <c r="D362" t="s">
        <v>1282</v>
      </c>
      <c r="E362" t="s">
        <v>16</v>
      </c>
      <c r="F362" t="s">
        <v>17</v>
      </c>
      <c r="G362" t="s">
        <v>41</v>
      </c>
      <c r="H362">
        <v>4</v>
      </c>
      <c r="I362">
        <v>2385.5100000000002</v>
      </c>
      <c r="J362" t="s">
        <v>19</v>
      </c>
      <c r="K362" t="s">
        <v>20</v>
      </c>
      <c r="L362">
        <f t="shared" si="5"/>
        <v>9542.0400000000009</v>
      </c>
    </row>
    <row r="363" spans="1:12" x14ac:dyDescent="0.3">
      <c r="A363" t="s">
        <v>1283</v>
      </c>
      <c r="B363" t="s">
        <v>634</v>
      </c>
      <c r="C363" t="s">
        <v>673</v>
      </c>
      <c r="D363" t="s">
        <v>1284</v>
      </c>
      <c r="E363" t="s">
        <v>104</v>
      </c>
      <c r="F363" t="s">
        <v>17</v>
      </c>
      <c r="G363" t="s">
        <v>188</v>
      </c>
      <c r="H363">
        <v>6</v>
      </c>
      <c r="I363">
        <v>4318.12</v>
      </c>
      <c r="J363" t="s">
        <v>19</v>
      </c>
      <c r="K363" t="s">
        <v>36</v>
      </c>
      <c r="L363">
        <f t="shared" si="5"/>
        <v>25908.720000000001</v>
      </c>
    </row>
    <row r="364" spans="1:12" x14ac:dyDescent="0.3">
      <c r="A364" t="s">
        <v>1285</v>
      </c>
      <c r="B364" t="s">
        <v>1286</v>
      </c>
      <c r="C364" t="s">
        <v>1287</v>
      </c>
      <c r="D364" t="s">
        <v>1288</v>
      </c>
      <c r="E364" t="s">
        <v>56</v>
      </c>
      <c r="F364" t="s">
        <v>17</v>
      </c>
      <c r="G364" t="s">
        <v>35</v>
      </c>
      <c r="H364">
        <v>5</v>
      </c>
      <c r="I364">
        <v>4217.55</v>
      </c>
      <c r="J364" t="s">
        <v>19</v>
      </c>
      <c r="K364" t="s">
        <v>83</v>
      </c>
      <c r="L364">
        <f t="shared" si="5"/>
        <v>21087.75</v>
      </c>
    </row>
    <row r="365" spans="1:12" x14ac:dyDescent="0.3">
      <c r="A365" t="s">
        <v>1289</v>
      </c>
      <c r="B365" t="s">
        <v>1290</v>
      </c>
      <c r="C365" t="s">
        <v>1291</v>
      </c>
      <c r="D365" t="s">
        <v>1292</v>
      </c>
      <c r="E365" t="s">
        <v>34</v>
      </c>
      <c r="F365" t="s">
        <v>26</v>
      </c>
      <c r="G365" t="s">
        <v>296</v>
      </c>
      <c r="H365">
        <v>10</v>
      </c>
      <c r="I365">
        <v>2435.7199999999998</v>
      </c>
      <c r="J365" t="s">
        <v>50</v>
      </c>
      <c r="K365" t="s">
        <v>43</v>
      </c>
      <c r="L365">
        <f t="shared" si="5"/>
        <v>24357.199999999997</v>
      </c>
    </row>
    <row r="366" spans="1:12" x14ac:dyDescent="0.3">
      <c r="A366" t="s">
        <v>1293</v>
      </c>
      <c r="B366" t="s">
        <v>385</v>
      </c>
      <c r="C366" t="s">
        <v>1294</v>
      </c>
      <c r="D366" t="s">
        <v>475</v>
      </c>
      <c r="E366" t="s">
        <v>25</v>
      </c>
      <c r="F366" t="s">
        <v>26</v>
      </c>
      <c r="G366" t="s">
        <v>115</v>
      </c>
      <c r="H366">
        <v>2</v>
      </c>
      <c r="I366">
        <v>1010.66</v>
      </c>
      <c r="J366" t="s">
        <v>19</v>
      </c>
      <c r="K366" t="s">
        <v>20</v>
      </c>
      <c r="L366">
        <f t="shared" si="5"/>
        <v>2021.32</v>
      </c>
    </row>
    <row r="367" spans="1:12" x14ac:dyDescent="0.3">
      <c r="A367" t="s">
        <v>1295</v>
      </c>
      <c r="B367" t="s">
        <v>911</v>
      </c>
      <c r="C367" t="s">
        <v>1296</v>
      </c>
      <c r="D367" t="s">
        <v>1297</v>
      </c>
      <c r="E367" t="s">
        <v>62</v>
      </c>
      <c r="F367" t="s">
        <v>26</v>
      </c>
      <c r="G367" t="s">
        <v>115</v>
      </c>
      <c r="H367">
        <v>9</v>
      </c>
      <c r="I367">
        <v>1303.8800000000001</v>
      </c>
      <c r="J367" t="s">
        <v>19</v>
      </c>
      <c r="K367" t="s">
        <v>83</v>
      </c>
      <c r="L367">
        <f t="shared" si="5"/>
        <v>11734.920000000002</v>
      </c>
    </row>
    <row r="368" spans="1:12" x14ac:dyDescent="0.3">
      <c r="A368" t="s">
        <v>1298</v>
      </c>
      <c r="B368" t="s">
        <v>474</v>
      </c>
      <c r="C368" t="s">
        <v>458</v>
      </c>
      <c r="D368" t="s">
        <v>1299</v>
      </c>
      <c r="E368" t="s">
        <v>95</v>
      </c>
      <c r="F368" t="s">
        <v>77</v>
      </c>
      <c r="G368" t="s">
        <v>105</v>
      </c>
      <c r="H368">
        <v>6</v>
      </c>
      <c r="I368">
        <v>4809.37</v>
      </c>
      <c r="J368" t="s">
        <v>50</v>
      </c>
      <c r="K368" t="s">
        <v>51</v>
      </c>
      <c r="L368">
        <f t="shared" si="5"/>
        <v>28856.22</v>
      </c>
    </row>
    <row r="369" spans="1:12" x14ac:dyDescent="0.3">
      <c r="A369" t="s">
        <v>1300</v>
      </c>
      <c r="B369" t="s">
        <v>1301</v>
      </c>
      <c r="C369" t="s">
        <v>1302</v>
      </c>
      <c r="D369" t="s">
        <v>1303</v>
      </c>
      <c r="E369" t="s">
        <v>128</v>
      </c>
      <c r="F369" t="s">
        <v>17</v>
      </c>
      <c r="G369" t="s">
        <v>41</v>
      </c>
      <c r="H369">
        <v>4</v>
      </c>
      <c r="I369">
        <v>308.82</v>
      </c>
      <c r="J369" t="s">
        <v>19</v>
      </c>
      <c r="K369" t="s">
        <v>20</v>
      </c>
      <c r="L369">
        <f t="shared" si="5"/>
        <v>1235.28</v>
      </c>
    </row>
    <row r="370" spans="1:12" x14ac:dyDescent="0.3">
      <c r="A370" t="s">
        <v>1304</v>
      </c>
      <c r="B370" t="s">
        <v>546</v>
      </c>
      <c r="C370" t="s">
        <v>1271</v>
      </c>
      <c r="D370" t="s">
        <v>1305</v>
      </c>
      <c r="E370" t="s">
        <v>128</v>
      </c>
      <c r="F370" t="s">
        <v>26</v>
      </c>
      <c r="G370" t="s">
        <v>115</v>
      </c>
      <c r="H370">
        <v>5</v>
      </c>
      <c r="I370">
        <v>4333.4399999999996</v>
      </c>
      <c r="J370" t="s">
        <v>42</v>
      </c>
      <c r="K370" t="s">
        <v>43</v>
      </c>
      <c r="L370">
        <f t="shared" si="5"/>
        <v>21667.199999999997</v>
      </c>
    </row>
    <row r="371" spans="1:12" x14ac:dyDescent="0.3">
      <c r="A371" t="s">
        <v>1306</v>
      </c>
      <c r="B371" t="s">
        <v>538</v>
      </c>
      <c r="C371" t="s">
        <v>1307</v>
      </c>
      <c r="D371" t="s">
        <v>1308</v>
      </c>
      <c r="E371" t="s">
        <v>128</v>
      </c>
      <c r="F371" t="s">
        <v>26</v>
      </c>
      <c r="G371" t="s">
        <v>166</v>
      </c>
      <c r="H371">
        <v>9</v>
      </c>
      <c r="I371">
        <v>4676.76</v>
      </c>
      <c r="J371" t="s">
        <v>28</v>
      </c>
      <c r="K371" t="s">
        <v>20</v>
      </c>
      <c r="L371">
        <f t="shared" si="5"/>
        <v>42090.840000000004</v>
      </c>
    </row>
    <row r="372" spans="1:12" x14ac:dyDescent="0.3">
      <c r="A372" t="s">
        <v>1309</v>
      </c>
      <c r="B372" t="s">
        <v>1310</v>
      </c>
      <c r="C372" t="s">
        <v>1311</v>
      </c>
      <c r="D372" t="s">
        <v>1312</v>
      </c>
      <c r="E372" t="s">
        <v>95</v>
      </c>
      <c r="F372" t="s">
        <v>48</v>
      </c>
      <c r="G372" t="s">
        <v>49</v>
      </c>
      <c r="H372">
        <v>8</v>
      </c>
      <c r="I372">
        <v>3193.98</v>
      </c>
      <c r="J372" t="s">
        <v>50</v>
      </c>
      <c r="K372" t="s">
        <v>20</v>
      </c>
      <c r="L372">
        <f t="shared" si="5"/>
        <v>25551.84</v>
      </c>
    </row>
    <row r="373" spans="1:12" x14ac:dyDescent="0.3">
      <c r="A373" t="s">
        <v>1313</v>
      </c>
      <c r="B373" t="s">
        <v>271</v>
      </c>
      <c r="C373" t="s">
        <v>1314</v>
      </c>
      <c r="D373" t="s">
        <v>1315</v>
      </c>
      <c r="E373" t="s">
        <v>25</v>
      </c>
      <c r="F373" t="s">
        <v>77</v>
      </c>
      <c r="G373" t="s">
        <v>265</v>
      </c>
      <c r="H373">
        <v>2</v>
      </c>
      <c r="I373">
        <v>2840.09</v>
      </c>
      <c r="J373" t="s">
        <v>28</v>
      </c>
      <c r="K373" t="s">
        <v>43</v>
      </c>
      <c r="L373">
        <f t="shared" si="5"/>
        <v>5680.18</v>
      </c>
    </row>
    <row r="374" spans="1:12" x14ac:dyDescent="0.3">
      <c r="A374" t="s">
        <v>1316</v>
      </c>
      <c r="B374" t="s">
        <v>1317</v>
      </c>
      <c r="C374" t="s">
        <v>1318</v>
      </c>
      <c r="D374" t="s">
        <v>1056</v>
      </c>
      <c r="E374" t="s">
        <v>128</v>
      </c>
      <c r="F374" t="s">
        <v>26</v>
      </c>
      <c r="G374" t="s">
        <v>208</v>
      </c>
      <c r="H374">
        <v>2</v>
      </c>
      <c r="I374">
        <v>3264.99</v>
      </c>
      <c r="J374" t="s">
        <v>50</v>
      </c>
      <c r="K374" t="s">
        <v>51</v>
      </c>
      <c r="L374">
        <f t="shared" si="5"/>
        <v>6529.98</v>
      </c>
    </row>
    <row r="375" spans="1:12" x14ac:dyDescent="0.3">
      <c r="A375" t="s">
        <v>1319</v>
      </c>
      <c r="B375" t="s">
        <v>1320</v>
      </c>
      <c r="C375" t="s">
        <v>1321</v>
      </c>
      <c r="D375" t="s">
        <v>1322</v>
      </c>
      <c r="E375" t="s">
        <v>62</v>
      </c>
      <c r="F375" t="s">
        <v>48</v>
      </c>
      <c r="G375" t="s">
        <v>57</v>
      </c>
      <c r="H375">
        <v>3</v>
      </c>
      <c r="I375">
        <v>3380.22</v>
      </c>
      <c r="J375" t="s">
        <v>50</v>
      </c>
      <c r="K375" t="s">
        <v>83</v>
      </c>
      <c r="L375">
        <f t="shared" si="5"/>
        <v>10140.66</v>
      </c>
    </row>
    <row r="376" spans="1:12" x14ac:dyDescent="0.3">
      <c r="A376" t="s">
        <v>1323</v>
      </c>
      <c r="B376" t="s">
        <v>31</v>
      </c>
      <c r="C376" t="s">
        <v>1324</v>
      </c>
      <c r="D376" t="s">
        <v>1325</v>
      </c>
      <c r="E376" t="s">
        <v>56</v>
      </c>
      <c r="F376" t="s">
        <v>77</v>
      </c>
      <c r="G376" t="s">
        <v>123</v>
      </c>
      <c r="H376">
        <v>7</v>
      </c>
      <c r="I376">
        <v>2131.0300000000002</v>
      </c>
      <c r="J376" t="s">
        <v>28</v>
      </c>
      <c r="K376" t="s">
        <v>43</v>
      </c>
      <c r="L376">
        <f t="shared" si="5"/>
        <v>14917.210000000001</v>
      </c>
    </row>
    <row r="377" spans="1:12" x14ac:dyDescent="0.3">
      <c r="A377" t="s">
        <v>1326</v>
      </c>
      <c r="B377" t="s">
        <v>343</v>
      </c>
      <c r="C377" t="s">
        <v>1327</v>
      </c>
      <c r="D377" t="s">
        <v>1328</v>
      </c>
      <c r="E377" t="s">
        <v>16</v>
      </c>
      <c r="F377" t="s">
        <v>17</v>
      </c>
      <c r="G377" t="s">
        <v>18</v>
      </c>
      <c r="H377">
        <v>7</v>
      </c>
      <c r="I377">
        <v>2294.7600000000002</v>
      </c>
      <c r="J377" t="s">
        <v>42</v>
      </c>
      <c r="K377" t="s">
        <v>36</v>
      </c>
      <c r="L377">
        <f t="shared" si="5"/>
        <v>16063.320000000002</v>
      </c>
    </row>
    <row r="378" spans="1:12" x14ac:dyDescent="0.3">
      <c r="A378" t="s">
        <v>1329</v>
      </c>
      <c r="B378" t="s">
        <v>1330</v>
      </c>
      <c r="C378" t="s">
        <v>1331</v>
      </c>
      <c r="D378" t="s">
        <v>1332</v>
      </c>
      <c r="E378" t="s">
        <v>128</v>
      </c>
      <c r="F378" t="s">
        <v>17</v>
      </c>
      <c r="G378" t="s">
        <v>188</v>
      </c>
      <c r="H378">
        <v>8</v>
      </c>
      <c r="I378">
        <v>4526.37</v>
      </c>
      <c r="J378" t="s">
        <v>50</v>
      </c>
      <c r="K378" t="s">
        <v>51</v>
      </c>
      <c r="L378">
        <f t="shared" si="5"/>
        <v>36210.959999999999</v>
      </c>
    </row>
    <row r="379" spans="1:12" x14ac:dyDescent="0.3">
      <c r="A379" t="s">
        <v>1333</v>
      </c>
      <c r="B379" t="s">
        <v>1334</v>
      </c>
      <c r="C379" t="s">
        <v>1335</v>
      </c>
      <c r="D379" t="s">
        <v>1336</v>
      </c>
      <c r="E379" t="s">
        <v>25</v>
      </c>
      <c r="F379" t="s">
        <v>77</v>
      </c>
      <c r="G379" t="s">
        <v>105</v>
      </c>
      <c r="H379">
        <v>3</v>
      </c>
      <c r="I379">
        <v>3594.16</v>
      </c>
      <c r="J379" t="s">
        <v>42</v>
      </c>
      <c r="K379" t="s">
        <v>20</v>
      </c>
      <c r="L379">
        <f t="shared" si="5"/>
        <v>10782.48</v>
      </c>
    </row>
    <row r="380" spans="1:12" x14ac:dyDescent="0.3">
      <c r="A380" t="s">
        <v>1337</v>
      </c>
      <c r="B380" t="s">
        <v>1153</v>
      </c>
      <c r="C380" t="s">
        <v>1338</v>
      </c>
      <c r="D380" t="s">
        <v>1339</v>
      </c>
      <c r="E380" t="s">
        <v>34</v>
      </c>
      <c r="F380" t="s">
        <v>26</v>
      </c>
      <c r="G380" t="s">
        <v>115</v>
      </c>
      <c r="H380">
        <v>5</v>
      </c>
      <c r="I380">
        <v>1698.19</v>
      </c>
      <c r="J380" t="s">
        <v>19</v>
      </c>
      <c r="K380" t="s">
        <v>20</v>
      </c>
      <c r="L380">
        <f t="shared" si="5"/>
        <v>8490.9500000000007</v>
      </c>
    </row>
    <row r="381" spans="1:12" x14ac:dyDescent="0.3">
      <c r="A381" t="s">
        <v>1340</v>
      </c>
      <c r="B381" t="s">
        <v>924</v>
      </c>
      <c r="C381" t="s">
        <v>1341</v>
      </c>
      <c r="D381" t="s">
        <v>1342</v>
      </c>
      <c r="E381" t="s">
        <v>34</v>
      </c>
      <c r="F381" t="s">
        <v>17</v>
      </c>
      <c r="G381" t="s">
        <v>18</v>
      </c>
      <c r="H381">
        <v>9</v>
      </c>
      <c r="I381">
        <v>1188.8900000000001</v>
      </c>
      <c r="J381" t="s">
        <v>28</v>
      </c>
      <c r="K381" t="s">
        <v>29</v>
      </c>
      <c r="L381">
        <f t="shared" si="5"/>
        <v>10700.01</v>
      </c>
    </row>
    <row r="382" spans="1:12" x14ac:dyDescent="0.3">
      <c r="A382" t="s">
        <v>1343</v>
      </c>
      <c r="B382" t="s">
        <v>262</v>
      </c>
      <c r="C382" t="s">
        <v>1344</v>
      </c>
      <c r="D382" t="s">
        <v>1345</v>
      </c>
      <c r="E382" t="s">
        <v>56</v>
      </c>
      <c r="F382" t="s">
        <v>17</v>
      </c>
      <c r="G382" t="s">
        <v>41</v>
      </c>
      <c r="H382">
        <v>8</v>
      </c>
      <c r="I382">
        <v>1263.6400000000001</v>
      </c>
      <c r="J382" t="s">
        <v>19</v>
      </c>
      <c r="K382" t="s">
        <v>83</v>
      </c>
      <c r="L382">
        <f t="shared" si="5"/>
        <v>10109.120000000001</v>
      </c>
    </row>
    <row r="383" spans="1:12" x14ac:dyDescent="0.3">
      <c r="A383" t="s">
        <v>1346</v>
      </c>
      <c r="B383" t="s">
        <v>886</v>
      </c>
      <c r="C383" t="s">
        <v>1347</v>
      </c>
      <c r="D383" t="s">
        <v>1348</v>
      </c>
      <c r="E383" t="s">
        <v>95</v>
      </c>
      <c r="F383" t="s">
        <v>17</v>
      </c>
      <c r="G383" t="s">
        <v>68</v>
      </c>
      <c r="H383">
        <v>9</v>
      </c>
      <c r="I383">
        <v>2499.44</v>
      </c>
      <c r="J383" t="s">
        <v>50</v>
      </c>
      <c r="K383" t="s">
        <v>51</v>
      </c>
      <c r="L383">
        <f t="shared" si="5"/>
        <v>22494.959999999999</v>
      </c>
    </row>
    <row r="384" spans="1:12" x14ac:dyDescent="0.3">
      <c r="A384" t="s">
        <v>1349</v>
      </c>
      <c r="B384" t="s">
        <v>1350</v>
      </c>
      <c r="C384" t="s">
        <v>1351</v>
      </c>
      <c r="D384" t="s">
        <v>1352</v>
      </c>
      <c r="E384" t="s">
        <v>62</v>
      </c>
      <c r="F384" t="s">
        <v>17</v>
      </c>
      <c r="G384" t="s">
        <v>68</v>
      </c>
      <c r="H384">
        <v>2</v>
      </c>
      <c r="I384">
        <v>687.98</v>
      </c>
      <c r="J384" t="s">
        <v>28</v>
      </c>
      <c r="K384" t="s">
        <v>83</v>
      </c>
      <c r="L384">
        <f t="shared" si="5"/>
        <v>1375.96</v>
      </c>
    </row>
    <row r="385" spans="1:12" x14ac:dyDescent="0.3">
      <c r="A385" t="s">
        <v>1353</v>
      </c>
      <c r="B385" t="s">
        <v>672</v>
      </c>
      <c r="C385" t="s">
        <v>1354</v>
      </c>
      <c r="D385" t="s">
        <v>1355</v>
      </c>
      <c r="E385" t="s">
        <v>25</v>
      </c>
      <c r="F385" t="s">
        <v>48</v>
      </c>
      <c r="G385" t="s">
        <v>110</v>
      </c>
      <c r="H385">
        <v>2</v>
      </c>
      <c r="I385">
        <v>3624.4</v>
      </c>
      <c r="J385" t="s">
        <v>28</v>
      </c>
      <c r="K385" t="s">
        <v>36</v>
      </c>
      <c r="L385">
        <f t="shared" si="5"/>
        <v>7248.8</v>
      </c>
    </row>
    <row r="386" spans="1:12" x14ac:dyDescent="0.3">
      <c r="A386" t="s">
        <v>1356</v>
      </c>
      <c r="B386" t="s">
        <v>898</v>
      </c>
      <c r="C386" t="s">
        <v>527</v>
      </c>
      <c r="D386" t="s">
        <v>1357</v>
      </c>
      <c r="E386" t="s">
        <v>16</v>
      </c>
      <c r="F386" t="s">
        <v>26</v>
      </c>
      <c r="G386" t="s">
        <v>115</v>
      </c>
      <c r="H386">
        <v>1</v>
      </c>
      <c r="I386">
        <v>4056.97</v>
      </c>
      <c r="J386" t="s">
        <v>19</v>
      </c>
      <c r="K386" t="s">
        <v>43</v>
      </c>
      <c r="L386">
        <f t="shared" si="5"/>
        <v>4056.97</v>
      </c>
    </row>
    <row r="387" spans="1:12" x14ac:dyDescent="0.3">
      <c r="A387" t="s">
        <v>1358</v>
      </c>
      <c r="B387" t="s">
        <v>886</v>
      </c>
      <c r="C387" t="s">
        <v>1359</v>
      </c>
      <c r="D387" t="s">
        <v>1360</v>
      </c>
      <c r="E387" t="s">
        <v>104</v>
      </c>
      <c r="F387" t="s">
        <v>17</v>
      </c>
      <c r="G387" t="s">
        <v>68</v>
      </c>
      <c r="H387">
        <v>2</v>
      </c>
      <c r="I387">
        <v>3303.62</v>
      </c>
      <c r="J387" t="s">
        <v>28</v>
      </c>
      <c r="K387" t="s">
        <v>51</v>
      </c>
      <c r="L387">
        <f t="shared" ref="L387:L450" si="6">H387*I387</f>
        <v>6607.24</v>
      </c>
    </row>
    <row r="388" spans="1:12" x14ac:dyDescent="0.3">
      <c r="A388" t="s">
        <v>1361</v>
      </c>
      <c r="B388" t="s">
        <v>1362</v>
      </c>
      <c r="C388" t="s">
        <v>1363</v>
      </c>
      <c r="D388" t="s">
        <v>1364</v>
      </c>
      <c r="E388" t="s">
        <v>128</v>
      </c>
      <c r="F388" t="s">
        <v>48</v>
      </c>
      <c r="G388" t="s">
        <v>57</v>
      </c>
      <c r="H388">
        <v>4</v>
      </c>
      <c r="I388">
        <v>4131.21</v>
      </c>
      <c r="J388" t="s">
        <v>42</v>
      </c>
      <c r="K388" t="s">
        <v>20</v>
      </c>
      <c r="L388">
        <f t="shared" si="6"/>
        <v>16524.84</v>
      </c>
    </row>
    <row r="389" spans="1:12" x14ac:dyDescent="0.3">
      <c r="A389" t="s">
        <v>1365</v>
      </c>
      <c r="B389" t="s">
        <v>1226</v>
      </c>
      <c r="C389" t="s">
        <v>206</v>
      </c>
      <c r="D389" t="s">
        <v>1366</v>
      </c>
      <c r="E389" t="s">
        <v>62</v>
      </c>
      <c r="F389" t="s">
        <v>77</v>
      </c>
      <c r="G389" t="s">
        <v>123</v>
      </c>
      <c r="H389">
        <v>5</v>
      </c>
      <c r="I389">
        <v>3127.04</v>
      </c>
      <c r="J389" t="s">
        <v>42</v>
      </c>
      <c r="K389" t="s">
        <v>36</v>
      </c>
      <c r="L389">
        <f t="shared" si="6"/>
        <v>15635.2</v>
      </c>
    </row>
    <row r="390" spans="1:12" x14ac:dyDescent="0.3">
      <c r="A390" t="s">
        <v>1367</v>
      </c>
      <c r="B390" t="s">
        <v>1234</v>
      </c>
      <c r="C390" t="s">
        <v>1068</v>
      </c>
      <c r="D390" t="s">
        <v>1355</v>
      </c>
      <c r="E390" t="s">
        <v>56</v>
      </c>
      <c r="F390" t="s">
        <v>26</v>
      </c>
      <c r="G390" t="s">
        <v>115</v>
      </c>
      <c r="H390">
        <v>7</v>
      </c>
      <c r="I390">
        <v>3076.2</v>
      </c>
      <c r="J390" t="s">
        <v>42</v>
      </c>
      <c r="K390" t="s">
        <v>20</v>
      </c>
      <c r="L390">
        <f t="shared" si="6"/>
        <v>21533.399999999998</v>
      </c>
    </row>
    <row r="391" spans="1:12" x14ac:dyDescent="0.3">
      <c r="A391" t="s">
        <v>1368</v>
      </c>
      <c r="B391" t="s">
        <v>449</v>
      </c>
      <c r="C391" t="s">
        <v>1369</v>
      </c>
      <c r="D391" t="s">
        <v>395</v>
      </c>
      <c r="E391" t="s">
        <v>34</v>
      </c>
      <c r="F391" t="s">
        <v>48</v>
      </c>
      <c r="G391" t="s">
        <v>57</v>
      </c>
      <c r="H391">
        <v>4</v>
      </c>
      <c r="I391">
        <v>734.93</v>
      </c>
      <c r="J391" t="s">
        <v>42</v>
      </c>
      <c r="K391" t="s">
        <v>43</v>
      </c>
      <c r="L391">
        <f t="shared" si="6"/>
        <v>2939.72</v>
      </c>
    </row>
    <row r="392" spans="1:12" x14ac:dyDescent="0.3">
      <c r="A392" t="s">
        <v>1370</v>
      </c>
      <c r="B392" t="s">
        <v>226</v>
      </c>
      <c r="C392" t="s">
        <v>1128</v>
      </c>
      <c r="D392" t="s">
        <v>1371</v>
      </c>
      <c r="E392" t="s">
        <v>62</v>
      </c>
      <c r="F392" t="s">
        <v>17</v>
      </c>
      <c r="G392" t="s">
        <v>41</v>
      </c>
      <c r="H392">
        <v>5</v>
      </c>
      <c r="I392">
        <v>1718.38</v>
      </c>
      <c r="J392" t="s">
        <v>50</v>
      </c>
      <c r="K392" t="s">
        <v>43</v>
      </c>
      <c r="L392">
        <f t="shared" si="6"/>
        <v>8591.9000000000015</v>
      </c>
    </row>
    <row r="393" spans="1:12" x14ac:dyDescent="0.3">
      <c r="A393" t="s">
        <v>1372</v>
      </c>
      <c r="B393" t="s">
        <v>1373</v>
      </c>
      <c r="C393" t="s">
        <v>781</v>
      </c>
      <c r="D393" t="s">
        <v>1041</v>
      </c>
      <c r="E393" t="s">
        <v>95</v>
      </c>
      <c r="F393" t="s">
        <v>17</v>
      </c>
      <c r="G393" t="s">
        <v>68</v>
      </c>
      <c r="H393">
        <v>5</v>
      </c>
      <c r="I393">
        <v>2233.6799999999998</v>
      </c>
      <c r="J393" t="s">
        <v>42</v>
      </c>
      <c r="K393" t="s">
        <v>36</v>
      </c>
      <c r="L393">
        <f t="shared" si="6"/>
        <v>11168.4</v>
      </c>
    </row>
    <row r="394" spans="1:12" x14ac:dyDescent="0.3">
      <c r="A394" t="s">
        <v>1374</v>
      </c>
      <c r="B394" t="s">
        <v>1375</v>
      </c>
      <c r="C394" t="s">
        <v>1376</v>
      </c>
      <c r="D394" t="s">
        <v>838</v>
      </c>
      <c r="E394" t="s">
        <v>25</v>
      </c>
      <c r="F394" t="s">
        <v>17</v>
      </c>
      <c r="G394" t="s">
        <v>41</v>
      </c>
      <c r="H394">
        <v>8</v>
      </c>
      <c r="I394">
        <v>2395.7199999999998</v>
      </c>
      <c r="J394" t="s">
        <v>42</v>
      </c>
      <c r="K394" t="s">
        <v>20</v>
      </c>
      <c r="L394">
        <f t="shared" si="6"/>
        <v>19165.759999999998</v>
      </c>
    </row>
    <row r="395" spans="1:12" x14ac:dyDescent="0.3">
      <c r="A395" t="s">
        <v>1377</v>
      </c>
      <c r="B395" t="s">
        <v>1378</v>
      </c>
      <c r="C395" t="s">
        <v>647</v>
      </c>
      <c r="D395" t="s">
        <v>1081</v>
      </c>
      <c r="E395" t="s">
        <v>34</v>
      </c>
      <c r="F395" t="s">
        <v>48</v>
      </c>
      <c r="G395" t="s">
        <v>49</v>
      </c>
      <c r="H395">
        <v>7</v>
      </c>
      <c r="I395">
        <v>1795.51</v>
      </c>
      <c r="J395" t="s">
        <v>28</v>
      </c>
      <c r="K395" t="s">
        <v>83</v>
      </c>
      <c r="L395">
        <f t="shared" si="6"/>
        <v>12568.57</v>
      </c>
    </row>
    <row r="396" spans="1:12" x14ac:dyDescent="0.3">
      <c r="A396" t="s">
        <v>1379</v>
      </c>
      <c r="B396" t="s">
        <v>1380</v>
      </c>
      <c r="C396" t="s">
        <v>1381</v>
      </c>
      <c r="D396" t="s">
        <v>1382</v>
      </c>
      <c r="E396" t="s">
        <v>128</v>
      </c>
      <c r="F396" t="s">
        <v>77</v>
      </c>
      <c r="G396" t="s">
        <v>123</v>
      </c>
      <c r="H396">
        <v>5</v>
      </c>
      <c r="I396">
        <v>4117.1000000000004</v>
      </c>
      <c r="J396" t="s">
        <v>28</v>
      </c>
      <c r="K396" t="s">
        <v>83</v>
      </c>
      <c r="L396">
        <f t="shared" si="6"/>
        <v>20585.5</v>
      </c>
    </row>
    <row r="397" spans="1:12" x14ac:dyDescent="0.3">
      <c r="A397" t="s">
        <v>1383</v>
      </c>
      <c r="B397" t="s">
        <v>1384</v>
      </c>
      <c r="C397" t="s">
        <v>1385</v>
      </c>
      <c r="D397" t="s">
        <v>1386</v>
      </c>
      <c r="E397" t="s">
        <v>62</v>
      </c>
      <c r="F397" t="s">
        <v>26</v>
      </c>
      <c r="G397" t="s">
        <v>115</v>
      </c>
      <c r="H397">
        <v>5</v>
      </c>
      <c r="I397">
        <v>3076.54</v>
      </c>
      <c r="J397" t="s">
        <v>50</v>
      </c>
      <c r="K397" t="s">
        <v>29</v>
      </c>
      <c r="L397">
        <f t="shared" si="6"/>
        <v>15382.7</v>
      </c>
    </row>
    <row r="398" spans="1:12" x14ac:dyDescent="0.3">
      <c r="A398" t="s">
        <v>1387</v>
      </c>
      <c r="B398" t="s">
        <v>1388</v>
      </c>
      <c r="C398" t="s">
        <v>1389</v>
      </c>
      <c r="D398" t="s">
        <v>1390</v>
      </c>
      <c r="E398" t="s">
        <v>128</v>
      </c>
      <c r="F398" t="s">
        <v>26</v>
      </c>
      <c r="G398" t="s">
        <v>27</v>
      </c>
      <c r="H398">
        <v>5</v>
      </c>
      <c r="I398">
        <v>550.29999999999995</v>
      </c>
      <c r="J398" t="s">
        <v>19</v>
      </c>
      <c r="K398" t="s">
        <v>36</v>
      </c>
      <c r="L398">
        <f t="shared" si="6"/>
        <v>2751.5</v>
      </c>
    </row>
    <row r="399" spans="1:12" x14ac:dyDescent="0.3">
      <c r="A399" t="s">
        <v>1391</v>
      </c>
      <c r="B399" t="s">
        <v>1392</v>
      </c>
      <c r="C399" t="s">
        <v>769</v>
      </c>
      <c r="D399" t="s">
        <v>1390</v>
      </c>
      <c r="E399" t="s">
        <v>56</v>
      </c>
      <c r="F399" t="s">
        <v>17</v>
      </c>
      <c r="G399" t="s">
        <v>41</v>
      </c>
      <c r="H399">
        <v>10</v>
      </c>
      <c r="I399">
        <v>2959.8</v>
      </c>
      <c r="J399" t="s">
        <v>28</v>
      </c>
      <c r="K399" t="s">
        <v>43</v>
      </c>
      <c r="L399">
        <f t="shared" si="6"/>
        <v>29598</v>
      </c>
    </row>
    <row r="400" spans="1:12" x14ac:dyDescent="0.3">
      <c r="A400" t="s">
        <v>1393</v>
      </c>
      <c r="B400" t="s">
        <v>467</v>
      </c>
      <c r="C400" t="s">
        <v>1321</v>
      </c>
      <c r="D400" t="s">
        <v>775</v>
      </c>
      <c r="E400" t="s">
        <v>95</v>
      </c>
      <c r="F400" t="s">
        <v>26</v>
      </c>
      <c r="G400" t="s">
        <v>115</v>
      </c>
      <c r="H400">
        <v>9</v>
      </c>
      <c r="I400">
        <v>1668.35</v>
      </c>
      <c r="J400" t="s">
        <v>28</v>
      </c>
      <c r="K400" t="s">
        <v>83</v>
      </c>
      <c r="L400">
        <f t="shared" si="6"/>
        <v>15015.15</v>
      </c>
    </row>
    <row r="401" spans="1:12" x14ac:dyDescent="0.3">
      <c r="A401" t="s">
        <v>1394</v>
      </c>
      <c r="B401" t="s">
        <v>107</v>
      </c>
      <c r="C401" t="s">
        <v>1395</v>
      </c>
      <c r="D401" t="s">
        <v>1396</v>
      </c>
      <c r="E401" t="s">
        <v>25</v>
      </c>
      <c r="F401" t="s">
        <v>17</v>
      </c>
      <c r="G401" t="s">
        <v>18</v>
      </c>
      <c r="H401">
        <v>5</v>
      </c>
      <c r="I401">
        <v>4101.8599999999997</v>
      </c>
      <c r="J401" t="s">
        <v>42</v>
      </c>
      <c r="K401" t="s">
        <v>51</v>
      </c>
      <c r="L401">
        <f t="shared" si="6"/>
        <v>20509.3</v>
      </c>
    </row>
    <row r="402" spans="1:12" x14ac:dyDescent="0.3">
      <c r="A402" t="s">
        <v>1397</v>
      </c>
      <c r="B402" t="s">
        <v>1398</v>
      </c>
      <c r="C402" t="s">
        <v>1399</v>
      </c>
      <c r="D402" t="s">
        <v>1400</v>
      </c>
      <c r="E402" t="s">
        <v>34</v>
      </c>
      <c r="F402" t="s">
        <v>48</v>
      </c>
      <c r="G402" t="s">
        <v>179</v>
      </c>
      <c r="H402">
        <v>5</v>
      </c>
      <c r="I402">
        <v>1821.37</v>
      </c>
      <c r="J402" t="s">
        <v>28</v>
      </c>
      <c r="K402" t="s">
        <v>29</v>
      </c>
      <c r="L402">
        <f t="shared" si="6"/>
        <v>9106.8499999999985</v>
      </c>
    </row>
    <row r="403" spans="1:12" x14ac:dyDescent="0.3">
      <c r="A403" t="s">
        <v>1401</v>
      </c>
      <c r="B403" t="s">
        <v>804</v>
      </c>
      <c r="C403" t="s">
        <v>1402</v>
      </c>
      <c r="D403" t="s">
        <v>1315</v>
      </c>
      <c r="E403" t="s">
        <v>104</v>
      </c>
      <c r="F403" t="s">
        <v>26</v>
      </c>
      <c r="G403" t="s">
        <v>208</v>
      </c>
      <c r="H403">
        <v>8</v>
      </c>
      <c r="I403">
        <v>3397.82</v>
      </c>
      <c r="J403" t="s">
        <v>19</v>
      </c>
      <c r="K403" t="s">
        <v>43</v>
      </c>
      <c r="L403">
        <f t="shared" si="6"/>
        <v>27182.560000000001</v>
      </c>
    </row>
    <row r="404" spans="1:12" x14ac:dyDescent="0.3">
      <c r="A404" t="s">
        <v>1403</v>
      </c>
      <c r="B404" t="s">
        <v>1286</v>
      </c>
      <c r="C404" t="s">
        <v>1404</v>
      </c>
      <c r="D404" t="s">
        <v>1405</v>
      </c>
      <c r="E404" t="s">
        <v>128</v>
      </c>
      <c r="F404" t="s">
        <v>48</v>
      </c>
      <c r="G404" t="s">
        <v>49</v>
      </c>
      <c r="H404">
        <v>5</v>
      </c>
      <c r="I404">
        <v>3558.96</v>
      </c>
      <c r="J404" t="s">
        <v>50</v>
      </c>
      <c r="K404" t="s">
        <v>51</v>
      </c>
      <c r="L404">
        <f t="shared" si="6"/>
        <v>17794.8</v>
      </c>
    </row>
    <row r="405" spans="1:12" x14ac:dyDescent="0.3">
      <c r="A405" t="s">
        <v>1406</v>
      </c>
      <c r="B405" t="s">
        <v>1388</v>
      </c>
      <c r="C405" t="s">
        <v>1407</v>
      </c>
      <c r="D405" t="s">
        <v>1408</v>
      </c>
      <c r="E405" t="s">
        <v>25</v>
      </c>
      <c r="F405" t="s">
        <v>26</v>
      </c>
      <c r="G405" t="s">
        <v>166</v>
      </c>
      <c r="H405">
        <v>1</v>
      </c>
      <c r="I405">
        <v>3666.82</v>
      </c>
      <c r="J405" t="s">
        <v>50</v>
      </c>
      <c r="K405" t="s">
        <v>36</v>
      </c>
      <c r="L405">
        <f t="shared" si="6"/>
        <v>3666.82</v>
      </c>
    </row>
    <row r="406" spans="1:12" x14ac:dyDescent="0.3">
      <c r="A406" t="s">
        <v>1409</v>
      </c>
      <c r="B406" t="s">
        <v>181</v>
      </c>
      <c r="C406" t="s">
        <v>1410</v>
      </c>
      <c r="D406" t="s">
        <v>1411</v>
      </c>
      <c r="E406" t="s">
        <v>104</v>
      </c>
      <c r="F406" t="s">
        <v>77</v>
      </c>
      <c r="G406" t="s">
        <v>171</v>
      </c>
      <c r="H406">
        <v>8</v>
      </c>
      <c r="I406">
        <v>4575.6099999999997</v>
      </c>
      <c r="J406" t="s">
        <v>28</v>
      </c>
      <c r="K406" t="s">
        <v>29</v>
      </c>
      <c r="L406">
        <f t="shared" si="6"/>
        <v>36604.879999999997</v>
      </c>
    </row>
    <row r="407" spans="1:12" x14ac:dyDescent="0.3">
      <c r="A407" t="s">
        <v>1412</v>
      </c>
      <c r="B407" t="s">
        <v>1413</v>
      </c>
      <c r="C407" t="s">
        <v>953</v>
      </c>
      <c r="D407" t="s">
        <v>1414</v>
      </c>
      <c r="E407" t="s">
        <v>62</v>
      </c>
      <c r="F407" t="s">
        <v>26</v>
      </c>
      <c r="G407" t="s">
        <v>208</v>
      </c>
      <c r="H407">
        <v>8</v>
      </c>
      <c r="I407">
        <v>2143.35</v>
      </c>
      <c r="J407" t="s">
        <v>19</v>
      </c>
      <c r="K407" t="s">
        <v>36</v>
      </c>
      <c r="L407">
        <f t="shared" si="6"/>
        <v>17146.8</v>
      </c>
    </row>
    <row r="408" spans="1:12" x14ac:dyDescent="0.3">
      <c r="A408" t="s">
        <v>1415</v>
      </c>
      <c r="B408" t="s">
        <v>1416</v>
      </c>
      <c r="C408" t="s">
        <v>1417</v>
      </c>
      <c r="D408" t="s">
        <v>1418</v>
      </c>
      <c r="E408" t="s">
        <v>34</v>
      </c>
      <c r="F408" t="s">
        <v>17</v>
      </c>
      <c r="G408" t="s">
        <v>188</v>
      </c>
      <c r="H408">
        <v>1</v>
      </c>
      <c r="I408">
        <v>4876.92</v>
      </c>
      <c r="J408" t="s">
        <v>19</v>
      </c>
      <c r="K408" t="s">
        <v>29</v>
      </c>
      <c r="L408">
        <f t="shared" si="6"/>
        <v>4876.92</v>
      </c>
    </row>
    <row r="409" spans="1:12" x14ac:dyDescent="0.3">
      <c r="A409" t="s">
        <v>1419</v>
      </c>
      <c r="B409" t="s">
        <v>1151</v>
      </c>
      <c r="C409" t="s">
        <v>1420</v>
      </c>
      <c r="D409" t="s">
        <v>1421</v>
      </c>
      <c r="E409" t="s">
        <v>25</v>
      </c>
      <c r="F409" t="s">
        <v>26</v>
      </c>
      <c r="G409" t="s">
        <v>208</v>
      </c>
      <c r="H409">
        <v>5</v>
      </c>
      <c r="I409">
        <v>283.95999999999998</v>
      </c>
      <c r="J409" t="s">
        <v>50</v>
      </c>
      <c r="K409" t="s">
        <v>83</v>
      </c>
      <c r="L409">
        <f t="shared" si="6"/>
        <v>1419.8</v>
      </c>
    </row>
    <row r="410" spans="1:12" x14ac:dyDescent="0.3">
      <c r="A410" t="s">
        <v>1422</v>
      </c>
      <c r="B410" t="s">
        <v>893</v>
      </c>
      <c r="C410" t="s">
        <v>1423</v>
      </c>
      <c r="D410" t="s">
        <v>1424</v>
      </c>
      <c r="E410" t="s">
        <v>16</v>
      </c>
      <c r="F410" t="s">
        <v>77</v>
      </c>
      <c r="G410" t="s">
        <v>123</v>
      </c>
      <c r="H410">
        <v>2</v>
      </c>
      <c r="I410">
        <v>1462.68</v>
      </c>
      <c r="J410" t="s">
        <v>28</v>
      </c>
      <c r="K410" t="s">
        <v>83</v>
      </c>
      <c r="L410">
        <f t="shared" si="6"/>
        <v>2925.36</v>
      </c>
    </row>
    <row r="411" spans="1:12" x14ac:dyDescent="0.3">
      <c r="A411" t="s">
        <v>1425</v>
      </c>
      <c r="B411" t="s">
        <v>1426</v>
      </c>
      <c r="C411" t="s">
        <v>1427</v>
      </c>
      <c r="D411" t="s">
        <v>1428</v>
      </c>
      <c r="E411" t="s">
        <v>95</v>
      </c>
      <c r="F411" t="s">
        <v>48</v>
      </c>
      <c r="G411" t="s">
        <v>57</v>
      </c>
      <c r="H411">
        <v>3</v>
      </c>
      <c r="I411">
        <v>2405.66</v>
      </c>
      <c r="J411" t="s">
        <v>19</v>
      </c>
      <c r="K411" t="s">
        <v>51</v>
      </c>
      <c r="L411">
        <f t="shared" si="6"/>
        <v>7216.98</v>
      </c>
    </row>
    <row r="412" spans="1:12" x14ac:dyDescent="0.3">
      <c r="A412" t="s">
        <v>1429</v>
      </c>
      <c r="B412" t="s">
        <v>1430</v>
      </c>
      <c r="C412" t="s">
        <v>1431</v>
      </c>
      <c r="D412" t="s">
        <v>1432</v>
      </c>
      <c r="E412" t="s">
        <v>128</v>
      </c>
      <c r="F412" t="s">
        <v>48</v>
      </c>
      <c r="G412" t="s">
        <v>63</v>
      </c>
      <c r="H412">
        <v>1</v>
      </c>
      <c r="I412">
        <v>4547.2</v>
      </c>
      <c r="J412" t="s">
        <v>50</v>
      </c>
      <c r="K412" t="s">
        <v>29</v>
      </c>
      <c r="L412">
        <f t="shared" si="6"/>
        <v>4547.2</v>
      </c>
    </row>
    <row r="413" spans="1:12" x14ac:dyDescent="0.3">
      <c r="A413" t="s">
        <v>1433</v>
      </c>
      <c r="B413" t="s">
        <v>501</v>
      </c>
      <c r="C413" t="s">
        <v>1434</v>
      </c>
      <c r="D413" t="s">
        <v>1435</v>
      </c>
      <c r="E413" t="s">
        <v>62</v>
      </c>
      <c r="F413" t="s">
        <v>26</v>
      </c>
      <c r="G413" t="s">
        <v>208</v>
      </c>
      <c r="H413">
        <v>2</v>
      </c>
      <c r="I413">
        <v>988.09</v>
      </c>
      <c r="J413" t="s">
        <v>42</v>
      </c>
      <c r="K413" t="s">
        <v>83</v>
      </c>
      <c r="L413">
        <f t="shared" si="6"/>
        <v>1976.18</v>
      </c>
    </row>
    <row r="414" spans="1:12" x14ac:dyDescent="0.3">
      <c r="A414" t="s">
        <v>1436</v>
      </c>
      <c r="B414" t="s">
        <v>1437</v>
      </c>
      <c r="C414" t="s">
        <v>1359</v>
      </c>
      <c r="D414" t="s">
        <v>1438</v>
      </c>
      <c r="E414" t="s">
        <v>95</v>
      </c>
      <c r="F414" t="s">
        <v>48</v>
      </c>
      <c r="G414" t="s">
        <v>57</v>
      </c>
      <c r="H414">
        <v>7</v>
      </c>
      <c r="I414">
        <v>2669.17</v>
      </c>
      <c r="J414" t="s">
        <v>19</v>
      </c>
      <c r="K414" t="s">
        <v>51</v>
      </c>
      <c r="L414">
        <f t="shared" si="6"/>
        <v>18684.190000000002</v>
      </c>
    </row>
    <row r="415" spans="1:12" x14ac:dyDescent="0.3">
      <c r="A415" t="s">
        <v>1439</v>
      </c>
      <c r="B415" t="s">
        <v>1440</v>
      </c>
      <c r="C415" t="s">
        <v>54</v>
      </c>
      <c r="D415" t="s">
        <v>1441</v>
      </c>
      <c r="E415" t="s">
        <v>128</v>
      </c>
      <c r="F415" t="s">
        <v>17</v>
      </c>
      <c r="G415" t="s">
        <v>188</v>
      </c>
      <c r="H415">
        <v>3</v>
      </c>
      <c r="I415">
        <v>2574.2600000000002</v>
      </c>
      <c r="J415" t="s">
        <v>19</v>
      </c>
      <c r="K415" t="s">
        <v>29</v>
      </c>
      <c r="L415">
        <f t="shared" si="6"/>
        <v>7722.7800000000007</v>
      </c>
    </row>
    <row r="416" spans="1:12" x14ac:dyDescent="0.3">
      <c r="A416" t="s">
        <v>1442</v>
      </c>
      <c r="B416" t="s">
        <v>756</v>
      </c>
      <c r="C416" t="s">
        <v>1443</v>
      </c>
      <c r="D416" t="s">
        <v>718</v>
      </c>
      <c r="E416" t="s">
        <v>104</v>
      </c>
      <c r="F416" t="s">
        <v>26</v>
      </c>
      <c r="G416" t="s">
        <v>208</v>
      </c>
      <c r="H416">
        <v>9</v>
      </c>
      <c r="I416">
        <v>4495.6400000000003</v>
      </c>
      <c r="J416" t="s">
        <v>28</v>
      </c>
      <c r="K416" t="s">
        <v>36</v>
      </c>
      <c r="L416">
        <f t="shared" si="6"/>
        <v>40460.76</v>
      </c>
    </row>
    <row r="417" spans="1:12" x14ac:dyDescent="0.3">
      <c r="A417" t="s">
        <v>1444</v>
      </c>
      <c r="B417" t="s">
        <v>1445</v>
      </c>
      <c r="C417" t="s">
        <v>1446</v>
      </c>
      <c r="D417" t="s">
        <v>1447</v>
      </c>
      <c r="E417" t="s">
        <v>104</v>
      </c>
      <c r="F417" t="s">
        <v>17</v>
      </c>
      <c r="G417" t="s">
        <v>18</v>
      </c>
      <c r="H417">
        <v>3</v>
      </c>
      <c r="I417">
        <v>4319.09</v>
      </c>
      <c r="J417" t="s">
        <v>42</v>
      </c>
      <c r="K417" t="s">
        <v>83</v>
      </c>
      <c r="L417">
        <f t="shared" si="6"/>
        <v>12957.27</v>
      </c>
    </row>
    <row r="418" spans="1:12" x14ac:dyDescent="0.3">
      <c r="A418" t="s">
        <v>1448</v>
      </c>
      <c r="B418" t="s">
        <v>449</v>
      </c>
      <c r="C418" t="s">
        <v>1385</v>
      </c>
      <c r="D418" t="s">
        <v>1449</v>
      </c>
      <c r="E418" t="s">
        <v>62</v>
      </c>
      <c r="F418" t="s">
        <v>48</v>
      </c>
      <c r="G418" t="s">
        <v>57</v>
      </c>
      <c r="H418">
        <v>2</v>
      </c>
      <c r="I418">
        <v>2671.86</v>
      </c>
      <c r="J418" t="s">
        <v>50</v>
      </c>
      <c r="K418" t="s">
        <v>20</v>
      </c>
      <c r="L418">
        <f t="shared" si="6"/>
        <v>5343.72</v>
      </c>
    </row>
    <row r="419" spans="1:12" x14ac:dyDescent="0.3">
      <c r="A419" t="s">
        <v>1450</v>
      </c>
      <c r="B419" t="s">
        <v>1451</v>
      </c>
      <c r="C419" t="s">
        <v>1452</v>
      </c>
      <c r="D419" t="s">
        <v>1453</v>
      </c>
      <c r="E419" t="s">
        <v>128</v>
      </c>
      <c r="F419" t="s">
        <v>77</v>
      </c>
      <c r="G419" t="s">
        <v>265</v>
      </c>
      <c r="H419">
        <v>5</v>
      </c>
      <c r="I419">
        <v>2209.3200000000002</v>
      </c>
      <c r="J419" t="s">
        <v>28</v>
      </c>
      <c r="K419" t="s">
        <v>51</v>
      </c>
      <c r="L419">
        <f t="shared" si="6"/>
        <v>11046.6</v>
      </c>
    </row>
    <row r="420" spans="1:12" x14ac:dyDescent="0.3">
      <c r="A420" t="s">
        <v>1454</v>
      </c>
      <c r="B420" t="s">
        <v>295</v>
      </c>
      <c r="C420" t="s">
        <v>1455</v>
      </c>
      <c r="D420" t="s">
        <v>778</v>
      </c>
      <c r="E420" t="s">
        <v>34</v>
      </c>
      <c r="F420" t="s">
        <v>17</v>
      </c>
      <c r="G420" t="s">
        <v>35</v>
      </c>
      <c r="H420">
        <v>3</v>
      </c>
      <c r="I420">
        <v>1119.47</v>
      </c>
      <c r="J420" t="s">
        <v>28</v>
      </c>
      <c r="K420" t="s">
        <v>51</v>
      </c>
      <c r="L420">
        <f t="shared" si="6"/>
        <v>3358.41</v>
      </c>
    </row>
    <row r="421" spans="1:12" x14ac:dyDescent="0.3">
      <c r="A421" t="s">
        <v>1456</v>
      </c>
      <c r="B421" t="s">
        <v>630</v>
      </c>
      <c r="C421" t="s">
        <v>1457</v>
      </c>
      <c r="D421" t="s">
        <v>1458</v>
      </c>
      <c r="E421" t="s">
        <v>34</v>
      </c>
      <c r="F421" t="s">
        <v>48</v>
      </c>
      <c r="G421" t="s">
        <v>57</v>
      </c>
      <c r="H421">
        <v>8</v>
      </c>
      <c r="I421">
        <v>286.33</v>
      </c>
      <c r="J421" t="s">
        <v>42</v>
      </c>
      <c r="K421" t="s">
        <v>29</v>
      </c>
      <c r="L421">
        <f t="shared" si="6"/>
        <v>2290.64</v>
      </c>
    </row>
    <row r="422" spans="1:12" x14ac:dyDescent="0.3">
      <c r="A422" t="s">
        <v>1459</v>
      </c>
      <c r="B422" t="s">
        <v>267</v>
      </c>
      <c r="C422" t="s">
        <v>1460</v>
      </c>
      <c r="D422" t="s">
        <v>165</v>
      </c>
      <c r="E422" t="s">
        <v>34</v>
      </c>
      <c r="F422" t="s">
        <v>48</v>
      </c>
      <c r="G422" t="s">
        <v>110</v>
      </c>
      <c r="H422">
        <v>7</v>
      </c>
      <c r="I422">
        <v>2533.67</v>
      </c>
      <c r="J422" t="s">
        <v>42</v>
      </c>
      <c r="K422" t="s">
        <v>20</v>
      </c>
      <c r="L422">
        <f t="shared" si="6"/>
        <v>17735.690000000002</v>
      </c>
    </row>
    <row r="423" spans="1:12" x14ac:dyDescent="0.3">
      <c r="A423" t="s">
        <v>1461</v>
      </c>
      <c r="B423" t="s">
        <v>1462</v>
      </c>
      <c r="C423" t="s">
        <v>1463</v>
      </c>
      <c r="D423" t="s">
        <v>315</v>
      </c>
      <c r="E423" t="s">
        <v>128</v>
      </c>
      <c r="F423" t="s">
        <v>77</v>
      </c>
      <c r="G423" t="s">
        <v>265</v>
      </c>
      <c r="H423">
        <v>3</v>
      </c>
      <c r="I423">
        <v>73.38</v>
      </c>
      <c r="J423" t="s">
        <v>28</v>
      </c>
      <c r="K423" t="s">
        <v>20</v>
      </c>
      <c r="L423">
        <f t="shared" si="6"/>
        <v>220.14</v>
      </c>
    </row>
    <row r="424" spans="1:12" x14ac:dyDescent="0.3">
      <c r="A424" t="s">
        <v>1464</v>
      </c>
      <c r="B424" t="s">
        <v>1286</v>
      </c>
      <c r="C424" t="s">
        <v>1465</v>
      </c>
      <c r="D424" t="s">
        <v>1466</v>
      </c>
      <c r="E424" t="s">
        <v>16</v>
      </c>
      <c r="F424" t="s">
        <v>77</v>
      </c>
      <c r="G424" t="s">
        <v>78</v>
      </c>
      <c r="H424">
        <v>7</v>
      </c>
      <c r="I424">
        <v>4785.2299999999996</v>
      </c>
      <c r="J424" t="s">
        <v>28</v>
      </c>
      <c r="K424" t="s">
        <v>36</v>
      </c>
      <c r="L424">
        <f t="shared" si="6"/>
        <v>33496.61</v>
      </c>
    </row>
    <row r="425" spans="1:12" x14ac:dyDescent="0.3">
      <c r="A425" t="s">
        <v>1467</v>
      </c>
      <c r="B425" t="s">
        <v>650</v>
      </c>
      <c r="C425" t="s">
        <v>1468</v>
      </c>
      <c r="D425" t="s">
        <v>1469</v>
      </c>
      <c r="E425" t="s">
        <v>62</v>
      </c>
      <c r="F425" t="s">
        <v>26</v>
      </c>
      <c r="G425" t="s">
        <v>166</v>
      </c>
      <c r="H425">
        <v>7</v>
      </c>
      <c r="I425">
        <v>3336.33</v>
      </c>
      <c r="J425" t="s">
        <v>19</v>
      </c>
      <c r="K425" t="s">
        <v>36</v>
      </c>
      <c r="L425">
        <f t="shared" si="6"/>
        <v>23354.309999999998</v>
      </c>
    </row>
    <row r="426" spans="1:12" x14ac:dyDescent="0.3">
      <c r="A426" t="s">
        <v>1470</v>
      </c>
      <c r="B426" t="s">
        <v>1471</v>
      </c>
      <c r="C426" t="s">
        <v>962</v>
      </c>
      <c r="D426" t="s">
        <v>252</v>
      </c>
      <c r="E426" t="s">
        <v>95</v>
      </c>
      <c r="F426" t="s">
        <v>48</v>
      </c>
      <c r="G426" t="s">
        <v>63</v>
      </c>
      <c r="H426">
        <v>8</v>
      </c>
      <c r="I426">
        <v>1274.6199999999999</v>
      </c>
      <c r="J426" t="s">
        <v>42</v>
      </c>
      <c r="K426" t="s">
        <v>51</v>
      </c>
      <c r="L426">
        <f t="shared" si="6"/>
        <v>10196.959999999999</v>
      </c>
    </row>
    <row r="427" spans="1:12" x14ac:dyDescent="0.3">
      <c r="A427" t="s">
        <v>1472</v>
      </c>
      <c r="B427" t="s">
        <v>1473</v>
      </c>
      <c r="C427" t="s">
        <v>1474</v>
      </c>
      <c r="D427" t="s">
        <v>1475</v>
      </c>
      <c r="E427" t="s">
        <v>104</v>
      </c>
      <c r="F427" t="s">
        <v>48</v>
      </c>
      <c r="G427" t="s">
        <v>179</v>
      </c>
      <c r="H427">
        <v>10</v>
      </c>
      <c r="I427">
        <v>1773.98</v>
      </c>
      <c r="J427" t="s">
        <v>28</v>
      </c>
      <c r="K427" t="s">
        <v>36</v>
      </c>
      <c r="L427">
        <f t="shared" si="6"/>
        <v>17739.8</v>
      </c>
    </row>
    <row r="428" spans="1:12" x14ac:dyDescent="0.3">
      <c r="A428" t="s">
        <v>1476</v>
      </c>
      <c r="B428" t="s">
        <v>773</v>
      </c>
      <c r="C428" t="s">
        <v>1477</v>
      </c>
      <c r="D428" t="s">
        <v>1478</v>
      </c>
      <c r="E428" t="s">
        <v>34</v>
      </c>
      <c r="F428" t="s">
        <v>48</v>
      </c>
      <c r="G428" t="s">
        <v>179</v>
      </c>
      <c r="H428">
        <v>2</v>
      </c>
      <c r="I428">
        <v>2754.84</v>
      </c>
      <c r="J428" t="s">
        <v>19</v>
      </c>
      <c r="K428" t="s">
        <v>43</v>
      </c>
      <c r="L428">
        <f t="shared" si="6"/>
        <v>5509.68</v>
      </c>
    </row>
    <row r="429" spans="1:12" x14ac:dyDescent="0.3">
      <c r="A429" t="s">
        <v>1479</v>
      </c>
      <c r="B429" t="s">
        <v>1480</v>
      </c>
      <c r="C429" t="s">
        <v>1481</v>
      </c>
      <c r="D429" t="s">
        <v>1482</v>
      </c>
      <c r="E429" t="s">
        <v>56</v>
      </c>
      <c r="F429" t="s">
        <v>26</v>
      </c>
      <c r="G429" t="s">
        <v>27</v>
      </c>
      <c r="H429">
        <v>3</v>
      </c>
      <c r="I429">
        <v>241.34</v>
      </c>
      <c r="J429" t="s">
        <v>28</v>
      </c>
      <c r="K429" t="s">
        <v>51</v>
      </c>
      <c r="L429">
        <f t="shared" si="6"/>
        <v>724.02</v>
      </c>
    </row>
    <row r="430" spans="1:12" x14ac:dyDescent="0.3">
      <c r="A430" t="s">
        <v>1483</v>
      </c>
      <c r="B430" t="s">
        <v>1484</v>
      </c>
      <c r="C430" t="s">
        <v>1344</v>
      </c>
      <c r="D430" t="s">
        <v>754</v>
      </c>
      <c r="E430" t="s">
        <v>128</v>
      </c>
      <c r="F430" t="s">
        <v>17</v>
      </c>
      <c r="G430" t="s">
        <v>68</v>
      </c>
      <c r="H430">
        <v>10</v>
      </c>
      <c r="I430">
        <v>3299.52</v>
      </c>
      <c r="J430" t="s">
        <v>19</v>
      </c>
      <c r="K430" t="s">
        <v>20</v>
      </c>
      <c r="L430">
        <f t="shared" si="6"/>
        <v>32995.199999999997</v>
      </c>
    </row>
    <row r="431" spans="1:12" x14ac:dyDescent="0.3">
      <c r="A431" t="s">
        <v>1485</v>
      </c>
      <c r="B431" t="s">
        <v>359</v>
      </c>
      <c r="C431" t="s">
        <v>420</v>
      </c>
      <c r="D431" t="s">
        <v>1486</v>
      </c>
      <c r="E431" t="s">
        <v>104</v>
      </c>
      <c r="F431" t="s">
        <v>26</v>
      </c>
      <c r="G431" t="s">
        <v>166</v>
      </c>
      <c r="H431">
        <v>4</v>
      </c>
      <c r="I431">
        <v>2700.49</v>
      </c>
      <c r="J431" t="s">
        <v>50</v>
      </c>
      <c r="K431" t="s">
        <v>29</v>
      </c>
      <c r="L431">
        <f t="shared" si="6"/>
        <v>10801.96</v>
      </c>
    </row>
    <row r="432" spans="1:12" x14ac:dyDescent="0.3">
      <c r="A432" t="s">
        <v>1487</v>
      </c>
      <c r="B432" t="s">
        <v>1488</v>
      </c>
      <c r="C432" t="s">
        <v>1489</v>
      </c>
      <c r="D432" t="s">
        <v>1441</v>
      </c>
      <c r="E432" t="s">
        <v>128</v>
      </c>
      <c r="F432" t="s">
        <v>17</v>
      </c>
      <c r="G432" t="s">
        <v>35</v>
      </c>
      <c r="H432">
        <v>8</v>
      </c>
      <c r="I432">
        <v>3363.51</v>
      </c>
      <c r="J432" t="s">
        <v>42</v>
      </c>
      <c r="K432" t="s">
        <v>29</v>
      </c>
      <c r="L432">
        <f t="shared" si="6"/>
        <v>26908.080000000002</v>
      </c>
    </row>
    <row r="433" spans="1:12" x14ac:dyDescent="0.3">
      <c r="A433" t="s">
        <v>1490</v>
      </c>
      <c r="B433" t="s">
        <v>1491</v>
      </c>
      <c r="C433" t="s">
        <v>1492</v>
      </c>
      <c r="D433" t="s">
        <v>1493</v>
      </c>
      <c r="E433" t="s">
        <v>25</v>
      </c>
      <c r="F433" t="s">
        <v>26</v>
      </c>
      <c r="G433" t="s">
        <v>166</v>
      </c>
      <c r="H433">
        <v>7</v>
      </c>
      <c r="I433">
        <v>534.19000000000005</v>
      </c>
      <c r="J433" t="s">
        <v>50</v>
      </c>
      <c r="K433" t="s">
        <v>36</v>
      </c>
      <c r="L433">
        <f t="shared" si="6"/>
        <v>3739.3300000000004</v>
      </c>
    </row>
    <row r="434" spans="1:12" x14ac:dyDescent="0.3">
      <c r="A434" t="s">
        <v>1494</v>
      </c>
      <c r="B434" t="s">
        <v>601</v>
      </c>
      <c r="C434" t="s">
        <v>1495</v>
      </c>
      <c r="D434" t="s">
        <v>1496</v>
      </c>
      <c r="E434" t="s">
        <v>34</v>
      </c>
      <c r="F434" t="s">
        <v>77</v>
      </c>
      <c r="G434" t="s">
        <v>171</v>
      </c>
      <c r="H434">
        <v>6</v>
      </c>
      <c r="I434">
        <v>383.34</v>
      </c>
      <c r="J434" t="s">
        <v>19</v>
      </c>
      <c r="K434" t="s">
        <v>36</v>
      </c>
      <c r="L434">
        <f t="shared" si="6"/>
        <v>2300.04</v>
      </c>
    </row>
    <row r="435" spans="1:12" x14ac:dyDescent="0.3">
      <c r="A435" t="s">
        <v>1497</v>
      </c>
      <c r="B435" t="s">
        <v>1204</v>
      </c>
      <c r="C435" t="s">
        <v>1498</v>
      </c>
      <c r="D435" t="s">
        <v>1499</v>
      </c>
      <c r="E435" t="s">
        <v>62</v>
      </c>
      <c r="F435" t="s">
        <v>26</v>
      </c>
      <c r="G435" t="s">
        <v>166</v>
      </c>
      <c r="H435">
        <v>5</v>
      </c>
      <c r="I435">
        <v>2801.91</v>
      </c>
      <c r="J435" t="s">
        <v>50</v>
      </c>
      <c r="K435" t="s">
        <v>43</v>
      </c>
      <c r="L435">
        <f t="shared" si="6"/>
        <v>14009.55</v>
      </c>
    </row>
    <row r="436" spans="1:12" x14ac:dyDescent="0.3">
      <c r="A436" t="s">
        <v>1500</v>
      </c>
      <c r="B436" t="s">
        <v>1501</v>
      </c>
      <c r="C436" t="s">
        <v>1502</v>
      </c>
      <c r="D436" t="s">
        <v>244</v>
      </c>
      <c r="E436" t="s">
        <v>56</v>
      </c>
      <c r="F436" t="s">
        <v>48</v>
      </c>
      <c r="G436" t="s">
        <v>63</v>
      </c>
      <c r="H436">
        <v>9</v>
      </c>
      <c r="I436">
        <v>4414.62</v>
      </c>
      <c r="J436" t="s">
        <v>42</v>
      </c>
      <c r="K436" t="s">
        <v>83</v>
      </c>
      <c r="L436">
        <f t="shared" si="6"/>
        <v>39731.58</v>
      </c>
    </row>
    <row r="437" spans="1:12" x14ac:dyDescent="0.3">
      <c r="A437" t="s">
        <v>1503</v>
      </c>
      <c r="B437" t="s">
        <v>1504</v>
      </c>
      <c r="C437" t="s">
        <v>1505</v>
      </c>
      <c r="D437" t="s">
        <v>1155</v>
      </c>
      <c r="E437" t="s">
        <v>25</v>
      </c>
      <c r="F437" t="s">
        <v>48</v>
      </c>
      <c r="G437" t="s">
        <v>110</v>
      </c>
      <c r="H437">
        <v>5</v>
      </c>
      <c r="I437">
        <v>2399.8000000000002</v>
      </c>
      <c r="J437" t="s">
        <v>50</v>
      </c>
      <c r="K437" t="s">
        <v>51</v>
      </c>
      <c r="L437">
        <f t="shared" si="6"/>
        <v>11999</v>
      </c>
    </row>
    <row r="438" spans="1:12" x14ac:dyDescent="0.3">
      <c r="A438" t="s">
        <v>1506</v>
      </c>
      <c r="B438" t="s">
        <v>355</v>
      </c>
      <c r="C438" t="s">
        <v>360</v>
      </c>
      <c r="D438" t="s">
        <v>1507</v>
      </c>
      <c r="E438" t="s">
        <v>62</v>
      </c>
      <c r="F438" t="s">
        <v>48</v>
      </c>
      <c r="G438" t="s">
        <v>63</v>
      </c>
      <c r="H438">
        <v>4</v>
      </c>
      <c r="I438">
        <v>3427.73</v>
      </c>
      <c r="J438" t="s">
        <v>42</v>
      </c>
      <c r="K438" t="s">
        <v>36</v>
      </c>
      <c r="L438">
        <f t="shared" si="6"/>
        <v>13710.92</v>
      </c>
    </row>
    <row r="439" spans="1:12" x14ac:dyDescent="0.3">
      <c r="A439" t="s">
        <v>1508</v>
      </c>
      <c r="B439" t="s">
        <v>437</v>
      </c>
      <c r="C439" t="s">
        <v>669</v>
      </c>
      <c r="D439" t="s">
        <v>1509</v>
      </c>
      <c r="E439" t="s">
        <v>56</v>
      </c>
      <c r="F439" t="s">
        <v>77</v>
      </c>
      <c r="G439" t="s">
        <v>78</v>
      </c>
      <c r="H439">
        <v>9</v>
      </c>
      <c r="I439">
        <v>3499.97</v>
      </c>
      <c r="J439" t="s">
        <v>28</v>
      </c>
      <c r="K439" t="s">
        <v>43</v>
      </c>
      <c r="L439">
        <f t="shared" si="6"/>
        <v>31499.73</v>
      </c>
    </row>
    <row r="440" spans="1:12" x14ac:dyDescent="0.3">
      <c r="A440" t="s">
        <v>1510</v>
      </c>
      <c r="B440" t="s">
        <v>1511</v>
      </c>
      <c r="C440" t="s">
        <v>801</v>
      </c>
      <c r="D440" t="s">
        <v>1512</v>
      </c>
      <c r="E440" t="s">
        <v>25</v>
      </c>
      <c r="F440" t="s">
        <v>26</v>
      </c>
      <c r="G440" t="s">
        <v>166</v>
      </c>
      <c r="H440">
        <v>10</v>
      </c>
      <c r="I440">
        <v>477.03</v>
      </c>
      <c r="J440" t="s">
        <v>50</v>
      </c>
      <c r="K440" t="s">
        <v>51</v>
      </c>
      <c r="L440">
        <f t="shared" si="6"/>
        <v>4770.2999999999993</v>
      </c>
    </row>
    <row r="441" spans="1:12" x14ac:dyDescent="0.3">
      <c r="A441" t="s">
        <v>1513</v>
      </c>
      <c r="B441" t="s">
        <v>1430</v>
      </c>
      <c r="C441" t="s">
        <v>1514</v>
      </c>
      <c r="D441" t="s">
        <v>1091</v>
      </c>
      <c r="E441" t="s">
        <v>128</v>
      </c>
      <c r="F441" t="s">
        <v>77</v>
      </c>
      <c r="G441" t="s">
        <v>171</v>
      </c>
      <c r="H441">
        <v>1</v>
      </c>
      <c r="I441">
        <v>4227.1000000000004</v>
      </c>
      <c r="J441" t="s">
        <v>50</v>
      </c>
      <c r="K441" t="s">
        <v>29</v>
      </c>
      <c r="L441">
        <f t="shared" si="6"/>
        <v>4227.1000000000004</v>
      </c>
    </row>
    <row r="442" spans="1:12" x14ac:dyDescent="0.3">
      <c r="A442" t="s">
        <v>1515</v>
      </c>
      <c r="B442" t="s">
        <v>1015</v>
      </c>
      <c r="C442" t="s">
        <v>1347</v>
      </c>
      <c r="D442" t="s">
        <v>87</v>
      </c>
      <c r="E442" t="s">
        <v>56</v>
      </c>
      <c r="F442" t="s">
        <v>26</v>
      </c>
      <c r="G442" t="s">
        <v>115</v>
      </c>
      <c r="H442">
        <v>3</v>
      </c>
      <c r="I442">
        <v>243.28</v>
      </c>
      <c r="J442" t="s">
        <v>50</v>
      </c>
      <c r="K442" t="s">
        <v>83</v>
      </c>
      <c r="L442">
        <f t="shared" si="6"/>
        <v>729.84</v>
      </c>
    </row>
    <row r="443" spans="1:12" x14ac:dyDescent="0.3">
      <c r="A443" t="s">
        <v>1516</v>
      </c>
      <c r="B443" t="s">
        <v>1517</v>
      </c>
      <c r="C443" t="s">
        <v>1016</v>
      </c>
      <c r="D443" t="s">
        <v>1518</v>
      </c>
      <c r="E443" t="s">
        <v>128</v>
      </c>
      <c r="F443" t="s">
        <v>17</v>
      </c>
      <c r="G443" t="s">
        <v>188</v>
      </c>
      <c r="H443">
        <v>2</v>
      </c>
      <c r="I443">
        <v>4864.8</v>
      </c>
      <c r="J443" t="s">
        <v>28</v>
      </c>
      <c r="K443" t="s">
        <v>51</v>
      </c>
      <c r="L443">
        <f t="shared" si="6"/>
        <v>9729.6</v>
      </c>
    </row>
    <row r="444" spans="1:12" x14ac:dyDescent="0.3">
      <c r="A444" t="s">
        <v>1519</v>
      </c>
      <c r="B444" t="s">
        <v>898</v>
      </c>
      <c r="C444" t="s">
        <v>1520</v>
      </c>
      <c r="D444" t="s">
        <v>1085</v>
      </c>
      <c r="E444" t="s">
        <v>16</v>
      </c>
      <c r="F444" t="s">
        <v>17</v>
      </c>
      <c r="G444" t="s">
        <v>41</v>
      </c>
      <c r="H444">
        <v>3</v>
      </c>
      <c r="I444">
        <v>2111.5700000000002</v>
      </c>
      <c r="J444" t="s">
        <v>28</v>
      </c>
      <c r="K444" t="s">
        <v>36</v>
      </c>
      <c r="L444">
        <f t="shared" si="6"/>
        <v>6334.7100000000009</v>
      </c>
    </row>
    <row r="445" spans="1:12" x14ac:dyDescent="0.3">
      <c r="A445" t="s">
        <v>1521</v>
      </c>
      <c r="B445" t="s">
        <v>1522</v>
      </c>
      <c r="C445" t="s">
        <v>1523</v>
      </c>
      <c r="D445" t="s">
        <v>1524</v>
      </c>
      <c r="E445" t="s">
        <v>128</v>
      </c>
      <c r="F445" t="s">
        <v>77</v>
      </c>
      <c r="G445" t="s">
        <v>171</v>
      </c>
      <c r="H445">
        <v>3</v>
      </c>
      <c r="I445">
        <v>1766.55</v>
      </c>
      <c r="J445" t="s">
        <v>50</v>
      </c>
      <c r="K445" t="s">
        <v>20</v>
      </c>
      <c r="L445">
        <f t="shared" si="6"/>
        <v>5299.65</v>
      </c>
    </row>
    <row r="446" spans="1:12" x14ac:dyDescent="0.3">
      <c r="A446" t="s">
        <v>1525</v>
      </c>
      <c r="B446" t="s">
        <v>464</v>
      </c>
      <c r="C446" t="s">
        <v>1526</v>
      </c>
      <c r="D446" t="s">
        <v>224</v>
      </c>
      <c r="E446" t="s">
        <v>56</v>
      </c>
      <c r="F446" t="s">
        <v>26</v>
      </c>
      <c r="G446" t="s">
        <v>27</v>
      </c>
      <c r="H446">
        <v>10</v>
      </c>
      <c r="I446">
        <v>2698.08</v>
      </c>
      <c r="J446" t="s">
        <v>19</v>
      </c>
      <c r="K446" t="s">
        <v>43</v>
      </c>
      <c r="L446">
        <f t="shared" si="6"/>
        <v>26980.799999999999</v>
      </c>
    </row>
    <row r="447" spans="1:12" x14ac:dyDescent="0.3">
      <c r="A447" t="s">
        <v>1527</v>
      </c>
      <c r="B447" t="s">
        <v>1480</v>
      </c>
      <c r="C447" t="s">
        <v>1528</v>
      </c>
      <c r="D447" t="s">
        <v>1292</v>
      </c>
      <c r="E447" t="s">
        <v>128</v>
      </c>
      <c r="F447" t="s">
        <v>17</v>
      </c>
      <c r="G447" t="s">
        <v>18</v>
      </c>
      <c r="H447">
        <v>4</v>
      </c>
      <c r="I447">
        <v>132.38999999999999</v>
      </c>
      <c r="J447" t="s">
        <v>28</v>
      </c>
      <c r="K447" t="s">
        <v>83</v>
      </c>
      <c r="L447">
        <f t="shared" si="6"/>
        <v>529.55999999999995</v>
      </c>
    </row>
    <row r="448" spans="1:12" x14ac:dyDescent="0.3">
      <c r="A448" t="s">
        <v>1529</v>
      </c>
      <c r="B448" t="s">
        <v>1530</v>
      </c>
      <c r="C448" t="s">
        <v>1531</v>
      </c>
      <c r="D448" t="s">
        <v>1390</v>
      </c>
      <c r="E448" t="s">
        <v>25</v>
      </c>
      <c r="F448" t="s">
        <v>77</v>
      </c>
      <c r="G448" t="s">
        <v>123</v>
      </c>
      <c r="H448">
        <v>4</v>
      </c>
      <c r="I448">
        <v>2243.44</v>
      </c>
      <c r="J448" t="s">
        <v>28</v>
      </c>
      <c r="K448" t="s">
        <v>51</v>
      </c>
      <c r="L448">
        <f t="shared" si="6"/>
        <v>8973.76</v>
      </c>
    </row>
    <row r="449" spans="1:12" x14ac:dyDescent="0.3">
      <c r="A449" t="s">
        <v>1532</v>
      </c>
      <c r="B449" t="s">
        <v>89</v>
      </c>
      <c r="C449" t="s">
        <v>1101</v>
      </c>
      <c r="D449" t="s">
        <v>1533</v>
      </c>
      <c r="E449" t="s">
        <v>95</v>
      </c>
      <c r="F449" t="s">
        <v>26</v>
      </c>
      <c r="G449" t="s">
        <v>208</v>
      </c>
      <c r="H449">
        <v>2</v>
      </c>
      <c r="I449">
        <v>2145.73</v>
      </c>
      <c r="J449" t="s">
        <v>28</v>
      </c>
      <c r="K449" t="s">
        <v>20</v>
      </c>
      <c r="L449">
        <f t="shared" si="6"/>
        <v>4291.46</v>
      </c>
    </row>
    <row r="450" spans="1:12" x14ac:dyDescent="0.3">
      <c r="A450" t="s">
        <v>1534</v>
      </c>
      <c r="B450" t="s">
        <v>1535</v>
      </c>
      <c r="C450" t="s">
        <v>640</v>
      </c>
      <c r="D450" t="s">
        <v>383</v>
      </c>
      <c r="E450" t="s">
        <v>25</v>
      </c>
      <c r="F450" t="s">
        <v>77</v>
      </c>
      <c r="G450" t="s">
        <v>123</v>
      </c>
      <c r="H450">
        <v>6</v>
      </c>
      <c r="I450">
        <v>1916.87</v>
      </c>
      <c r="J450" t="s">
        <v>42</v>
      </c>
      <c r="K450" t="s">
        <v>36</v>
      </c>
      <c r="L450">
        <f t="shared" si="6"/>
        <v>11501.22</v>
      </c>
    </row>
    <row r="451" spans="1:12" x14ac:dyDescent="0.3">
      <c r="A451" t="s">
        <v>1536</v>
      </c>
      <c r="B451" t="s">
        <v>1537</v>
      </c>
      <c r="C451" t="s">
        <v>1538</v>
      </c>
      <c r="D451" t="s">
        <v>1539</v>
      </c>
      <c r="E451" t="s">
        <v>56</v>
      </c>
      <c r="F451" t="s">
        <v>17</v>
      </c>
      <c r="G451" t="s">
        <v>18</v>
      </c>
      <c r="H451">
        <v>1</v>
      </c>
      <c r="I451">
        <v>3596.52</v>
      </c>
      <c r="J451" t="s">
        <v>42</v>
      </c>
      <c r="K451" t="s">
        <v>83</v>
      </c>
      <c r="L451">
        <f t="shared" ref="L451:L514" si="7">H451*I451</f>
        <v>3596.52</v>
      </c>
    </row>
    <row r="452" spans="1:12" x14ac:dyDescent="0.3">
      <c r="A452" t="s">
        <v>1540</v>
      </c>
      <c r="B452" t="s">
        <v>1541</v>
      </c>
      <c r="C452" t="s">
        <v>1542</v>
      </c>
      <c r="D452" t="s">
        <v>1543</v>
      </c>
      <c r="E452" t="s">
        <v>25</v>
      </c>
      <c r="F452" t="s">
        <v>26</v>
      </c>
      <c r="G452" t="s">
        <v>296</v>
      </c>
      <c r="H452">
        <v>5</v>
      </c>
      <c r="I452">
        <v>634.72</v>
      </c>
      <c r="J452" t="s">
        <v>50</v>
      </c>
      <c r="K452" t="s">
        <v>51</v>
      </c>
      <c r="L452">
        <f t="shared" si="7"/>
        <v>3173.6000000000004</v>
      </c>
    </row>
    <row r="453" spans="1:12" x14ac:dyDescent="0.3">
      <c r="A453" t="s">
        <v>1544</v>
      </c>
      <c r="B453" t="s">
        <v>1231</v>
      </c>
      <c r="C453" t="s">
        <v>259</v>
      </c>
      <c r="D453" t="s">
        <v>15</v>
      </c>
      <c r="E453" t="s">
        <v>62</v>
      </c>
      <c r="F453" t="s">
        <v>26</v>
      </c>
      <c r="G453" t="s">
        <v>115</v>
      </c>
      <c r="H453">
        <v>6</v>
      </c>
      <c r="I453">
        <v>4622</v>
      </c>
      <c r="J453" t="s">
        <v>42</v>
      </c>
      <c r="K453" t="s">
        <v>43</v>
      </c>
      <c r="L453">
        <f t="shared" si="7"/>
        <v>27732</v>
      </c>
    </row>
    <row r="454" spans="1:12" x14ac:dyDescent="0.3">
      <c r="A454" t="s">
        <v>1545</v>
      </c>
      <c r="B454" t="s">
        <v>1398</v>
      </c>
      <c r="C454" t="s">
        <v>558</v>
      </c>
      <c r="D454" t="s">
        <v>802</v>
      </c>
      <c r="E454" t="s">
        <v>25</v>
      </c>
      <c r="F454" t="s">
        <v>17</v>
      </c>
      <c r="G454" t="s">
        <v>18</v>
      </c>
      <c r="H454">
        <v>7</v>
      </c>
      <c r="I454">
        <v>3568.02</v>
      </c>
      <c r="J454" t="s">
        <v>19</v>
      </c>
      <c r="K454" t="s">
        <v>29</v>
      </c>
      <c r="L454">
        <f t="shared" si="7"/>
        <v>24976.14</v>
      </c>
    </row>
    <row r="455" spans="1:12" x14ac:dyDescent="0.3">
      <c r="A455" t="s">
        <v>1546</v>
      </c>
      <c r="B455" t="s">
        <v>1501</v>
      </c>
      <c r="C455" t="s">
        <v>259</v>
      </c>
      <c r="D455" t="s">
        <v>1547</v>
      </c>
      <c r="E455" t="s">
        <v>104</v>
      </c>
      <c r="F455" t="s">
        <v>48</v>
      </c>
      <c r="G455" t="s">
        <v>110</v>
      </c>
      <c r="H455">
        <v>7</v>
      </c>
      <c r="I455">
        <v>577.44000000000005</v>
      </c>
      <c r="J455" t="s">
        <v>28</v>
      </c>
      <c r="K455" t="s">
        <v>36</v>
      </c>
      <c r="L455">
        <f t="shared" si="7"/>
        <v>4042.0800000000004</v>
      </c>
    </row>
    <row r="456" spans="1:12" x14ac:dyDescent="0.3">
      <c r="A456" t="s">
        <v>1548</v>
      </c>
      <c r="B456" t="s">
        <v>1549</v>
      </c>
      <c r="C456" t="s">
        <v>1550</v>
      </c>
      <c r="D456" t="s">
        <v>1056</v>
      </c>
      <c r="E456" t="s">
        <v>25</v>
      </c>
      <c r="F456" t="s">
        <v>17</v>
      </c>
      <c r="G456" t="s">
        <v>68</v>
      </c>
      <c r="H456">
        <v>6</v>
      </c>
      <c r="I456">
        <v>774.78</v>
      </c>
      <c r="J456" t="s">
        <v>19</v>
      </c>
      <c r="K456" t="s">
        <v>20</v>
      </c>
      <c r="L456">
        <f t="shared" si="7"/>
        <v>4648.68</v>
      </c>
    </row>
    <row r="457" spans="1:12" x14ac:dyDescent="0.3">
      <c r="A457" t="s">
        <v>1551</v>
      </c>
      <c r="B457" t="s">
        <v>1552</v>
      </c>
      <c r="C457" t="s">
        <v>1553</v>
      </c>
      <c r="D457" t="s">
        <v>1554</v>
      </c>
      <c r="E457" t="s">
        <v>34</v>
      </c>
      <c r="F457" t="s">
        <v>17</v>
      </c>
      <c r="G457" t="s">
        <v>35</v>
      </c>
      <c r="H457">
        <v>7</v>
      </c>
      <c r="I457">
        <v>2139.63</v>
      </c>
      <c r="J457" t="s">
        <v>42</v>
      </c>
      <c r="K457" t="s">
        <v>51</v>
      </c>
      <c r="L457">
        <f t="shared" si="7"/>
        <v>14977.41</v>
      </c>
    </row>
    <row r="458" spans="1:12" x14ac:dyDescent="0.3">
      <c r="A458" t="s">
        <v>1555</v>
      </c>
      <c r="B458" t="s">
        <v>1556</v>
      </c>
      <c r="C458" t="s">
        <v>1557</v>
      </c>
      <c r="D458" t="s">
        <v>1558</v>
      </c>
      <c r="E458" t="s">
        <v>25</v>
      </c>
      <c r="F458" t="s">
        <v>48</v>
      </c>
      <c r="G458" t="s">
        <v>57</v>
      </c>
      <c r="H458">
        <v>4</v>
      </c>
      <c r="I458">
        <v>3573.71</v>
      </c>
      <c r="J458" t="s">
        <v>50</v>
      </c>
      <c r="K458" t="s">
        <v>36</v>
      </c>
      <c r="L458">
        <f t="shared" si="7"/>
        <v>14294.84</v>
      </c>
    </row>
    <row r="459" spans="1:12" x14ac:dyDescent="0.3">
      <c r="A459" t="s">
        <v>1559</v>
      </c>
      <c r="B459" t="s">
        <v>1392</v>
      </c>
      <c r="C459" t="s">
        <v>1560</v>
      </c>
      <c r="D459" t="s">
        <v>165</v>
      </c>
      <c r="E459" t="s">
        <v>95</v>
      </c>
      <c r="F459" t="s">
        <v>48</v>
      </c>
      <c r="G459" t="s">
        <v>63</v>
      </c>
      <c r="H459">
        <v>5</v>
      </c>
      <c r="I459">
        <v>1894.23</v>
      </c>
      <c r="J459" t="s">
        <v>19</v>
      </c>
      <c r="K459" t="s">
        <v>51</v>
      </c>
      <c r="L459">
        <f t="shared" si="7"/>
        <v>9471.15</v>
      </c>
    </row>
    <row r="460" spans="1:12" x14ac:dyDescent="0.3">
      <c r="A460" t="s">
        <v>1561</v>
      </c>
      <c r="B460" t="s">
        <v>1562</v>
      </c>
      <c r="C460" t="s">
        <v>398</v>
      </c>
      <c r="D460" t="s">
        <v>1563</v>
      </c>
      <c r="E460" t="s">
        <v>25</v>
      </c>
      <c r="F460" t="s">
        <v>48</v>
      </c>
      <c r="G460" t="s">
        <v>110</v>
      </c>
      <c r="H460">
        <v>1</v>
      </c>
      <c r="I460">
        <v>706.26</v>
      </c>
      <c r="J460" t="s">
        <v>28</v>
      </c>
      <c r="K460" t="s">
        <v>83</v>
      </c>
      <c r="L460">
        <f t="shared" si="7"/>
        <v>706.26</v>
      </c>
    </row>
    <row r="461" spans="1:12" x14ac:dyDescent="0.3">
      <c r="A461" t="s">
        <v>1564</v>
      </c>
      <c r="B461" t="s">
        <v>1565</v>
      </c>
      <c r="C461" t="s">
        <v>1566</v>
      </c>
      <c r="D461" t="s">
        <v>888</v>
      </c>
      <c r="E461" t="s">
        <v>62</v>
      </c>
      <c r="F461" t="s">
        <v>77</v>
      </c>
      <c r="G461" t="s">
        <v>123</v>
      </c>
      <c r="H461">
        <v>2</v>
      </c>
      <c r="I461">
        <v>3748.68</v>
      </c>
      <c r="J461" t="s">
        <v>19</v>
      </c>
      <c r="K461" t="s">
        <v>43</v>
      </c>
      <c r="L461">
        <f t="shared" si="7"/>
        <v>7497.36</v>
      </c>
    </row>
    <row r="462" spans="1:12" x14ac:dyDescent="0.3">
      <c r="A462" t="s">
        <v>1567</v>
      </c>
      <c r="B462" t="s">
        <v>1317</v>
      </c>
      <c r="C462" t="s">
        <v>1568</v>
      </c>
      <c r="D462" t="s">
        <v>1569</v>
      </c>
      <c r="E462" t="s">
        <v>25</v>
      </c>
      <c r="F462" t="s">
        <v>77</v>
      </c>
      <c r="G462" t="s">
        <v>171</v>
      </c>
      <c r="H462">
        <v>4</v>
      </c>
      <c r="I462">
        <v>1000.84</v>
      </c>
      <c r="J462" t="s">
        <v>50</v>
      </c>
      <c r="K462" t="s">
        <v>29</v>
      </c>
      <c r="L462">
        <f t="shared" si="7"/>
        <v>4003.36</v>
      </c>
    </row>
    <row r="463" spans="1:12" x14ac:dyDescent="0.3">
      <c r="A463" t="s">
        <v>1570</v>
      </c>
      <c r="B463" t="s">
        <v>687</v>
      </c>
      <c r="C463" t="s">
        <v>1571</v>
      </c>
      <c r="D463" t="s">
        <v>1572</v>
      </c>
      <c r="E463" t="s">
        <v>25</v>
      </c>
      <c r="F463" t="s">
        <v>48</v>
      </c>
      <c r="G463" t="s">
        <v>49</v>
      </c>
      <c r="H463">
        <v>10</v>
      </c>
      <c r="I463">
        <v>1702.55</v>
      </c>
      <c r="J463" t="s">
        <v>42</v>
      </c>
      <c r="K463" t="s">
        <v>51</v>
      </c>
      <c r="L463">
        <f t="shared" si="7"/>
        <v>17025.5</v>
      </c>
    </row>
    <row r="464" spans="1:12" x14ac:dyDescent="0.3">
      <c r="A464" t="s">
        <v>1573</v>
      </c>
      <c r="B464" t="s">
        <v>557</v>
      </c>
      <c r="C464" t="s">
        <v>1084</v>
      </c>
      <c r="D464" t="s">
        <v>1574</v>
      </c>
      <c r="E464" t="s">
        <v>62</v>
      </c>
      <c r="F464" t="s">
        <v>77</v>
      </c>
      <c r="G464" t="s">
        <v>78</v>
      </c>
      <c r="H464">
        <v>2</v>
      </c>
      <c r="I464">
        <v>2950.35</v>
      </c>
      <c r="J464" t="s">
        <v>28</v>
      </c>
      <c r="K464" t="s">
        <v>51</v>
      </c>
      <c r="L464">
        <f t="shared" si="7"/>
        <v>5900.7</v>
      </c>
    </row>
    <row r="465" spans="1:12" x14ac:dyDescent="0.3">
      <c r="A465" t="s">
        <v>1575</v>
      </c>
      <c r="B465" t="s">
        <v>1215</v>
      </c>
      <c r="C465" t="s">
        <v>427</v>
      </c>
      <c r="D465" t="s">
        <v>1576</v>
      </c>
      <c r="E465" t="s">
        <v>56</v>
      </c>
      <c r="F465" t="s">
        <v>48</v>
      </c>
      <c r="G465" t="s">
        <v>110</v>
      </c>
      <c r="H465">
        <v>3</v>
      </c>
      <c r="I465">
        <v>3240.7</v>
      </c>
      <c r="J465" t="s">
        <v>42</v>
      </c>
      <c r="K465" t="s">
        <v>43</v>
      </c>
      <c r="L465">
        <f t="shared" si="7"/>
        <v>9722.0999999999985</v>
      </c>
    </row>
    <row r="466" spans="1:12" x14ac:dyDescent="0.3">
      <c r="A466" t="s">
        <v>1577</v>
      </c>
      <c r="B466" t="s">
        <v>1578</v>
      </c>
      <c r="C466" t="s">
        <v>815</v>
      </c>
      <c r="D466" t="s">
        <v>1579</v>
      </c>
      <c r="E466" t="s">
        <v>25</v>
      </c>
      <c r="F466" t="s">
        <v>26</v>
      </c>
      <c r="G466" t="s">
        <v>115</v>
      </c>
      <c r="H466">
        <v>8</v>
      </c>
      <c r="I466">
        <v>4717.29</v>
      </c>
      <c r="J466" t="s">
        <v>19</v>
      </c>
      <c r="K466" t="s">
        <v>36</v>
      </c>
      <c r="L466">
        <f t="shared" si="7"/>
        <v>37738.32</v>
      </c>
    </row>
    <row r="467" spans="1:12" x14ac:dyDescent="0.3">
      <c r="A467" t="s">
        <v>1580</v>
      </c>
      <c r="B467" t="s">
        <v>534</v>
      </c>
      <c r="C467" t="s">
        <v>468</v>
      </c>
      <c r="D467" t="s">
        <v>775</v>
      </c>
      <c r="E467" t="s">
        <v>95</v>
      </c>
      <c r="F467" t="s">
        <v>48</v>
      </c>
      <c r="G467" t="s">
        <v>179</v>
      </c>
      <c r="H467">
        <v>3</v>
      </c>
      <c r="I467">
        <v>3136.63</v>
      </c>
      <c r="J467" t="s">
        <v>28</v>
      </c>
      <c r="K467" t="s">
        <v>36</v>
      </c>
      <c r="L467">
        <f t="shared" si="7"/>
        <v>9409.89</v>
      </c>
    </row>
    <row r="468" spans="1:12" x14ac:dyDescent="0.3">
      <c r="A468" t="s">
        <v>1581</v>
      </c>
      <c r="B468" t="s">
        <v>461</v>
      </c>
      <c r="C468" t="s">
        <v>1582</v>
      </c>
      <c r="D468" t="s">
        <v>976</v>
      </c>
      <c r="E468" t="s">
        <v>95</v>
      </c>
      <c r="F468" t="s">
        <v>26</v>
      </c>
      <c r="G468" t="s">
        <v>115</v>
      </c>
      <c r="H468">
        <v>6</v>
      </c>
      <c r="I468">
        <v>4084.87</v>
      </c>
      <c r="J468" t="s">
        <v>42</v>
      </c>
      <c r="K468" t="s">
        <v>20</v>
      </c>
      <c r="L468">
        <f t="shared" si="7"/>
        <v>24509.22</v>
      </c>
    </row>
    <row r="469" spans="1:12" x14ac:dyDescent="0.3">
      <c r="A469" t="s">
        <v>1583</v>
      </c>
      <c r="B469" t="s">
        <v>53</v>
      </c>
      <c r="C469" t="s">
        <v>1584</v>
      </c>
      <c r="D469" t="s">
        <v>1585</v>
      </c>
      <c r="E469" t="s">
        <v>95</v>
      </c>
      <c r="F469" t="s">
        <v>26</v>
      </c>
      <c r="G469" t="s">
        <v>208</v>
      </c>
      <c r="H469">
        <v>1</v>
      </c>
      <c r="I469">
        <v>1687.77</v>
      </c>
      <c r="J469" t="s">
        <v>28</v>
      </c>
      <c r="K469" t="s">
        <v>36</v>
      </c>
      <c r="L469">
        <f t="shared" si="7"/>
        <v>1687.77</v>
      </c>
    </row>
    <row r="470" spans="1:12" x14ac:dyDescent="0.3">
      <c r="A470" t="s">
        <v>1586</v>
      </c>
      <c r="B470" t="s">
        <v>1587</v>
      </c>
      <c r="C470" t="s">
        <v>458</v>
      </c>
      <c r="D470" t="s">
        <v>1588</v>
      </c>
      <c r="E470" t="s">
        <v>16</v>
      </c>
      <c r="F470" t="s">
        <v>26</v>
      </c>
      <c r="G470" t="s">
        <v>115</v>
      </c>
      <c r="H470">
        <v>1</v>
      </c>
      <c r="I470">
        <v>4385.3100000000004</v>
      </c>
      <c r="J470" t="s">
        <v>50</v>
      </c>
      <c r="K470" t="s">
        <v>29</v>
      </c>
      <c r="L470">
        <f t="shared" si="7"/>
        <v>4385.3100000000004</v>
      </c>
    </row>
    <row r="471" spans="1:12" x14ac:dyDescent="0.3">
      <c r="A471" t="s">
        <v>1589</v>
      </c>
      <c r="B471" t="s">
        <v>397</v>
      </c>
      <c r="C471" t="s">
        <v>1590</v>
      </c>
      <c r="D471" t="s">
        <v>1591</v>
      </c>
      <c r="E471" t="s">
        <v>16</v>
      </c>
      <c r="F471" t="s">
        <v>17</v>
      </c>
      <c r="G471" t="s">
        <v>41</v>
      </c>
      <c r="H471">
        <v>1</v>
      </c>
      <c r="I471">
        <v>3444.01</v>
      </c>
      <c r="J471" t="s">
        <v>42</v>
      </c>
      <c r="K471" t="s">
        <v>20</v>
      </c>
      <c r="L471">
        <f t="shared" si="7"/>
        <v>3444.01</v>
      </c>
    </row>
    <row r="472" spans="1:12" x14ac:dyDescent="0.3">
      <c r="A472" t="s">
        <v>1592</v>
      </c>
      <c r="B472" t="s">
        <v>1593</v>
      </c>
      <c r="C472" t="s">
        <v>1594</v>
      </c>
      <c r="D472" t="s">
        <v>1595</v>
      </c>
      <c r="E472" t="s">
        <v>104</v>
      </c>
      <c r="F472" t="s">
        <v>48</v>
      </c>
      <c r="G472" t="s">
        <v>179</v>
      </c>
      <c r="H472">
        <v>3</v>
      </c>
      <c r="I472">
        <v>742.79</v>
      </c>
      <c r="J472" t="s">
        <v>50</v>
      </c>
      <c r="K472" t="s">
        <v>29</v>
      </c>
      <c r="L472">
        <f t="shared" si="7"/>
        <v>2228.37</v>
      </c>
    </row>
    <row r="473" spans="1:12" x14ac:dyDescent="0.3">
      <c r="A473" t="s">
        <v>1596</v>
      </c>
      <c r="B473" t="s">
        <v>1597</v>
      </c>
      <c r="C473" t="s">
        <v>1598</v>
      </c>
      <c r="D473" t="s">
        <v>1599</v>
      </c>
      <c r="E473" t="s">
        <v>62</v>
      </c>
      <c r="F473" t="s">
        <v>17</v>
      </c>
      <c r="G473" t="s">
        <v>41</v>
      </c>
      <c r="H473">
        <v>4</v>
      </c>
      <c r="I473">
        <v>1157.97</v>
      </c>
      <c r="J473" t="s">
        <v>42</v>
      </c>
      <c r="K473" t="s">
        <v>29</v>
      </c>
      <c r="L473">
        <f t="shared" si="7"/>
        <v>4631.88</v>
      </c>
    </row>
    <row r="474" spans="1:12" x14ac:dyDescent="0.3">
      <c r="A474" t="s">
        <v>1600</v>
      </c>
      <c r="B474" t="s">
        <v>134</v>
      </c>
      <c r="C474" t="s">
        <v>102</v>
      </c>
      <c r="D474" t="s">
        <v>1601</v>
      </c>
      <c r="E474" t="s">
        <v>128</v>
      </c>
      <c r="F474" t="s">
        <v>48</v>
      </c>
      <c r="G474" t="s">
        <v>110</v>
      </c>
      <c r="H474">
        <v>3</v>
      </c>
      <c r="I474">
        <v>4628.12</v>
      </c>
      <c r="J474" t="s">
        <v>42</v>
      </c>
      <c r="K474" t="s">
        <v>29</v>
      </c>
      <c r="L474">
        <f t="shared" si="7"/>
        <v>13884.36</v>
      </c>
    </row>
    <row r="475" spans="1:12" x14ac:dyDescent="0.3">
      <c r="A475" t="s">
        <v>1602</v>
      </c>
      <c r="B475" t="s">
        <v>1151</v>
      </c>
      <c r="C475" t="s">
        <v>1603</v>
      </c>
      <c r="D475" t="s">
        <v>736</v>
      </c>
      <c r="E475" t="s">
        <v>128</v>
      </c>
      <c r="F475" t="s">
        <v>26</v>
      </c>
      <c r="G475" t="s">
        <v>208</v>
      </c>
      <c r="H475">
        <v>10</v>
      </c>
      <c r="I475">
        <v>3076.48</v>
      </c>
      <c r="J475" t="s">
        <v>42</v>
      </c>
      <c r="K475" t="s">
        <v>83</v>
      </c>
      <c r="L475">
        <f t="shared" si="7"/>
        <v>30764.799999999999</v>
      </c>
    </row>
    <row r="476" spans="1:12" x14ac:dyDescent="0.3">
      <c r="A476" t="s">
        <v>1604</v>
      </c>
      <c r="B476" t="s">
        <v>873</v>
      </c>
      <c r="C476" t="s">
        <v>1605</v>
      </c>
      <c r="D476" t="s">
        <v>1606</v>
      </c>
      <c r="E476" t="s">
        <v>104</v>
      </c>
      <c r="F476" t="s">
        <v>26</v>
      </c>
      <c r="G476" t="s">
        <v>208</v>
      </c>
      <c r="H476">
        <v>2</v>
      </c>
      <c r="I476">
        <v>2093.71</v>
      </c>
      <c r="J476" t="s">
        <v>28</v>
      </c>
      <c r="K476" t="s">
        <v>36</v>
      </c>
      <c r="L476">
        <f t="shared" si="7"/>
        <v>4187.42</v>
      </c>
    </row>
    <row r="477" spans="1:12" x14ac:dyDescent="0.3">
      <c r="A477" t="s">
        <v>1607</v>
      </c>
      <c r="B477" t="s">
        <v>181</v>
      </c>
      <c r="C477" t="s">
        <v>1468</v>
      </c>
      <c r="D477" t="s">
        <v>1077</v>
      </c>
      <c r="E477" t="s">
        <v>128</v>
      </c>
      <c r="F477" t="s">
        <v>77</v>
      </c>
      <c r="G477" t="s">
        <v>78</v>
      </c>
      <c r="H477">
        <v>5</v>
      </c>
      <c r="I477">
        <v>3336.71</v>
      </c>
      <c r="J477" t="s">
        <v>42</v>
      </c>
      <c r="K477" t="s">
        <v>29</v>
      </c>
      <c r="L477">
        <f t="shared" si="7"/>
        <v>16683.55</v>
      </c>
    </row>
    <row r="478" spans="1:12" x14ac:dyDescent="0.3">
      <c r="A478" t="s">
        <v>1608</v>
      </c>
      <c r="B478" t="s">
        <v>89</v>
      </c>
      <c r="C478" t="s">
        <v>1609</v>
      </c>
      <c r="D478" t="s">
        <v>1610</v>
      </c>
      <c r="E478" t="s">
        <v>34</v>
      </c>
      <c r="F478" t="s">
        <v>77</v>
      </c>
      <c r="G478" t="s">
        <v>265</v>
      </c>
      <c r="H478">
        <v>1</v>
      </c>
      <c r="I478">
        <v>3364.79</v>
      </c>
      <c r="J478" t="s">
        <v>19</v>
      </c>
      <c r="K478" t="s">
        <v>43</v>
      </c>
      <c r="L478">
        <f t="shared" si="7"/>
        <v>3364.79</v>
      </c>
    </row>
    <row r="479" spans="1:12" x14ac:dyDescent="0.3">
      <c r="A479" t="s">
        <v>1611</v>
      </c>
      <c r="B479" t="s">
        <v>1317</v>
      </c>
      <c r="C479" t="s">
        <v>1191</v>
      </c>
      <c r="D479" t="s">
        <v>1612</v>
      </c>
      <c r="E479" t="s">
        <v>56</v>
      </c>
      <c r="F479" t="s">
        <v>26</v>
      </c>
      <c r="G479" t="s">
        <v>27</v>
      </c>
      <c r="H479">
        <v>1</v>
      </c>
      <c r="I479">
        <v>502.97</v>
      </c>
      <c r="J479" t="s">
        <v>50</v>
      </c>
      <c r="K479" t="s">
        <v>51</v>
      </c>
      <c r="L479">
        <f t="shared" si="7"/>
        <v>502.97</v>
      </c>
    </row>
    <row r="480" spans="1:12" x14ac:dyDescent="0.3">
      <c r="A480" t="s">
        <v>1613</v>
      </c>
      <c r="B480" t="s">
        <v>1151</v>
      </c>
      <c r="C480" t="s">
        <v>1614</v>
      </c>
      <c r="D480" t="s">
        <v>1615</v>
      </c>
      <c r="E480" t="s">
        <v>34</v>
      </c>
      <c r="F480" t="s">
        <v>48</v>
      </c>
      <c r="G480" t="s">
        <v>63</v>
      </c>
      <c r="H480">
        <v>6</v>
      </c>
      <c r="I480">
        <v>3192.93</v>
      </c>
      <c r="J480" t="s">
        <v>50</v>
      </c>
      <c r="K480" t="s">
        <v>20</v>
      </c>
      <c r="L480">
        <f t="shared" si="7"/>
        <v>19157.579999999998</v>
      </c>
    </row>
    <row r="481" spans="1:12" x14ac:dyDescent="0.3">
      <c r="A481" t="s">
        <v>1616</v>
      </c>
      <c r="B481" t="s">
        <v>1617</v>
      </c>
      <c r="C481" t="s">
        <v>1618</v>
      </c>
      <c r="D481" t="s">
        <v>1619</v>
      </c>
      <c r="E481" t="s">
        <v>16</v>
      </c>
      <c r="F481" t="s">
        <v>48</v>
      </c>
      <c r="G481" t="s">
        <v>63</v>
      </c>
      <c r="H481">
        <v>5</v>
      </c>
      <c r="I481">
        <v>3064.77</v>
      </c>
      <c r="J481" t="s">
        <v>50</v>
      </c>
      <c r="K481" t="s">
        <v>36</v>
      </c>
      <c r="L481">
        <f t="shared" si="7"/>
        <v>15323.85</v>
      </c>
    </row>
    <row r="482" spans="1:12" x14ac:dyDescent="0.3">
      <c r="A482" t="s">
        <v>1620</v>
      </c>
      <c r="B482" t="s">
        <v>271</v>
      </c>
      <c r="C482" t="s">
        <v>1621</v>
      </c>
      <c r="D482" t="s">
        <v>1453</v>
      </c>
      <c r="E482" t="s">
        <v>56</v>
      </c>
      <c r="F482" t="s">
        <v>26</v>
      </c>
      <c r="G482" t="s">
        <v>27</v>
      </c>
      <c r="H482">
        <v>10</v>
      </c>
      <c r="I482">
        <v>4756.04</v>
      </c>
      <c r="J482" t="s">
        <v>42</v>
      </c>
      <c r="K482" t="s">
        <v>36</v>
      </c>
      <c r="L482">
        <f t="shared" si="7"/>
        <v>47560.4</v>
      </c>
    </row>
    <row r="483" spans="1:12" x14ac:dyDescent="0.3">
      <c r="A483" t="s">
        <v>1622</v>
      </c>
      <c r="B483" t="s">
        <v>1240</v>
      </c>
      <c r="C483" t="s">
        <v>1623</v>
      </c>
      <c r="D483" t="s">
        <v>1624</v>
      </c>
      <c r="E483" t="s">
        <v>95</v>
      </c>
      <c r="F483" t="s">
        <v>48</v>
      </c>
      <c r="G483" t="s">
        <v>49</v>
      </c>
      <c r="H483">
        <v>10</v>
      </c>
      <c r="I483">
        <v>2464.8200000000002</v>
      </c>
      <c r="J483" t="s">
        <v>42</v>
      </c>
      <c r="K483" t="s">
        <v>83</v>
      </c>
      <c r="L483">
        <f t="shared" si="7"/>
        <v>24648.2</v>
      </c>
    </row>
    <row r="484" spans="1:12" x14ac:dyDescent="0.3">
      <c r="A484" t="s">
        <v>1625</v>
      </c>
      <c r="B484" t="s">
        <v>1626</v>
      </c>
      <c r="C484" t="s">
        <v>1523</v>
      </c>
      <c r="D484" t="s">
        <v>1627</v>
      </c>
      <c r="E484" t="s">
        <v>104</v>
      </c>
      <c r="F484" t="s">
        <v>48</v>
      </c>
      <c r="G484" t="s">
        <v>49</v>
      </c>
      <c r="H484">
        <v>8</v>
      </c>
      <c r="I484">
        <v>4877</v>
      </c>
      <c r="J484" t="s">
        <v>28</v>
      </c>
      <c r="K484" t="s">
        <v>36</v>
      </c>
      <c r="L484">
        <f t="shared" si="7"/>
        <v>39016</v>
      </c>
    </row>
    <row r="485" spans="1:12" x14ac:dyDescent="0.3">
      <c r="A485" t="s">
        <v>1628</v>
      </c>
      <c r="B485" t="s">
        <v>1629</v>
      </c>
      <c r="C485" t="s">
        <v>1630</v>
      </c>
      <c r="D485" t="s">
        <v>1631</v>
      </c>
      <c r="E485" t="s">
        <v>56</v>
      </c>
      <c r="F485" t="s">
        <v>77</v>
      </c>
      <c r="G485" t="s">
        <v>265</v>
      </c>
      <c r="H485">
        <v>3</v>
      </c>
      <c r="I485">
        <v>4704.59</v>
      </c>
      <c r="J485" t="s">
        <v>28</v>
      </c>
      <c r="K485" t="s">
        <v>36</v>
      </c>
      <c r="L485">
        <f t="shared" si="7"/>
        <v>14113.77</v>
      </c>
    </row>
    <row r="486" spans="1:12" x14ac:dyDescent="0.3">
      <c r="A486" t="s">
        <v>1632</v>
      </c>
      <c r="B486" t="s">
        <v>1633</v>
      </c>
      <c r="C486" t="s">
        <v>1009</v>
      </c>
      <c r="D486" t="s">
        <v>1220</v>
      </c>
      <c r="E486" t="s">
        <v>95</v>
      </c>
      <c r="F486" t="s">
        <v>26</v>
      </c>
      <c r="G486" t="s">
        <v>166</v>
      </c>
      <c r="H486">
        <v>7</v>
      </c>
      <c r="I486">
        <v>2749.52</v>
      </c>
      <c r="J486" t="s">
        <v>42</v>
      </c>
      <c r="K486" t="s">
        <v>29</v>
      </c>
      <c r="L486">
        <f t="shared" si="7"/>
        <v>19246.64</v>
      </c>
    </row>
    <row r="487" spans="1:12" x14ac:dyDescent="0.3">
      <c r="A487" t="s">
        <v>1634</v>
      </c>
      <c r="B487" t="s">
        <v>210</v>
      </c>
      <c r="C487" t="s">
        <v>1635</v>
      </c>
      <c r="D487" t="s">
        <v>1636</v>
      </c>
      <c r="E487" t="s">
        <v>62</v>
      </c>
      <c r="F487" t="s">
        <v>77</v>
      </c>
      <c r="G487" t="s">
        <v>171</v>
      </c>
      <c r="H487">
        <v>5</v>
      </c>
      <c r="I487">
        <v>3107.74</v>
      </c>
      <c r="J487" t="s">
        <v>42</v>
      </c>
      <c r="K487" t="s">
        <v>83</v>
      </c>
      <c r="L487">
        <f t="shared" si="7"/>
        <v>15538.699999999999</v>
      </c>
    </row>
    <row r="488" spans="1:12" x14ac:dyDescent="0.3">
      <c r="A488" t="s">
        <v>1637</v>
      </c>
      <c r="B488" t="s">
        <v>1638</v>
      </c>
      <c r="C488" t="s">
        <v>1639</v>
      </c>
      <c r="D488" t="s">
        <v>1020</v>
      </c>
      <c r="E488" t="s">
        <v>128</v>
      </c>
      <c r="F488" t="s">
        <v>26</v>
      </c>
      <c r="G488" t="s">
        <v>208</v>
      </c>
      <c r="H488">
        <v>5</v>
      </c>
      <c r="I488">
        <v>3160.56</v>
      </c>
      <c r="J488" t="s">
        <v>28</v>
      </c>
      <c r="K488" t="s">
        <v>20</v>
      </c>
      <c r="L488">
        <f t="shared" si="7"/>
        <v>15802.8</v>
      </c>
    </row>
    <row r="489" spans="1:12" x14ac:dyDescent="0.3">
      <c r="A489" t="s">
        <v>1640</v>
      </c>
      <c r="B489" t="s">
        <v>1157</v>
      </c>
      <c r="C489" t="s">
        <v>1641</v>
      </c>
      <c r="D489" t="s">
        <v>922</v>
      </c>
      <c r="E489" t="s">
        <v>95</v>
      </c>
      <c r="F489" t="s">
        <v>17</v>
      </c>
      <c r="G489" t="s">
        <v>18</v>
      </c>
      <c r="H489">
        <v>4</v>
      </c>
      <c r="I489">
        <v>2044.27</v>
      </c>
      <c r="J489" t="s">
        <v>28</v>
      </c>
      <c r="K489" t="s">
        <v>43</v>
      </c>
      <c r="L489">
        <f t="shared" si="7"/>
        <v>8177.08</v>
      </c>
    </row>
    <row r="490" spans="1:12" x14ac:dyDescent="0.3">
      <c r="A490" t="s">
        <v>1642</v>
      </c>
      <c r="B490" t="s">
        <v>1209</v>
      </c>
      <c r="C490" t="s">
        <v>1062</v>
      </c>
      <c r="D490" t="s">
        <v>1643</v>
      </c>
      <c r="E490" t="s">
        <v>34</v>
      </c>
      <c r="F490" t="s">
        <v>77</v>
      </c>
      <c r="G490" t="s">
        <v>265</v>
      </c>
      <c r="H490">
        <v>2</v>
      </c>
      <c r="I490">
        <v>227.31</v>
      </c>
      <c r="J490" t="s">
        <v>19</v>
      </c>
      <c r="K490" t="s">
        <v>36</v>
      </c>
      <c r="L490">
        <f t="shared" si="7"/>
        <v>454.62</v>
      </c>
    </row>
    <row r="491" spans="1:12" x14ac:dyDescent="0.3">
      <c r="A491" t="s">
        <v>1644</v>
      </c>
      <c r="B491" t="s">
        <v>1645</v>
      </c>
      <c r="C491" t="s">
        <v>757</v>
      </c>
      <c r="D491" t="s">
        <v>1646</v>
      </c>
      <c r="E491" t="s">
        <v>62</v>
      </c>
      <c r="F491" t="s">
        <v>17</v>
      </c>
      <c r="G491" t="s">
        <v>18</v>
      </c>
      <c r="H491">
        <v>6</v>
      </c>
      <c r="I491">
        <v>4358.6499999999996</v>
      </c>
      <c r="J491" t="s">
        <v>50</v>
      </c>
      <c r="K491" t="s">
        <v>83</v>
      </c>
      <c r="L491">
        <f t="shared" si="7"/>
        <v>26151.899999999998</v>
      </c>
    </row>
    <row r="492" spans="1:12" x14ac:dyDescent="0.3">
      <c r="A492" t="s">
        <v>1647</v>
      </c>
      <c r="B492" t="s">
        <v>185</v>
      </c>
      <c r="C492" t="s">
        <v>1648</v>
      </c>
      <c r="D492" t="s">
        <v>670</v>
      </c>
      <c r="E492" t="s">
        <v>34</v>
      </c>
      <c r="F492" t="s">
        <v>77</v>
      </c>
      <c r="G492" t="s">
        <v>78</v>
      </c>
      <c r="H492">
        <v>8</v>
      </c>
      <c r="I492">
        <v>4723.6000000000004</v>
      </c>
      <c r="J492" t="s">
        <v>19</v>
      </c>
      <c r="K492" t="s">
        <v>51</v>
      </c>
      <c r="L492">
        <f t="shared" si="7"/>
        <v>37788.800000000003</v>
      </c>
    </row>
    <row r="493" spans="1:12" x14ac:dyDescent="0.3">
      <c r="A493" t="s">
        <v>1649</v>
      </c>
      <c r="B493" t="s">
        <v>1650</v>
      </c>
      <c r="C493" t="s">
        <v>1630</v>
      </c>
      <c r="D493" t="s">
        <v>1651</v>
      </c>
      <c r="E493" t="s">
        <v>25</v>
      </c>
      <c r="F493" t="s">
        <v>77</v>
      </c>
      <c r="G493" t="s">
        <v>171</v>
      </c>
      <c r="H493">
        <v>8</v>
      </c>
      <c r="I493">
        <v>59.46</v>
      </c>
      <c r="J493" t="s">
        <v>19</v>
      </c>
      <c r="K493" t="s">
        <v>36</v>
      </c>
      <c r="L493">
        <f t="shared" si="7"/>
        <v>475.68</v>
      </c>
    </row>
    <row r="494" spans="1:12" x14ac:dyDescent="0.3">
      <c r="A494" t="s">
        <v>1652</v>
      </c>
      <c r="B494" t="s">
        <v>1653</v>
      </c>
      <c r="C494" t="s">
        <v>1654</v>
      </c>
      <c r="D494" t="s">
        <v>1655</v>
      </c>
      <c r="E494" t="s">
        <v>56</v>
      </c>
      <c r="F494" t="s">
        <v>26</v>
      </c>
      <c r="G494" t="s">
        <v>27</v>
      </c>
      <c r="H494">
        <v>9</v>
      </c>
      <c r="I494">
        <v>1432</v>
      </c>
      <c r="J494" t="s">
        <v>50</v>
      </c>
      <c r="K494" t="s">
        <v>51</v>
      </c>
      <c r="L494">
        <f t="shared" si="7"/>
        <v>12888</v>
      </c>
    </row>
    <row r="495" spans="1:12" x14ac:dyDescent="0.3">
      <c r="A495" t="s">
        <v>1656</v>
      </c>
      <c r="B495" t="s">
        <v>359</v>
      </c>
      <c r="C495" t="s">
        <v>1657</v>
      </c>
      <c r="D495" t="s">
        <v>1658</v>
      </c>
      <c r="E495" t="s">
        <v>56</v>
      </c>
      <c r="F495" t="s">
        <v>17</v>
      </c>
      <c r="G495" t="s">
        <v>41</v>
      </c>
      <c r="H495">
        <v>1</v>
      </c>
      <c r="I495">
        <v>3541.03</v>
      </c>
      <c r="J495" t="s">
        <v>42</v>
      </c>
      <c r="K495" t="s">
        <v>20</v>
      </c>
      <c r="L495">
        <f t="shared" si="7"/>
        <v>3541.03</v>
      </c>
    </row>
    <row r="496" spans="1:12" x14ac:dyDescent="0.3">
      <c r="A496" t="s">
        <v>1659</v>
      </c>
      <c r="B496" t="s">
        <v>1660</v>
      </c>
      <c r="C496" t="s">
        <v>1661</v>
      </c>
      <c r="D496" t="s">
        <v>1662</v>
      </c>
      <c r="E496" t="s">
        <v>104</v>
      </c>
      <c r="F496" t="s">
        <v>48</v>
      </c>
      <c r="G496" t="s">
        <v>49</v>
      </c>
      <c r="H496">
        <v>9</v>
      </c>
      <c r="I496">
        <v>3846.21</v>
      </c>
      <c r="J496" t="s">
        <v>42</v>
      </c>
      <c r="K496" t="s">
        <v>36</v>
      </c>
      <c r="L496">
        <f t="shared" si="7"/>
        <v>34615.89</v>
      </c>
    </row>
    <row r="497" spans="1:12" x14ac:dyDescent="0.3">
      <c r="A497" t="s">
        <v>1663</v>
      </c>
      <c r="B497" t="s">
        <v>706</v>
      </c>
      <c r="C497" t="s">
        <v>1664</v>
      </c>
      <c r="D497" t="s">
        <v>1665</v>
      </c>
      <c r="E497" t="s">
        <v>34</v>
      </c>
      <c r="F497" t="s">
        <v>48</v>
      </c>
      <c r="G497" t="s">
        <v>57</v>
      </c>
      <c r="H497">
        <v>10</v>
      </c>
      <c r="I497">
        <v>2046.44</v>
      </c>
      <c r="J497" t="s">
        <v>42</v>
      </c>
      <c r="K497" t="s">
        <v>36</v>
      </c>
      <c r="L497">
        <f t="shared" si="7"/>
        <v>20464.400000000001</v>
      </c>
    </row>
    <row r="498" spans="1:12" x14ac:dyDescent="0.3">
      <c r="A498" t="s">
        <v>1666</v>
      </c>
      <c r="B498" t="s">
        <v>1667</v>
      </c>
      <c r="C498" t="s">
        <v>1668</v>
      </c>
      <c r="D498" t="s">
        <v>1669</v>
      </c>
      <c r="E498" t="s">
        <v>34</v>
      </c>
      <c r="F498" t="s">
        <v>48</v>
      </c>
      <c r="G498" t="s">
        <v>179</v>
      </c>
      <c r="H498">
        <v>9</v>
      </c>
      <c r="I498">
        <v>1459.37</v>
      </c>
      <c r="J498" t="s">
        <v>28</v>
      </c>
      <c r="K498" t="s">
        <v>36</v>
      </c>
      <c r="L498">
        <f t="shared" si="7"/>
        <v>13134.329999999998</v>
      </c>
    </row>
    <row r="499" spans="1:12" x14ac:dyDescent="0.3">
      <c r="A499" t="s">
        <v>1670</v>
      </c>
      <c r="B499" t="s">
        <v>1593</v>
      </c>
      <c r="C499" t="s">
        <v>1671</v>
      </c>
      <c r="D499" t="s">
        <v>1672</v>
      </c>
      <c r="E499" t="s">
        <v>104</v>
      </c>
      <c r="F499" t="s">
        <v>17</v>
      </c>
      <c r="G499" t="s">
        <v>68</v>
      </c>
      <c r="H499">
        <v>9</v>
      </c>
      <c r="I499">
        <v>3736.59</v>
      </c>
      <c r="J499" t="s">
        <v>50</v>
      </c>
      <c r="K499" t="s">
        <v>20</v>
      </c>
      <c r="L499">
        <f t="shared" si="7"/>
        <v>33629.31</v>
      </c>
    </row>
    <row r="500" spans="1:12" x14ac:dyDescent="0.3">
      <c r="A500" t="s">
        <v>1673</v>
      </c>
      <c r="B500" t="s">
        <v>586</v>
      </c>
      <c r="C500" t="s">
        <v>1674</v>
      </c>
      <c r="D500" t="s">
        <v>1675</v>
      </c>
      <c r="E500" t="s">
        <v>34</v>
      </c>
      <c r="F500" t="s">
        <v>77</v>
      </c>
      <c r="G500" t="s">
        <v>105</v>
      </c>
      <c r="H500">
        <v>9</v>
      </c>
      <c r="I500">
        <v>3518.42</v>
      </c>
      <c r="J500" t="s">
        <v>28</v>
      </c>
      <c r="K500" t="s">
        <v>29</v>
      </c>
      <c r="L500">
        <f t="shared" si="7"/>
        <v>31665.78</v>
      </c>
    </row>
    <row r="501" spans="1:12" x14ac:dyDescent="0.3">
      <c r="A501" t="s">
        <v>1676</v>
      </c>
      <c r="B501" t="s">
        <v>1677</v>
      </c>
      <c r="C501" t="s">
        <v>1170</v>
      </c>
      <c r="D501" t="s">
        <v>1678</v>
      </c>
      <c r="E501" t="s">
        <v>104</v>
      </c>
      <c r="F501" t="s">
        <v>17</v>
      </c>
      <c r="G501" t="s">
        <v>188</v>
      </c>
      <c r="H501">
        <v>9</v>
      </c>
      <c r="I501">
        <v>1520.49</v>
      </c>
      <c r="J501" t="s">
        <v>42</v>
      </c>
      <c r="K501" t="s">
        <v>29</v>
      </c>
      <c r="L501">
        <f t="shared" si="7"/>
        <v>13684.41</v>
      </c>
    </row>
    <row r="502" spans="1:12" x14ac:dyDescent="0.3">
      <c r="A502" t="s">
        <v>1679</v>
      </c>
      <c r="B502" t="s">
        <v>1680</v>
      </c>
      <c r="C502" t="s">
        <v>1681</v>
      </c>
      <c r="D502" t="s">
        <v>1678</v>
      </c>
      <c r="E502" t="s">
        <v>56</v>
      </c>
      <c r="F502" t="s">
        <v>48</v>
      </c>
      <c r="G502" t="s">
        <v>179</v>
      </c>
      <c r="H502">
        <v>9</v>
      </c>
      <c r="I502">
        <v>3902.52</v>
      </c>
      <c r="J502" t="s">
        <v>28</v>
      </c>
      <c r="K502" t="s">
        <v>43</v>
      </c>
      <c r="L502">
        <f t="shared" si="7"/>
        <v>35122.68</v>
      </c>
    </row>
    <row r="503" spans="1:12" x14ac:dyDescent="0.3">
      <c r="A503" t="s">
        <v>1682</v>
      </c>
      <c r="B503" t="s">
        <v>1190</v>
      </c>
      <c r="C503" t="s">
        <v>427</v>
      </c>
      <c r="D503" t="s">
        <v>72</v>
      </c>
      <c r="E503" t="s">
        <v>95</v>
      </c>
      <c r="F503" t="s">
        <v>77</v>
      </c>
      <c r="G503" t="s">
        <v>78</v>
      </c>
      <c r="H503">
        <v>9</v>
      </c>
      <c r="I503">
        <v>1055.67</v>
      </c>
      <c r="J503" t="s">
        <v>42</v>
      </c>
      <c r="K503" t="s">
        <v>29</v>
      </c>
      <c r="L503">
        <f t="shared" si="7"/>
        <v>9501.0300000000007</v>
      </c>
    </row>
    <row r="504" spans="1:12" x14ac:dyDescent="0.3">
      <c r="A504" t="s">
        <v>1683</v>
      </c>
      <c r="B504" t="s">
        <v>1684</v>
      </c>
      <c r="C504" t="s">
        <v>992</v>
      </c>
      <c r="D504" t="s">
        <v>976</v>
      </c>
      <c r="E504" t="s">
        <v>34</v>
      </c>
      <c r="F504" t="s">
        <v>17</v>
      </c>
      <c r="G504" t="s">
        <v>35</v>
      </c>
      <c r="H504">
        <v>7</v>
      </c>
      <c r="I504">
        <v>2948.72</v>
      </c>
      <c r="J504" t="s">
        <v>19</v>
      </c>
      <c r="K504" t="s">
        <v>43</v>
      </c>
      <c r="L504">
        <f t="shared" si="7"/>
        <v>20641.039999999997</v>
      </c>
    </row>
    <row r="505" spans="1:12" x14ac:dyDescent="0.3">
      <c r="A505" t="s">
        <v>1685</v>
      </c>
      <c r="B505" t="s">
        <v>1686</v>
      </c>
      <c r="C505" t="s">
        <v>1687</v>
      </c>
      <c r="D505" t="s">
        <v>1688</v>
      </c>
      <c r="E505" t="s">
        <v>62</v>
      </c>
      <c r="F505" t="s">
        <v>48</v>
      </c>
      <c r="G505" t="s">
        <v>179</v>
      </c>
      <c r="H505">
        <v>4</v>
      </c>
      <c r="I505">
        <v>1813.99</v>
      </c>
      <c r="J505" t="s">
        <v>42</v>
      </c>
      <c r="K505" t="s">
        <v>43</v>
      </c>
      <c r="L505">
        <f t="shared" si="7"/>
        <v>7255.96</v>
      </c>
    </row>
    <row r="506" spans="1:12" x14ac:dyDescent="0.3">
      <c r="A506" t="s">
        <v>1689</v>
      </c>
      <c r="B506" t="s">
        <v>1690</v>
      </c>
      <c r="C506" t="s">
        <v>928</v>
      </c>
      <c r="D506" t="s">
        <v>1691</v>
      </c>
      <c r="E506" t="s">
        <v>62</v>
      </c>
      <c r="F506" t="s">
        <v>48</v>
      </c>
      <c r="G506" t="s">
        <v>179</v>
      </c>
      <c r="H506">
        <v>4</v>
      </c>
      <c r="I506">
        <v>4530.5</v>
      </c>
      <c r="J506" t="s">
        <v>50</v>
      </c>
      <c r="K506" t="s">
        <v>36</v>
      </c>
      <c r="L506">
        <f t="shared" si="7"/>
        <v>18122</v>
      </c>
    </row>
    <row r="507" spans="1:12" x14ac:dyDescent="0.3">
      <c r="A507" t="s">
        <v>1692</v>
      </c>
      <c r="B507" t="s">
        <v>287</v>
      </c>
      <c r="C507" t="s">
        <v>1205</v>
      </c>
      <c r="D507" t="s">
        <v>1693</v>
      </c>
      <c r="E507" t="s">
        <v>56</v>
      </c>
      <c r="F507" t="s">
        <v>17</v>
      </c>
      <c r="G507" t="s">
        <v>35</v>
      </c>
      <c r="H507">
        <v>9</v>
      </c>
      <c r="I507">
        <v>3993.7</v>
      </c>
      <c r="J507" t="s">
        <v>42</v>
      </c>
      <c r="K507" t="s">
        <v>51</v>
      </c>
      <c r="L507">
        <f t="shared" si="7"/>
        <v>35943.299999999996</v>
      </c>
    </row>
    <row r="508" spans="1:12" x14ac:dyDescent="0.3">
      <c r="A508" t="s">
        <v>1694</v>
      </c>
      <c r="B508" t="s">
        <v>1695</v>
      </c>
      <c r="C508" t="s">
        <v>434</v>
      </c>
      <c r="D508" t="s">
        <v>322</v>
      </c>
      <c r="E508" t="s">
        <v>25</v>
      </c>
      <c r="F508" t="s">
        <v>26</v>
      </c>
      <c r="G508" t="s">
        <v>296</v>
      </c>
      <c r="H508">
        <v>4</v>
      </c>
      <c r="I508">
        <v>2550.66</v>
      </c>
      <c r="J508" t="s">
        <v>42</v>
      </c>
      <c r="K508" t="s">
        <v>20</v>
      </c>
      <c r="L508">
        <f t="shared" si="7"/>
        <v>10202.64</v>
      </c>
    </row>
    <row r="509" spans="1:12" x14ac:dyDescent="0.3">
      <c r="A509" t="s">
        <v>1696</v>
      </c>
      <c r="B509" t="s">
        <v>862</v>
      </c>
      <c r="C509" t="s">
        <v>1697</v>
      </c>
      <c r="D509" t="s">
        <v>1698</v>
      </c>
      <c r="E509" t="s">
        <v>62</v>
      </c>
      <c r="F509" t="s">
        <v>17</v>
      </c>
      <c r="G509" t="s">
        <v>41</v>
      </c>
      <c r="H509">
        <v>4</v>
      </c>
      <c r="I509">
        <v>3044.36</v>
      </c>
      <c r="J509" t="s">
        <v>19</v>
      </c>
      <c r="K509" t="s">
        <v>36</v>
      </c>
      <c r="L509">
        <f t="shared" si="7"/>
        <v>12177.44</v>
      </c>
    </row>
    <row r="510" spans="1:12" x14ac:dyDescent="0.3">
      <c r="A510" t="s">
        <v>1699</v>
      </c>
      <c r="B510" t="s">
        <v>668</v>
      </c>
      <c r="C510" t="s">
        <v>98</v>
      </c>
      <c r="D510" t="s">
        <v>399</v>
      </c>
      <c r="E510" t="s">
        <v>56</v>
      </c>
      <c r="F510" t="s">
        <v>26</v>
      </c>
      <c r="G510" t="s">
        <v>208</v>
      </c>
      <c r="H510">
        <v>8</v>
      </c>
      <c r="I510">
        <v>3425.99</v>
      </c>
      <c r="J510" t="s">
        <v>42</v>
      </c>
      <c r="K510" t="s">
        <v>43</v>
      </c>
      <c r="L510">
        <f t="shared" si="7"/>
        <v>27407.919999999998</v>
      </c>
    </row>
    <row r="511" spans="1:12" x14ac:dyDescent="0.3">
      <c r="A511" t="s">
        <v>1700</v>
      </c>
      <c r="B511" t="s">
        <v>1186</v>
      </c>
      <c r="C511" t="s">
        <v>1701</v>
      </c>
      <c r="D511" t="s">
        <v>203</v>
      </c>
      <c r="E511" t="s">
        <v>25</v>
      </c>
      <c r="F511" t="s">
        <v>77</v>
      </c>
      <c r="G511" t="s">
        <v>265</v>
      </c>
      <c r="H511">
        <v>8</v>
      </c>
      <c r="I511">
        <v>3994.16</v>
      </c>
      <c r="J511" t="s">
        <v>28</v>
      </c>
      <c r="K511" t="s">
        <v>29</v>
      </c>
      <c r="L511">
        <f t="shared" si="7"/>
        <v>31953.279999999999</v>
      </c>
    </row>
    <row r="512" spans="1:12" x14ac:dyDescent="0.3">
      <c r="A512" t="s">
        <v>1702</v>
      </c>
      <c r="B512" t="s">
        <v>526</v>
      </c>
      <c r="C512" t="s">
        <v>1703</v>
      </c>
      <c r="D512" t="s">
        <v>1704</v>
      </c>
      <c r="E512" t="s">
        <v>62</v>
      </c>
      <c r="F512" t="s">
        <v>77</v>
      </c>
      <c r="G512" t="s">
        <v>171</v>
      </c>
      <c r="H512">
        <v>3</v>
      </c>
      <c r="I512">
        <v>1538.94</v>
      </c>
      <c r="J512" t="s">
        <v>19</v>
      </c>
      <c r="K512" t="s">
        <v>36</v>
      </c>
      <c r="L512">
        <f t="shared" si="7"/>
        <v>4616.82</v>
      </c>
    </row>
    <row r="513" spans="1:12" x14ac:dyDescent="0.3">
      <c r="A513" t="s">
        <v>1705</v>
      </c>
      <c r="B513" t="s">
        <v>197</v>
      </c>
      <c r="C513" t="s">
        <v>992</v>
      </c>
      <c r="D513" t="s">
        <v>1706</v>
      </c>
      <c r="E513" t="s">
        <v>56</v>
      </c>
      <c r="F513" t="s">
        <v>26</v>
      </c>
      <c r="G513" t="s">
        <v>296</v>
      </c>
      <c r="H513">
        <v>10</v>
      </c>
      <c r="I513">
        <v>2769.13</v>
      </c>
      <c r="J513" t="s">
        <v>42</v>
      </c>
      <c r="K513" t="s">
        <v>29</v>
      </c>
      <c r="L513">
        <f t="shared" si="7"/>
        <v>27691.300000000003</v>
      </c>
    </row>
    <row r="514" spans="1:12" x14ac:dyDescent="0.3">
      <c r="A514" t="s">
        <v>1707</v>
      </c>
      <c r="B514" t="s">
        <v>1578</v>
      </c>
      <c r="C514" t="s">
        <v>1708</v>
      </c>
      <c r="D514" t="s">
        <v>1114</v>
      </c>
      <c r="E514" t="s">
        <v>16</v>
      </c>
      <c r="F514" t="s">
        <v>48</v>
      </c>
      <c r="G514" t="s">
        <v>110</v>
      </c>
      <c r="H514">
        <v>3</v>
      </c>
      <c r="I514">
        <v>4061.86</v>
      </c>
      <c r="J514" t="s">
        <v>19</v>
      </c>
      <c r="K514" t="s">
        <v>83</v>
      </c>
      <c r="L514">
        <f t="shared" si="7"/>
        <v>12185.58</v>
      </c>
    </row>
    <row r="515" spans="1:12" x14ac:dyDescent="0.3">
      <c r="A515" t="s">
        <v>1709</v>
      </c>
      <c r="B515" t="s">
        <v>844</v>
      </c>
      <c r="C515" t="s">
        <v>1710</v>
      </c>
      <c r="D515" t="s">
        <v>611</v>
      </c>
      <c r="E515" t="s">
        <v>95</v>
      </c>
      <c r="F515" t="s">
        <v>17</v>
      </c>
      <c r="G515" t="s">
        <v>68</v>
      </c>
      <c r="H515">
        <v>9</v>
      </c>
      <c r="I515">
        <v>4327.68</v>
      </c>
      <c r="J515" t="s">
        <v>50</v>
      </c>
      <c r="K515" t="s">
        <v>29</v>
      </c>
      <c r="L515">
        <f t="shared" ref="L515:L578" si="8">H515*I515</f>
        <v>38949.120000000003</v>
      </c>
    </row>
    <row r="516" spans="1:12" x14ac:dyDescent="0.3">
      <c r="A516" t="s">
        <v>1711</v>
      </c>
      <c r="B516" t="s">
        <v>1712</v>
      </c>
      <c r="C516" t="s">
        <v>1106</v>
      </c>
      <c r="D516" t="s">
        <v>1496</v>
      </c>
      <c r="E516" t="s">
        <v>16</v>
      </c>
      <c r="F516" t="s">
        <v>77</v>
      </c>
      <c r="G516" t="s">
        <v>171</v>
      </c>
      <c r="H516">
        <v>5</v>
      </c>
      <c r="I516">
        <v>3333.94</v>
      </c>
      <c r="J516" t="s">
        <v>50</v>
      </c>
      <c r="K516" t="s">
        <v>83</v>
      </c>
      <c r="L516">
        <f t="shared" si="8"/>
        <v>16669.7</v>
      </c>
    </row>
    <row r="517" spans="1:12" x14ac:dyDescent="0.3">
      <c r="A517" t="s">
        <v>1713</v>
      </c>
      <c r="B517" t="s">
        <v>1011</v>
      </c>
      <c r="C517" t="s">
        <v>1714</v>
      </c>
      <c r="D517" t="s">
        <v>1715</v>
      </c>
      <c r="E517" t="s">
        <v>128</v>
      </c>
      <c r="F517" t="s">
        <v>48</v>
      </c>
      <c r="G517" t="s">
        <v>179</v>
      </c>
      <c r="H517">
        <v>6</v>
      </c>
      <c r="I517">
        <v>4366.91</v>
      </c>
      <c r="J517" t="s">
        <v>50</v>
      </c>
      <c r="K517" t="s">
        <v>29</v>
      </c>
      <c r="L517">
        <f t="shared" si="8"/>
        <v>26201.46</v>
      </c>
    </row>
    <row r="518" spans="1:12" x14ac:dyDescent="0.3">
      <c r="A518" t="s">
        <v>1716</v>
      </c>
      <c r="B518" t="s">
        <v>1717</v>
      </c>
      <c r="C518" t="s">
        <v>1718</v>
      </c>
      <c r="D518" t="s">
        <v>1719</v>
      </c>
      <c r="E518" t="s">
        <v>128</v>
      </c>
      <c r="F518" t="s">
        <v>17</v>
      </c>
      <c r="G518" t="s">
        <v>188</v>
      </c>
      <c r="H518">
        <v>9</v>
      </c>
      <c r="I518">
        <v>2022.93</v>
      </c>
      <c r="J518" t="s">
        <v>28</v>
      </c>
      <c r="K518" t="s">
        <v>36</v>
      </c>
      <c r="L518">
        <f t="shared" si="8"/>
        <v>18206.37</v>
      </c>
    </row>
    <row r="519" spans="1:12" x14ac:dyDescent="0.3">
      <c r="A519" t="s">
        <v>1720</v>
      </c>
      <c r="B519" t="s">
        <v>31</v>
      </c>
      <c r="C519" t="s">
        <v>1721</v>
      </c>
      <c r="D519" t="s">
        <v>353</v>
      </c>
      <c r="E519" t="s">
        <v>95</v>
      </c>
      <c r="F519" t="s">
        <v>48</v>
      </c>
      <c r="G519" t="s">
        <v>110</v>
      </c>
      <c r="H519">
        <v>4</v>
      </c>
      <c r="I519">
        <v>331.75</v>
      </c>
      <c r="J519" t="s">
        <v>19</v>
      </c>
      <c r="K519" t="s">
        <v>29</v>
      </c>
      <c r="L519">
        <f t="shared" si="8"/>
        <v>1327</v>
      </c>
    </row>
    <row r="520" spans="1:12" x14ac:dyDescent="0.3">
      <c r="A520" t="s">
        <v>1722</v>
      </c>
      <c r="B520" t="s">
        <v>1723</v>
      </c>
      <c r="C520" t="s">
        <v>1302</v>
      </c>
      <c r="D520" t="s">
        <v>1724</v>
      </c>
      <c r="E520" t="s">
        <v>16</v>
      </c>
      <c r="F520" t="s">
        <v>26</v>
      </c>
      <c r="G520" t="s">
        <v>166</v>
      </c>
      <c r="H520">
        <v>2</v>
      </c>
      <c r="I520">
        <v>663.22</v>
      </c>
      <c r="J520" t="s">
        <v>28</v>
      </c>
      <c r="K520" t="s">
        <v>43</v>
      </c>
      <c r="L520">
        <f t="shared" si="8"/>
        <v>1326.44</v>
      </c>
    </row>
    <row r="521" spans="1:12" x14ac:dyDescent="0.3">
      <c r="A521" t="s">
        <v>1725</v>
      </c>
      <c r="B521" t="s">
        <v>654</v>
      </c>
      <c r="C521" t="s">
        <v>848</v>
      </c>
      <c r="D521" t="s">
        <v>383</v>
      </c>
      <c r="E521" t="s">
        <v>128</v>
      </c>
      <c r="F521" t="s">
        <v>17</v>
      </c>
      <c r="G521" t="s">
        <v>35</v>
      </c>
      <c r="H521">
        <v>1</v>
      </c>
      <c r="I521">
        <v>2432.7600000000002</v>
      </c>
      <c r="J521" t="s">
        <v>42</v>
      </c>
      <c r="K521" t="s">
        <v>51</v>
      </c>
      <c r="L521">
        <f t="shared" si="8"/>
        <v>2432.7600000000002</v>
      </c>
    </row>
    <row r="522" spans="1:12" x14ac:dyDescent="0.3">
      <c r="A522" t="s">
        <v>1726</v>
      </c>
      <c r="B522" t="s">
        <v>1252</v>
      </c>
      <c r="C522" t="s">
        <v>1727</v>
      </c>
      <c r="D522" t="s">
        <v>1728</v>
      </c>
      <c r="E522" t="s">
        <v>16</v>
      </c>
      <c r="F522" t="s">
        <v>17</v>
      </c>
      <c r="G522" t="s">
        <v>35</v>
      </c>
      <c r="H522">
        <v>3</v>
      </c>
      <c r="I522">
        <v>335.47</v>
      </c>
      <c r="J522" t="s">
        <v>50</v>
      </c>
      <c r="K522" t="s">
        <v>20</v>
      </c>
      <c r="L522">
        <f t="shared" si="8"/>
        <v>1006.4100000000001</v>
      </c>
    </row>
    <row r="523" spans="1:12" x14ac:dyDescent="0.3">
      <c r="A523" t="s">
        <v>1729</v>
      </c>
      <c r="B523" t="s">
        <v>1730</v>
      </c>
      <c r="C523" t="s">
        <v>1142</v>
      </c>
      <c r="D523" t="s">
        <v>1728</v>
      </c>
      <c r="E523" t="s">
        <v>62</v>
      </c>
      <c r="F523" t="s">
        <v>77</v>
      </c>
      <c r="G523" t="s">
        <v>78</v>
      </c>
      <c r="H523">
        <v>7</v>
      </c>
      <c r="I523">
        <v>2892.33</v>
      </c>
      <c r="J523" t="s">
        <v>28</v>
      </c>
      <c r="K523" t="s">
        <v>29</v>
      </c>
      <c r="L523">
        <f t="shared" si="8"/>
        <v>20246.309999999998</v>
      </c>
    </row>
    <row r="524" spans="1:12" x14ac:dyDescent="0.3">
      <c r="A524" t="s">
        <v>1731</v>
      </c>
      <c r="B524" t="s">
        <v>85</v>
      </c>
      <c r="C524" t="s">
        <v>1732</v>
      </c>
      <c r="D524" t="s">
        <v>1724</v>
      </c>
      <c r="E524" t="s">
        <v>34</v>
      </c>
      <c r="F524" t="s">
        <v>17</v>
      </c>
      <c r="G524" t="s">
        <v>188</v>
      </c>
      <c r="H524">
        <v>6</v>
      </c>
      <c r="I524">
        <v>304.11</v>
      </c>
      <c r="J524" t="s">
        <v>28</v>
      </c>
      <c r="K524" t="s">
        <v>83</v>
      </c>
      <c r="L524">
        <f t="shared" si="8"/>
        <v>1824.66</v>
      </c>
    </row>
    <row r="525" spans="1:12" x14ac:dyDescent="0.3">
      <c r="A525" t="s">
        <v>1733</v>
      </c>
      <c r="B525" t="s">
        <v>1501</v>
      </c>
      <c r="C525" t="s">
        <v>590</v>
      </c>
      <c r="D525" t="s">
        <v>1512</v>
      </c>
      <c r="E525" t="s">
        <v>62</v>
      </c>
      <c r="F525" t="s">
        <v>17</v>
      </c>
      <c r="G525" t="s">
        <v>35</v>
      </c>
      <c r="H525">
        <v>1</v>
      </c>
      <c r="I525">
        <v>1375.02</v>
      </c>
      <c r="J525" t="s">
        <v>28</v>
      </c>
      <c r="K525" t="s">
        <v>29</v>
      </c>
      <c r="L525">
        <f t="shared" si="8"/>
        <v>1375.02</v>
      </c>
    </row>
    <row r="526" spans="1:12" x14ac:dyDescent="0.3">
      <c r="A526" t="s">
        <v>1734</v>
      </c>
      <c r="B526" t="s">
        <v>477</v>
      </c>
      <c r="C526" t="s">
        <v>1735</v>
      </c>
      <c r="D526" t="s">
        <v>1688</v>
      </c>
      <c r="E526" t="s">
        <v>34</v>
      </c>
      <c r="F526" t="s">
        <v>17</v>
      </c>
      <c r="G526" t="s">
        <v>35</v>
      </c>
      <c r="H526">
        <v>5</v>
      </c>
      <c r="I526">
        <v>231.36</v>
      </c>
      <c r="J526" t="s">
        <v>19</v>
      </c>
      <c r="K526" t="s">
        <v>51</v>
      </c>
      <c r="L526">
        <f t="shared" si="8"/>
        <v>1156.8000000000002</v>
      </c>
    </row>
    <row r="527" spans="1:12" x14ac:dyDescent="0.3">
      <c r="A527" t="s">
        <v>1736</v>
      </c>
      <c r="B527" t="s">
        <v>1737</v>
      </c>
      <c r="C527" t="s">
        <v>1738</v>
      </c>
      <c r="D527" t="s">
        <v>1739</v>
      </c>
      <c r="E527" t="s">
        <v>34</v>
      </c>
      <c r="F527" t="s">
        <v>77</v>
      </c>
      <c r="G527" t="s">
        <v>123</v>
      </c>
      <c r="H527">
        <v>10</v>
      </c>
      <c r="I527">
        <v>1637.55</v>
      </c>
      <c r="J527" t="s">
        <v>42</v>
      </c>
      <c r="K527" t="s">
        <v>43</v>
      </c>
      <c r="L527">
        <f t="shared" si="8"/>
        <v>16375.5</v>
      </c>
    </row>
    <row r="528" spans="1:12" x14ac:dyDescent="0.3">
      <c r="A528" t="s">
        <v>1740</v>
      </c>
      <c r="B528" t="s">
        <v>1741</v>
      </c>
      <c r="C528" t="s">
        <v>1742</v>
      </c>
      <c r="D528" t="s">
        <v>1085</v>
      </c>
      <c r="E528" t="s">
        <v>95</v>
      </c>
      <c r="F528" t="s">
        <v>48</v>
      </c>
      <c r="G528" t="s">
        <v>57</v>
      </c>
      <c r="H528">
        <v>1</v>
      </c>
      <c r="I528">
        <v>2682.39</v>
      </c>
      <c r="J528" t="s">
        <v>28</v>
      </c>
      <c r="K528" t="s">
        <v>43</v>
      </c>
      <c r="L528">
        <f t="shared" si="8"/>
        <v>2682.39</v>
      </c>
    </row>
    <row r="529" spans="1:12" x14ac:dyDescent="0.3">
      <c r="A529" t="s">
        <v>1743</v>
      </c>
      <c r="B529" t="s">
        <v>1744</v>
      </c>
      <c r="C529" t="s">
        <v>1745</v>
      </c>
      <c r="D529" t="s">
        <v>1746</v>
      </c>
      <c r="E529" t="s">
        <v>56</v>
      </c>
      <c r="F529" t="s">
        <v>17</v>
      </c>
      <c r="G529" t="s">
        <v>68</v>
      </c>
      <c r="H529">
        <v>1</v>
      </c>
      <c r="I529">
        <v>374.6</v>
      </c>
      <c r="J529" t="s">
        <v>50</v>
      </c>
      <c r="K529" t="s">
        <v>43</v>
      </c>
      <c r="L529">
        <f t="shared" si="8"/>
        <v>374.6</v>
      </c>
    </row>
    <row r="530" spans="1:12" x14ac:dyDescent="0.3">
      <c r="A530" t="s">
        <v>1747</v>
      </c>
      <c r="B530" t="s">
        <v>336</v>
      </c>
      <c r="C530" t="s">
        <v>1748</v>
      </c>
      <c r="D530" t="s">
        <v>520</v>
      </c>
      <c r="E530" t="s">
        <v>56</v>
      </c>
      <c r="F530" t="s">
        <v>17</v>
      </c>
      <c r="G530" t="s">
        <v>41</v>
      </c>
      <c r="H530">
        <v>2</v>
      </c>
      <c r="I530">
        <v>3731.51</v>
      </c>
      <c r="J530" t="s">
        <v>50</v>
      </c>
      <c r="K530" t="s">
        <v>51</v>
      </c>
      <c r="L530">
        <f t="shared" si="8"/>
        <v>7463.02</v>
      </c>
    </row>
    <row r="531" spans="1:12" x14ac:dyDescent="0.3">
      <c r="A531" t="s">
        <v>1749</v>
      </c>
      <c r="B531" t="s">
        <v>1006</v>
      </c>
      <c r="C531" t="s">
        <v>1750</v>
      </c>
      <c r="D531" t="s">
        <v>1543</v>
      </c>
      <c r="E531" t="s">
        <v>62</v>
      </c>
      <c r="F531" t="s">
        <v>17</v>
      </c>
      <c r="G531" t="s">
        <v>18</v>
      </c>
      <c r="H531">
        <v>7</v>
      </c>
      <c r="I531">
        <v>3449.88</v>
      </c>
      <c r="J531" t="s">
        <v>50</v>
      </c>
      <c r="K531" t="s">
        <v>36</v>
      </c>
      <c r="L531">
        <f t="shared" si="8"/>
        <v>24149.16</v>
      </c>
    </row>
    <row r="532" spans="1:12" x14ac:dyDescent="0.3">
      <c r="A532" t="s">
        <v>1751</v>
      </c>
      <c r="B532" t="s">
        <v>250</v>
      </c>
      <c r="C532" t="s">
        <v>896</v>
      </c>
      <c r="D532" t="s">
        <v>860</v>
      </c>
      <c r="E532" t="s">
        <v>128</v>
      </c>
      <c r="F532" t="s">
        <v>77</v>
      </c>
      <c r="G532" t="s">
        <v>171</v>
      </c>
      <c r="H532">
        <v>10</v>
      </c>
      <c r="I532">
        <v>1670.81</v>
      </c>
      <c r="J532" t="s">
        <v>42</v>
      </c>
      <c r="K532" t="s">
        <v>83</v>
      </c>
      <c r="L532">
        <f t="shared" si="8"/>
        <v>16708.099999999999</v>
      </c>
    </row>
    <row r="533" spans="1:12" x14ac:dyDescent="0.3">
      <c r="A533" t="s">
        <v>1752</v>
      </c>
      <c r="B533" t="s">
        <v>1753</v>
      </c>
      <c r="C533" t="s">
        <v>1754</v>
      </c>
      <c r="D533" t="s">
        <v>524</v>
      </c>
      <c r="E533" t="s">
        <v>62</v>
      </c>
      <c r="F533" t="s">
        <v>77</v>
      </c>
      <c r="G533" t="s">
        <v>265</v>
      </c>
      <c r="H533">
        <v>1</v>
      </c>
      <c r="I533">
        <v>1326.61</v>
      </c>
      <c r="J533" t="s">
        <v>19</v>
      </c>
      <c r="K533" t="s">
        <v>43</v>
      </c>
      <c r="L533">
        <f t="shared" si="8"/>
        <v>1326.61</v>
      </c>
    </row>
    <row r="534" spans="1:12" x14ac:dyDescent="0.3">
      <c r="A534" t="s">
        <v>1755</v>
      </c>
      <c r="B534" t="s">
        <v>1756</v>
      </c>
      <c r="C534" t="s">
        <v>1757</v>
      </c>
      <c r="D534" t="s">
        <v>72</v>
      </c>
      <c r="E534" t="s">
        <v>62</v>
      </c>
      <c r="F534" t="s">
        <v>48</v>
      </c>
      <c r="G534" t="s">
        <v>110</v>
      </c>
      <c r="H534">
        <v>3</v>
      </c>
      <c r="I534">
        <v>3453.86</v>
      </c>
      <c r="J534" t="s">
        <v>28</v>
      </c>
      <c r="K534" t="s">
        <v>51</v>
      </c>
      <c r="L534">
        <f t="shared" si="8"/>
        <v>10361.58</v>
      </c>
    </row>
    <row r="535" spans="1:12" x14ac:dyDescent="0.3">
      <c r="A535" t="s">
        <v>1758</v>
      </c>
      <c r="B535" t="s">
        <v>1759</v>
      </c>
      <c r="C535" t="s">
        <v>1760</v>
      </c>
      <c r="D535" t="s">
        <v>758</v>
      </c>
      <c r="E535" t="s">
        <v>95</v>
      </c>
      <c r="F535" t="s">
        <v>17</v>
      </c>
      <c r="G535" t="s">
        <v>188</v>
      </c>
      <c r="H535">
        <v>9</v>
      </c>
      <c r="I535">
        <v>2321.89</v>
      </c>
      <c r="J535" t="s">
        <v>28</v>
      </c>
      <c r="K535" t="s">
        <v>83</v>
      </c>
      <c r="L535">
        <f t="shared" si="8"/>
        <v>20897.009999999998</v>
      </c>
    </row>
    <row r="536" spans="1:12" x14ac:dyDescent="0.3">
      <c r="A536" t="s">
        <v>1761</v>
      </c>
      <c r="B536" t="s">
        <v>490</v>
      </c>
      <c r="C536" t="s">
        <v>1762</v>
      </c>
      <c r="D536" t="s">
        <v>652</v>
      </c>
      <c r="E536" t="s">
        <v>16</v>
      </c>
      <c r="F536" t="s">
        <v>26</v>
      </c>
      <c r="G536" t="s">
        <v>115</v>
      </c>
      <c r="H536">
        <v>6</v>
      </c>
      <c r="I536">
        <v>4873.62</v>
      </c>
      <c r="J536" t="s">
        <v>28</v>
      </c>
      <c r="K536" t="s">
        <v>51</v>
      </c>
      <c r="L536">
        <f t="shared" si="8"/>
        <v>29241.72</v>
      </c>
    </row>
    <row r="537" spans="1:12" x14ac:dyDescent="0.3">
      <c r="A537" t="s">
        <v>1763</v>
      </c>
      <c r="B537" t="s">
        <v>609</v>
      </c>
      <c r="C537" t="s">
        <v>1764</v>
      </c>
      <c r="D537" t="s">
        <v>165</v>
      </c>
      <c r="E537" t="s">
        <v>62</v>
      </c>
      <c r="F537" t="s">
        <v>77</v>
      </c>
      <c r="G537" t="s">
        <v>78</v>
      </c>
      <c r="H537">
        <v>3</v>
      </c>
      <c r="I537">
        <v>2793.6</v>
      </c>
      <c r="J537" t="s">
        <v>42</v>
      </c>
      <c r="K537" t="s">
        <v>83</v>
      </c>
      <c r="L537">
        <f t="shared" si="8"/>
        <v>8380.7999999999993</v>
      </c>
    </row>
    <row r="538" spans="1:12" x14ac:dyDescent="0.3">
      <c r="A538" t="s">
        <v>1765</v>
      </c>
      <c r="B538" t="s">
        <v>437</v>
      </c>
      <c r="C538" t="s">
        <v>1766</v>
      </c>
      <c r="D538" t="s">
        <v>666</v>
      </c>
      <c r="E538" t="s">
        <v>128</v>
      </c>
      <c r="F538" t="s">
        <v>77</v>
      </c>
      <c r="G538" t="s">
        <v>105</v>
      </c>
      <c r="H538">
        <v>9</v>
      </c>
      <c r="I538">
        <v>1793.13</v>
      </c>
      <c r="J538" t="s">
        <v>19</v>
      </c>
      <c r="K538" t="s">
        <v>83</v>
      </c>
      <c r="L538">
        <f t="shared" si="8"/>
        <v>16138.170000000002</v>
      </c>
    </row>
    <row r="539" spans="1:12" x14ac:dyDescent="0.3">
      <c r="A539" t="s">
        <v>1767</v>
      </c>
      <c r="B539" t="s">
        <v>1633</v>
      </c>
      <c r="C539" t="s">
        <v>1768</v>
      </c>
      <c r="D539" t="s">
        <v>1678</v>
      </c>
      <c r="E539" t="s">
        <v>25</v>
      </c>
      <c r="F539" t="s">
        <v>26</v>
      </c>
      <c r="G539" t="s">
        <v>296</v>
      </c>
      <c r="H539">
        <v>8</v>
      </c>
      <c r="I539">
        <v>1305.54</v>
      </c>
      <c r="J539" t="s">
        <v>28</v>
      </c>
      <c r="K539" t="s">
        <v>20</v>
      </c>
      <c r="L539">
        <f t="shared" si="8"/>
        <v>10444.32</v>
      </c>
    </row>
    <row r="540" spans="1:12" x14ac:dyDescent="0.3">
      <c r="A540" t="s">
        <v>1769</v>
      </c>
      <c r="B540" t="s">
        <v>1770</v>
      </c>
      <c r="C540" t="s">
        <v>1771</v>
      </c>
      <c r="D540" t="s">
        <v>1085</v>
      </c>
      <c r="E540" t="s">
        <v>62</v>
      </c>
      <c r="F540" t="s">
        <v>77</v>
      </c>
      <c r="G540" t="s">
        <v>78</v>
      </c>
      <c r="H540">
        <v>2</v>
      </c>
      <c r="I540">
        <v>3236.32</v>
      </c>
      <c r="J540" t="s">
        <v>28</v>
      </c>
      <c r="K540" t="s">
        <v>51</v>
      </c>
      <c r="L540">
        <f t="shared" si="8"/>
        <v>6472.64</v>
      </c>
    </row>
    <row r="541" spans="1:12" x14ac:dyDescent="0.3">
      <c r="A541" t="s">
        <v>1772</v>
      </c>
      <c r="B541" t="s">
        <v>159</v>
      </c>
      <c r="C541" t="s">
        <v>138</v>
      </c>
      <c r="D541" t="s">
        <v>1220</v>
      </c>
      <c r="E541" t="s">
        <v>128</v>
      </c>
      <c r="F541" t="s">
        <v>26</v>
      </c>
      <c r="G541" t="s">
        <v>27</v>
      </c>
      <c r="H541">
        <v>6</v>
      </c>
      <c r="I541">
        <v>4223.6400000000003</v>
      </c>
      <c r="J541" t="s">
        <v>19</v>
      </c>
      <c r="K541" t="s">
        <v>36</v>
      </c>
      <c r="L541">
        <f t="shared" si="8"/>
        <v>25341.840000000004</v>
      </c>
    </row>
    <row r="542" spans="1:12" x14ac:dyDescent="0.3">
      <c r="A542" t="s">
        <v>1773</v>
      </c>
      <c r="B542" t="s">
        <v>593</v>
      </c>
      <c r="C542" t="s">
        <v>569</v>
      </c>
      <c r="D542" t="s">
        <v>1411</v>
      </c>
      <c r="E542" t="s">
        <v>16</v>
      </c>
      <c r="F542" t="s">
        <v>48</v>
      </c>
      <c r="G542" t="s">
        <v>179</v>
      </c>
      <c r="H542">
        <v>6</v>
      </c>
      <c r="I542">
        <v>1307.9000000000001</v>
      </c>
      <c r="J542" t="s">
        <v>19</v>
      </c>
      <c r="K542" t="s">
        <v>43</v>
      </c>
      <c r="L542">
        <f t="shared" si="8"/>
        <v>7847.4000000000005</v>
      </c>
    </row>
    <row r="543" spans="1:12" x14ac:dyDescent="0.3">
      <c r="A543" t="s">
        <v>1774</v>
      </c>
      <c r="B543" t="s">
        <v>1775</v>
      </c>
      <c r="C543" t="s">
        <v>1776</v>
      </c>
      <c r="D543" t="s">
        <v>1777</v>
      </c>
      <c r="E543" t="s">
        <v>62</v>
      </c>
      <c r="F543" t="s">
        <v>48</v>
      </c>
      <c r="G543" t="s">
        <v>57</v>
      </c>
      <c r="H543">
        <v>4</v>
      </c>
      <c r="I543">
        <v>4139.93</v>
      </c>
      <c r="J543" t="s">
        <v>42</v>
      </c>
      <c r="K543" t="s">
        <v>36</v>
      </c>
      <c r="L543">
        <f t="shared" si="8"/>
        <v>16559.72</v>
      </c>
    </row>
    <row r="544" spans="1:12" x14ac:dyDescent="0.3">
      <c r="A544" t="s">
        <v>1778</v>
      </c>
      <c r="B544" t="s">
        <v>1565</v>
      </c>
      <c r="C544" t="s">
        <v>1779</v>
      </c>
      <c r="D544" t="s">
        <v>1780</v>
      </c>
      <c r="E544" t="s">
        <v>62</v>
      </c>
      <c r="F544" t="s">
        <v>17</v>
      </c>
      <c r="G544" t="s">
        <v>68</v>
      </c>
      <c r="H544">
        <v>10</v>
      </c>
      <c r="I544">
        <v>4898.0200000000004</v>
      </c>
      <c r="J544" t="s">
        <v>42</v>
      </c>
      <c r="K544" t="s">
        <v>20</v>
      </c>
      <c r="L544">
        <f t="shared" si="8"/>
        <v>48980.200000000004</v>
      </c>
    </row>
    <row r="545" spans="1:12" x14ac:dyDescent="0.3">
      <c r="A545" t="s">
        <v>1781</v>
      </c>
      <c r="B545" t="s">
        <v>1003</v>
      </c>
      <c r="C545" t="s">
        <v>1026</v>
      </c>
      <c r="D545" t="s">
        <v>1782</v>
      </c>
      <c r="E545" t="s">
        <v>16</v>
      </c>
      <c r="F545" t="s">
        <v>26</v>
      </c>
      <c r="G545" t="s">
        <v>115</v>
      </c>
      <c r="H545">
        <v>5</v>
      </c>
      <c r="I545">
        <v>4274.68</v>
      </c>
      <c r="J545" t="s">
        <v>28</v>
      </c>
      <c r="K545" t="s">
        <v>43</v>
      </c>
      <c r="L545">
        <f t="shared" si="8"/>
        <v>21373.4</v>
      </c>
    </row>
    <row r="546" spans="1:12" x14ac:dyDescent="0.3">
      <c r="A546" t="s">
        <v>1783</v>
      </c>
      <c r="B546" t="s">
        <v>13</v>
      </c>
      <c r="C546" t="s">
        <v>1784</v>
      </c>
      <c r="D546" t="s">
        <v>1785</v>
      </c>
      <c r="E546" t="s">
        <v>16</v>
      </c>
      <c r="F546" t="s">
        <v>48</v>
      </c>
      <c r="G546" t="s">
        <v>49</v>
      </c>
      <c r="H546">
        <v>2</v>
      </c>
      <c r="I546">
        <v>4228.76</v>
      </c>
      <c r="J546" t="s">
        <v>50</v>
      </c>
      <c r="K546" t="s">
        <v>36</v>
      </c>
      <c r="L546">
        <f t="shared" si="8"/>
        <v>8457.52</v>
      </c>
    </row>
    <row r="547" spans="1:12" x14ac:dyDescent="0.3">
      <c r="A547" t="s">
        <v>1786</v>
      </c>
      <c r="B547" t="s">
        <v>1006</v>
      </c>
      <c r="C547" t="s">
        <v>1787</v>
      </c>
      <c r="D547" t="s">
        <v>1788</v>
      </c>
      <c r="E547" t="s">
        <v>34</v>
      </c>
      <c r="F547" t="s">
        <v>17</v>
      </c>
      <c r="G547" t="s">
        <v>188</v>
      </c>
      <c r="H547">
        <v>10</v>
      </c>
      <c r="I547">
        <v>4189.97</v>
      </c>
      <c r="J547" t="s">
        <v>28</v>
      </c>
      <c r="K547" t="s">
        <v>36</v>
      </c>
      <c r="L547">
        <f t="shared" si="8"/>
        <v>41899.700000000004</v>
      </c>
    </row>
    <row r="548" spans="1:12" x14ac:dyDescent="0.3">
      <c r="A548" t="s">
        <v>1789</v>
      </c>
      <c r="B548" t="s">
        <v>1790</v>
      </c>
      <c r="C548" t="s">
        <v>1791</v>
      </c>
      <c r="D548" t="s">
        <v>1355</v>
      </c>
      <c r="E548" t="s">
        <v>128</v>
      </c>
      <c r="F548" t="s">
        <v>48</v>
      </c>
      <c r="G548" t="s">
        <v>179</v>
      </c>
      <c r="H548">
        <v>10</v>
      </c>
      <c r="I548">
        <v>1663.21</v>
      </c>
      <c r="J548" t="s">
        <v>42</v>
      </c>
      <c r="K548" t="s">
        <v>36</v>
      </c>
      <c r="L548">
        <f t="shared" si="8"/>
        <v>16632.099999999999</v>
      </c>
    </row>
    <row r="549" spans="1:12" x14ac:dyDescent="0.3">
      <c r="A549" t="s">
        <v>1792</v>
      </c>
      <c r="B549" t="s">
        <v>80</v>
      </c>
      <c r="C549" t="s">
        <v>1068</v>
      </c>
      <c r="D549" t="s">
        <v>1163</v>
      </c>
      <c r="E549" t="s">
        <v>34</v>
      </c>
      <c r="F549" t="s">
        <v>48</v>
      </c>
      <c r="G549" t="s">
        <v>110</v>
      </c>
      <c r="H549">
        <v>1</v>
      </c>
      <c r="I549">
        <v>2203.7199999999998</v>
      </c>
      <c r="J549" t="s">
        <v>28</v>
      </c>
      <c r="K549" t="s">
        <v>83</v>
      </c>
      <c r="L549">
        <f t="shared" si="8"/>
        <v>2203.7199999999998</v>
      </c>
    </row>
    <row r="550" spans="1:12" x14ac:dyDescent="0.3">
      <c r="A550" t="s">
        <v>1793</v>
      </c>
      <c r="B550" t="s">
        <v>1794</v>
      </c>
      <c r="C550" t="s">
        <v>1795</v>
      </c>
      <c r="D550" t="s">
        <v>1796</v>
      </c>
      <c r="E550" t="s">
        <v>56</v>
      </c>
      <c r="F550" t="s">
        <v>48</v>
      </c>
      <c r="G550" t="s">
        <v>57</v>
      </c>
      <c r="H550">
        <v>3</v>
      </c>
      <c r="I550">
        <v>2417.8000000000002</v>
      </c>
      <c r="J550" t="s">
        <v>19</v>
      </c>
      <c r="K550" t="s">
        <v>20</v>
      </c>
      <c r="L550">
        <f t="shared" si="8"/>
        <v>7253.4000000000005</v>
      </c>
    </row>
    <row r="551" spans="1:12" x14ac:dyDescent="0.3">
      <c r="A551" t="s">
        <v>1797</v>
      </c>
      <c r="B551" t="s">
        <v>301</v>
      </c>
      <c r="C551" t="s">
        <v>617</v>
      </c>
      <c r="D551" t="s">
        <v>849</v>
      </c>
      <c r="E551" t="s">
        <v>104</v>
      </c>
      <c r="F551" t="s">
        <v>77</v>
      </c>
      <c r="G551" t="s">
        <v>105</v>
      </c>
      <c r="H551">
        <v>8</v>
      </c>
      <c r="I551">
        <v>4403.62</v>
      </c>
      <c r="J551" t="s">
        <v>42</v>
      </c>
      <c r="K551" t="s">
        <v>83</v>
      </c>
      <c r="L551">
        <f t="shared" si="8"/>
        <v>35228.959999999999</v>
      </c>
    </row>
    <row r="552" spans="1:12" x14ac:dyDescent="0.3">
      <c r="A552" t="s">
        <v>1798</v>
      </c>
      <c r="B552" t="s">
        <v>242</v>
      </c>
      <c r="C552" t="s">
        <v>1799</v>
      </c>
      <c r="D552" t="s">
        <v>1800</v>
      </c>
      <c r="E552" t="s">
        <v>104</v>
      </c>
      <c r="F552" t="s">
        <v>26</v>
      </c>
      <c r="G552" t="s">
        <v>208</v>
      </c>
      <c r="H552">
        <v>2</v>
      </c>
      <c r="I552">
        <v>1670.89</v>
      </c>
      <c r="J552" t="s">
        <v>50</v>
      </c>
      <c r="K552" t="s">
        <v>36</v>
      </c>
      <c r="L552">
        <f t="shared" si="8"/>
        <v>3341.78</v>
      </c>
    </row>
    <row r="553" spans="1:12" x14ac:dyDescent="0.3">
      <c r="A553" t="s">
        <v>1801</v>
      </c>
      <c r="B553" t="s">
        <v>53</v>
      </c>
      <c r="C553" t="s">
        <v>1648</v>
      </c>
      <c r="D553" t="s">
        <v>662</v>
      </c>
      <c r="E553" t="s">
        <v>62</v>
      </c>
      <c r="F553" t="s">
        <v>77</v>
      </c>
      <c r="G553" t="s">
        <v>105</v>
      </c>
      <c r="H553">
        <v>5</v>
      </c>
      <c r="I553">
        <v>128.51</v>
      </c>
      <c r="J553" t="s">
        <v>28</v>
      </c>
      <c r="K553" t="s">
        <v>43</v>
      </c>
      <c r="L553">
        <f t="shared" si="8"/>
        <v>642.54999999999995</v>
      </c>
    </row>
    <row r="554" spans="1:12" x14ac:dyDescent="0.3">
      <c r="A554" t="s">
        <v>1802</v>
      </c>
      <c r="B554" t="s">
        <v>978</v>
      </c>
      <c r="C554" t="s">
        <v>1803</v>
      </c>
      <c r="D554" t="s">
        <v>871</v>
      </c>
      <c r="E554" t="s">
        <v>16</v>
      </c>
      <c r="F554" t="s">
        <v>17</v>
      </c>
      <c r="G554" t="s">
        <v>68</v>
      </c>
      <c r="H554">
        <v>7</v>
      </c>
      <c r="I554">
        <v>1150.4100000000001</v>
      </c>
      <c r="J554" t="s">
        <v>50</v>
      </c>
      <c r="K554" t="s">
        <v>20</v>
      </c>
      <c r="L554">
        <f t="shared" si="8"/>
        <v>8052.8700000000008</v>
      </c>
    </row>
    <row r="555" spans="1:12" x14ac:dyDescent="0.3">
      <c r="A555" t="s">
        <v>1804</v>
      </c>
      <c r="B555" t="s">
        <v>1131</v>
      </c>
      <c r="C555" t="s">
        <v>1805</v>
      </c>
      <c r="D555" t="s">
        <v>459</v>
      </c>
      <c r="E555" t="s">
        <v>16</v>
      </c>
      <c r="F555" t="s">
        <v>17</v>
      </c>
      <c r="G555" t="s">
        <v>35</v>
      </c>
      <c r="H555">
        <v>8</v>
      </c>
      <c r="I555">
        <v>4731.78</v>
      </c>
      <c r="J555" t="s">
        <v>28</v>
      </c>
      <c r="K555" t="s">
        <v>29</v>
      </c>
      <c r="L555">
        <f t="shared" si="8"/>
        <v>37854.239999999998</v>
      </c>
    </row>
    <row r="556" spans="1:12" x14ac:dyDescent="0.3">
      <c r="A556" t="s">
        <v>1806</v>
      </c>
      <c r="B556" t="s">
        <v>1807</v>
      </c>
      <c r="C556" t="s">
        <v>1808</v>
      </c>
      <c r="D556" t="s">
        <v>1809</v>
      </c>
      <c r="E556" t="s">
        <v>62</v>
      </c>
      <c r="F556" t="s">
        <v>17</v>
      </c>
      <c r="G556" t="s">
        <v>68</v>
      </c>
      <c r="H556">
        <v>3</v>
      </c>
      <c r="I556">
        <v>63.05</v>
      </c>
      <c r="J556" t="s">
        <v>19</v>
      </c>
      <c r="K556" t="s">
        <v>51</v>
      </c>
      <c r="L556">
        <f t="shared" si="8"/>
        <v>189.14999999999998</v>
      </c>
    </row>
    <row r="557" spans="1:12" x14ac:dyDescent="0.3">
      <c r="A557" t="s">
        <v>1810</v>
      </c>
      <c r="B557" t="s">
        <v>1320</v>
      </c>
      <c r="C557" t="s">
        <v>1811</v>
      </c>
      <c r="D557" t="s">
        <v>1812</v>
      </c>
      <c r="E557" t="s">
        <v>25</v>
      </c>
      <c r="F557" t="s">
        <v>17</v>
      </c>
      <c r="G557" t="s">
        <v>188</v>
      </c>
      <c r="H557">
        <v>9</v>
      </c>
      <c r="I557">
        <v>415.49</v>
      </c>
      <c r="J557" t="s">
        <v>19</v>
      </c>
      <c r="K557" t="s">
        <v>29</v>
      </c>
      <c r="L557">
        <f t="shared" si="8"/>
        <v>3739.41</v>
      </c>
    </row>
    <row r="558" spans="1:12" x14ac:dyDescent="0.3">
      <c r="A558" t="s">
        <v>1813</v>
      </c>
      <c r="B558" t="s">
        <v>683</v>
      </c>
      <c r="C558" t="s">
        <v>1814</v>
      </c>
      <c r="D558" t="s">
        <v>1815</v>
      </c>
      <c r="E558" t="s">
        <v>56</v>
      </c>
      <c r="F558" t="s">
        <v>48</v>
      </c>
      <c r="G558" t="s">
        <v>49</v>
      </c>
      <c r="H558">
        <v>2</v>
      </c>
      <c r="I558">
        <v>3489.83</v>
      </c>
      <c r="J558" t="s">
        <v>19</v>
      </c>
      <c r="K558" t="s">
        <v>29</v>
      </c>
      <c r="L558">
        <f t="shared" si="8"/>
        <v>6979.66</v>
      </c>
    </row>
    <row r="559" spans="1:12" x14ac:dyDescent="0.3">
      <c r="A559" t="s">
        <v>1816</v>
      </c>
      <c r="B559" t="s">
        <v>1817</v>
      </c>
      <c r="C559" t="s">
        <v>673</v>
      </c>
      <c r="D559" t="s">
        <v>900</v>
      </c>
      <c r="E559" t="s">
        <v>56</v>
      </c>
      <c r="F559" t="s">
        <v>17</v>
      </c>
      <c r="G559" t="s">
        <v>35</v>
      </c>
      <c r="H559">
        <v>10</v>
      </c>
      <c r="I559">
        <v>2640.62</v>
      </c>
      <c r="J559" t="s">
        <v>19</v>
      </c>
      <c r="K559" t="s">
        <v>43</v>
      </c>
      <c r="L559">
        <f t="shared" si="8"/>
        <v>26406.199999999997</v>
      </c>
    </row>
    <row r="560" spans="1:12" x14ac:dyDescent="0.3">
      <c r="A560" t="s">
        <v>1818</v>
      </c>
      <c r="B560" t="s">
        <v>74</v>
      </c>
      <c r="C560" t="s">
        <v>1489</v>
      </c>
      <c r="D560" t="s">
        <v>1149</v>
      </c>
      <c r="E560" t="s">
        <v>16</v>
      </c>
      <c r="F560" t="s">
        <v>26</v>
      </c>
      <c r="G560" t="s">
        <v>208</v>
      </c>
      <c r="H560">
        <v>1</v>
      </c>
      <c r="I560">
        <v>4228.5200000000004</v>
      </c>
      <c r="J560" t="s">
        <v>50</v>
      </c>
      <c r="K560" t="s">
        <v>29</v>
      </c>
      <c r="L560">
        <f t="shared" si="8"/>
        <v>4228.5200000000004</v>
      </c>
    </row>
    <row r="561" spans="1:12" x14ac:dyDescent="0.3">
      <c r="A561" t="s">
        <v>1819</v>
      </c>
      <c r="B561" t="s">
        <v>1388</v>
      </c>
      <c r="C561" t="s">
        <v>824</v>
      </c>
      <c r="D561" t="s">
        <v>1820</v>
      </c>
      <c r="E561" t="s">
        <v>95</v>
      </c>
      <c r="F561" t="s">
        <v>77</v>
      </c>
      <c r="G561" t="s">
        <v>123</v>
      </c>
      <c r="H561">
        <v>9</v>
      </c>
      <c r="I561">
        <v>4954.91</v>
      </c>
      <c r="J561" t="s">
        <v>42</v>
      </c>
      <c r="K561" t="s">
        <v>29</v>
      </c>
      <c r="L561">
        <f t="shared" si="8"/>
        <v>44594.19</v>
      </c>
    </row>
    <row r="562" spans="1:12" x14ac:dyDescent="0.3">
      <c r="A562" t="s">
        <v>1821</v>
      </c>
      <c r="B562" t="s">
        <v>1822</v>
      </c>
      <c r="C562" t="s">
        <v>1823</v>
      </c>
      <c r="D562" t="s">
        <v>1303</v>
      </c>
      <c r="E562" t="s">
        <v>62</v>
      </c>
      <c r="F562" t="s">
        <v>48</v>
      </c>
      <c r="G562" t="s">
        <v>49</v>
      </c>
      <c r="H562">
        <v>1</v>
      </c>
      <c r="I562">
        <v>3342.11</v>
      </c>
      <c r="J562" t="s">
        <v>19</v>
      </c>
      <c r="K562" t="s">
        <v>29</v>
      </c>
      <c r="L562">
        <f t="shared" si="8"/>
        <v>3342.11</v>
      </c>
    </row>
    <row r="563" spans="1:12" x14ac:dyDescent="0.3">
      <c r="A563" t="s">
        <v>1824</v>
      </c>
      <c r="B563" t="s">
        <v>238</v>
      </c>
      <c r="C563" t="s">
        <v>1281</v>
      </c>
      <c r="D563" t="s">
        <v>1693</v>
      </c>
      <c r="E563" t="s">
        <v>104</v>
      </c>
      <c r="F563" t="s">
        <v>48</v>
      </c>
      <c r="G563" t="s">
        <v>63</v>
      </c>
      <c r="H563">
        <v>6</v>
      </c>
      <c r="I563">
        <v>3913.71</v>
      </c>
      <c r="J563" t="s">
        <v>28</v>
      </c>
      <c r="K563" t="s">
        <v>29</v>
      </c>
      <c r="L563">
        <f t="shared" si="8"/>
        <v>23482.260000000002</v>
      </c>
    </row>
    <row r="564" spans="1:12" x14ac:dyDescent="0.3">
      <c r="A564" t="s">
        <v>1825</v>
      </c>
      <c r="B564" t="s">
        <v>1826</v>
      </c>
      <c r="C564" t="s">
        <v>1162</v>
      </c>
      <c r="D564" t="s">
        <v>1827</v>
      </c>
      <c r="E564" t="s">
        <v>16</v>
      </c>
      <c r="F564" t="s">
        <v>26</v>
      </c>
      <c r="G564" t="s">
        <v>208</v>
      </c>
      <c r="H564">
        <v>9</v>
      </c>
      <c r="I564">
        <v>1789.86</v>
      </c>
      <c r="J564" t="s">
        <v>50</v>
      </c>
      <c r="K564" t="s">
        <v>51</v>
      </c>
      <c r="L564">
        <f t="shared" si="8"/>
        <v>16108.74</v>
      </c>
    </row>
    <row r="565" spans="1:12" x14ac:dyDescent="0.3">
      <c r="A565" t="s">
        <v>1828</v>
      </c>
      <c r="B565" t="s">
        <v>242</v>
      </c>
      <c r="C565" t="s">
        <v>1829</v>
      </c>
      <c r="D565" t="s">
        <v>199</v>
      </c>
      <c r="E565" t="s">
        <v>128</v>
      </c>
      <c r="F565" t="s">
        <v>77</v>
      </c>
      <c r="G565" t="s">
        <v>171</v>
      </c>
      <c r="H565">
        <v>8</v>
      </c>
      <c r="I565">
        <v>4907.4799999999996</v>
      </c>
      <c r="J565" t="s">
        <v>28</v>
      </c>
      <c r="K565" t="s">
        <v>20</v>
      </c>
      <c r="L565">
        <f t="shared" si="8"/>
        <v>39259.839999999997</v>
      </c>
    </row>
    <row r="566" spans="1:12" x14ac:dyDescent="0.3">
      <c r="A566" t="s">
        <v>1830</v>
      </c>
      <c r="B566" t="s">
        <v>1831</v>
      </c>
      <c r="C566" t="s">
        <v>1832</v>
      </c>
      <c r="D566" t="s">
        <v>1833</v>
      </c>
      <c r="E566" t="s">
        <v>25</v>
      </c>
      <c r="F566" t="s">
        <v>26</v>
      </c>
      <c r="G566" t="s">
        <v>27</v>
      </c>
      <c r="H566">
        <v>9</v>
      </c>
      <c r="I566">
        <v>2335.91</v>
      </c>
      <c r="J566" t="s">
        <v>42</v>
      </c>
      <c r="K566" t="s">
        <v>20</v>
      </c>
      <c r="L566">
        <f t="shared" si="8"/>
        <v>21023.19</v>
      </c>
    </row>
    <row r="567" spans="1:12" x14ac:dyDescent="0.3">
      <c r="A567" t="s">
        <v>1834</v>
      </c>
      <c r="B567" t="s">
        <v>1252</v>
      </c>
      <c r="C567" t="s">
        <v>402</v>
      </c>
      <c r="D567" t="s">
        <v>528</v>
      </c>
      <c r="E567" t="s">
        <v>34</v>
      </c>
      <c r="F567" t="s">
        <v>17</v>
      </c>
      <c r="G567" t="s">
        <v>188</v>
      </c>
      <c r="H567">
        <v>4</v>
      </c>
      <c r="I567">
        <v>3284.06</v>
      </c>
      <c r="J567" t="s">
        <v>42</v>
      </c>
      <c r="K567" t="s">
        <v>43</v>
      </c>
      <c r="L567">
        <f t="shared" si="8"/>
        <v>13136.24</v>
      </c>
    </row>
    <row r="568" spans="1:12" x14ac:dyDescent="0.3">
      <c r="A568" t="s">
        <v>1835</v>
      </c>
      <c r="B568" t="s">
        <v>1836</v>
      </c>
      <c r="C568" t="s">
        <v>1603</v>
      </c>
      <c r="D568" t="s">
        <v>1117</v>
      </c>
      <c r="E568" t="s">
        <v>95</v>
      </c>
      <c r="F568" t="s">
        <v>77</v>
      </c>
      <c r="G568" t="s">
        <v>123</v>
      </c>
      <c r="H568">
        <v>7</v>
      </c>
      <c r="I568">
        <v>1001.59</v>
      </c>
      <c r="J568" t="s">
        <v>50</v>
      </c>
      <c r="K568" t="s">
        <v>43</v>
      </c>
      <c r="L568">
        <f t="shared" si="8"/>
        <v>7011.13</v>
      </c>
    </row>
    <row r="569" spans="1:12" x14ac:dyDescent="0.3">
      <c r="A569" t="s">
        <v>1837</v>
      </c>
      <c r="B569" t="s">
        <v>405</v>
      </c>
      <c r="C569" t="s">
        <v>1838</v>
      </c>
      <c r="D569" t="s">
        <v>1839</v>
      </c>
      <c r="E569" t="s">
        <v>56</v>
      </c>
      <c r="F569" t="s">
        <v>77</v>
      </c>
      <c r="G569" t="s">
        <v>78</v>
      </c>
      <c r="H569">
        <v>10</v>
      </c>
      <c r="I569">
        <v>459.88</v>
      </c>
      <c r="J569" t="s">
        <v>19</v>
      </c>
      <c r="K569" t="s">
        <v>20</v>
      </c>
      <c r="L569">
        <f t="shared" si="8"/>
        <v>4598.8</v>
      </c>
    </row>
    <row r="570" spans="1:12" x14ac:dyDescent="0.3">
      <c r="A570" t="s">
        <v>1840</v>
      </c>
      <c r="B570" t="s">
        <v>1841</v>
      </c>
      <c r="C570" t="s">
        <v>554</v>
      </c>
      <c r="D570" t="s">
        <v>1842</v>
      </c>
      <c r="E570" t="s">
        <v>25</v>
      </c>
      <c r="F570" t="s">
        <v>77</v>
      </c>
      <c r="G570" t="s">
        <v>105</v>
      </c>
      <c r="H570">
        <v>5</v>
      </c>
      <c r="I570">
        <v>3298.13</v>
      </c>
      <c r="J570" t="s">
        <v>50</v>
      </c>
      <c r="K570" t="s">
        <v>36</v>
      </c>
      <c r="L570">
        <f t="shared" si="8"/>
        <v>16490.650000000001</v>
      </c>
    </row>
    <row r="571" spans="1:12" x14ac:dyDescent="0.3">
      <c r="A571" t="s">
        <v>1843</v>
      </c>
      <c r="B571" t="s">
        <v>242</v>
      </c>
      <c r="C571" t="s">
        <v>1844</v>
      </c>
      <c r="D571" t="s">
        <v>555</v>
      </c>
      <c r="E571" t="s">
        <v>95</v>
      </c>
      <c r="F571" t="s">
        <v>48</v>
      </c>
      <c r="G571" t="s">
        <v>110</v>
      </c>
      <c r="H571">
        <v>5</v>
      </c>
      <c r="I571">
        <v>1557.42</v>
      </c>
      <c r="J571" t="s">
        <v>19</v>
      </c>
      <c r="K571" t="s">
        <v>36</v>
      </c>
      <c r="L571">
        <f t="shared" si="8"/>
        <v>7787.1</v>
      </c>
    </row>
    <row r="572" spans="1:12" x14ac:dyDescent="0.3">
      <c r="A572" t="s">
        <v>1845</v>
      </c>
      <c r="B572" t="s">
        <v>494</v>
      </c>
      <c r="C572" t="s">
        <v>981</v>
      </c>
      <c r="D572" t="s">
        <v>417</v>
      </c>
      <c r="E572" t="s">
        <v>56</v>
      </c>
      <c r="F572" t="s">
        <v>77</v>
      </c>
      <c r="G572" t="s">
        <v>123</v>
      </c>
      <c r="H572">
        <v>4</v>
      </c>
      <c r="I572">
        <v>4948.2299999999996</v>
      </c>
      <c r="J572" t="s">
        <v>19</v>
      </c>
      <c r="K572" t="s">
        <v>20</v>
      </c>
      <c r="L572">
        <f t="shared" si="8"/>
        <v>19792.919999999998</v>
      </c>
    </row>
    <row r="573" spans="1:12" x14ac:dyDescent="0.3">
      <c r="A573" t="s">
        <v>1846</v>
      </c>
      <c r="B573" t="s">
        <v>1847</v>
      </c>
      <c r="C573" t="s">
        <v>1848</v>
      </c>
      <c r="D573" t="s">
        <v>1849</v>
      </c>
      <c r="E573" t="s">
        <v>62</v>
      </c>
      <c r="F573" t="s">
        <v>77</v>
      </c>
      <c r="G573" t="s">
        <v>78</v>
      </c>
      <c r="H573">
        <v>8</v>
      </c>
      <c r="I573">
        <v>2318.52</v>
      </c>
      <c r="J573" t="s">
        <v>42</v>
      </c>
      <c r="K573" t="s">
        <v>51</v>
      </c>
      <c r="L573">
        <f t="shared" si="8"/>
        <v>18548.16</v>
      </c>
    </row>
    <row r="574" spans="1:12" x14ac:dyDescent="0.3">
      <c r="A574" t="s">
        <v>1850</v>
      </c>
      <c r="B574" t="s">
        <v>65</v>
      </c>
      <c r="C574" t="s">
        <v>1598</v>
      </c>
      <c r="D574" t="s">
        <v>1851</v>
      </c>
      <c r="E574" t="s">
        <v>34</v>
      </c>
      <c r="F574" t="s">
        <v>77</v>
      </c>
      <c r="G574" t="s">
        <v>265</v>
      </c>
      <c r="H574">
        <v>1</v>
      </c>
      <c r="I574">
        <v>2482.0500000000002</v>
      </c>
      <c r="J574" t="s">
        <v>50</v>
      </c>
      <c r="K574" t="s">
        <v>83</v>
      </c>
      <c r="L574">
        <f t="shared" si="8"/>
        <v>2482.0500000000002</v>
      </c>
    </row>
    <row r="575" spans="1:12" x14ac:dyDescent="0.3">
      <c r="A575" t="s">
        <v>1852</v>
      </c>
      <c r="B575" t="s">
        <v>660</v>
      </c>
      <c r="C575" t="s">
        <v>1853</v>
      </c>
      <c r="D575" t="s">
        <v>954</v>
      </c>
      <c r="E575" t="s">
        <v>128</v>
      </c>
      <c r="F575" t="s">
        <v>48</v>
      </c>
      <c r="G575" t="s">
        <v>49</v>
      </c>
      <c r="H575">
        <v>1</v>
      </c>
      <c r="I575">
        <v>1322.5</v>
      </c>
      <c r="J575" t="s">
        <v>42</v>
      </c>
      <c r="K575" t="s">
        <v>20</v>
      </c>
      <c r="L575">
        <f t="shared" si="8"/>
        <v>1322.5</v>
      </c>
    </row>
    <row r="576" spans="1:12" x14ac:dyDescent="0.3">
      <c r="A576" t="s">
        <v>1854</v>
      </c>
      <c r="B576" t="s">
        <v>589</v>
      </c>
      <c r="C576" t="s">
        <v>1855</v>
      </c>
      <c r="D576" t="s">
        <v>1856</v>
      </c>
      <c r="E576" t="s">
        <v>34</v>
      </c>
      <c r="F576" t="s">
        <v>77</v>
      </c>
      <c r="G576" t="s">
        <v>78</v>
      </c>
      <c r="H576">
        <v>6</v>
      </c>
      <c r="I576">
        <v>508.92</v>
      </c>
      <c r="J576" t="s">
        <v>28</v>
      </c>
      <c r="K576" t="s">
        <v>20</v>
      </c>
      <c r="L576">
        <f t="shared" si="8"/>
        <v>3053.52</v>
      </c>
    </row>
    <row r="577" spans="1:12" x14ac:dyDescent="0.3">
      <c r="A577" t="s">
        <v>1857</v>
      </c>
      <c r="B577" t="s">
        <v>409</v>
      </c>
      <c r="C577" t="s">
        <v>1858</v>
      </c>
      <c r="D577" t="s">
        <v>1114</v>
      </c>
      <c r="E577" t="s">
        <v>104</v>
      </c>
      <c r="F577" t="s">
        <v>17</v>
      </c>
      <c r="G577" t="s">
        <v>35</v>
      </c>
      <c r="H577">
        <v>8</v>
      </c>
      <c r="I577">
        <v>601.52</v>
      </c>
      <c r="J577" t="s">
        <v>50</v>
      </c>
      <c r="K577" t="s">
        <v>29</v>
      </c>
      <c r="L577">
        <f t="shared" si="8"/>
        <v>4812.16</v>
      </c>
    </row>
    <row r="578" spans="1:12" x14ac:dyDescent="0.3">
      <c r="A578" t="s">
        <v>1859</v>
      </c>
      <c r="B578" t="s">
        <v>1860</v>
      </c>
      <c r="C578" t="s">
        <v>834</v>
      </c>
      <c r="D578" t="s">
        <v>1861</v>
      </c>
      <c r="E578" t="s">
        <v>95</v>
      </c>
      <c r="F578" t="s">
        <v>77</v>
      </c>
      <c r="G578" t="s">
        <v>78</v>
      </c>
      <c r="H578">
        <v>10</v>
      </c>
      <c r="I578">
        <v>3793.29</v>
      </c>
      <c r="J578" t="s">
        <v>42</v>
      </c>
      <c r="K578" t="s">
        <v>36</v>
      </c>
      <c r="L578">
        <f t="shared" si="8"/>
        <v>37932.9</v>
      </c>
    </row>
    <row r="579" spans="1:12" x14ac:dyDescent="0.3">
      <c r="A579" t="s">
        <v>1862</v>
      </c>
      <c r="B579" t="s">
        <v>1243</v>
      </c>
      <c r="C579" t="s">
        <v>1863</v>
      </c>
      <c r="D579" t="s">
        <v>1864</v>
      </c>
      <c r="E579" t="s">
        <v>104</v>
      </c>
      <c r="F579" t="s">
        <v>17</v>
      </c>
      <c r="G579" t="s">
        <v>41</v>
      </c>
      <c r="H579">
        <v>6</v>
      </c>
      <c r="I579">
        <v>764.73</v>
      </c>
      <c r="J579" t="s">
        <v>42</v>
      </c>
      <c r="K579" t="s">
        <v>43</v>
      </c>
      <c r="L579">
        <f t="shared" ref="L579:L642" si="9">H579*I579</f>
        <v>4588.38</v>
      </c>
    </row>
    <row r="580" spans="1:12" x14ac:dyDescent="0.3">
      <c r="A580" t="s">
        <v>1865</v>
      </c>
      <c r="B580" t="s">
        <v>1437</v>
      </c>
      <c r="C580" t="s">
        <v>1557</v>
      </c>
      <c r="D580" t="s">
        <v>1512</v>
      </c>
      <c r="E580" t="s">
        <v>34</v>
      </c>
      <c r="F580" t="s">
        <v>77</v>
      </c>
      <c r="G580" t="s">
        <v>105</v>
      </c>
      <c r="H580">
        <v>10</v>
      </c>
      <c r="I580">
        <v>768.13</v>
      </c>
      <c r="J580" t="s">
        <v>42</v>
      </c>
      <c r="K580" t="s">
        <v>20</v>
      </c>
      <c r="L580">
        <f t="shared" si="9"/>
        <v>7681.3</v>
      </c>
    </row>
    <row r="581" spans="1:12" x14ac:dyDescent="0.3">
      <c r="A581" t="s">
        <v>1866</v>
      </c>
      <c r="B581" t="s">
        <v>1867</v>
      </c>
      <c r="C581" t="s">
        <v>1868</v>
      </c>
      <c r="D581" t="s">
        <v>1869</v>
      </c>
      <c r="E581" t="s">
        <v>34</v>
      </c>
      <c r="F581" t="s">
        <v>77</v>
      </c>
      <c r="G581" t="s">
        <v>123</v>
      </c>
      <c r="H581">
        <v>5</v>
      </c>
      <c r="I581">
        <v>432.65</v>
      </c>
      <c r="J581" t="s">
        <v>19</v>
      </c>
      <c r="K581" t="s">
        <v>29</v>
      </c>
      <c r="L581">
        <f t="shared" si="9"/>
        <v>2163.25</v>
      </c>
    </row>
    <row r="582" spans="1:12" x14ac:dyDescent="0.3">
      <c r="A582" t="s">
        <v>1870</v>
      </c>
      <c r="B582" t="s">
        <v>1753</v>
      </c>
      <c r="C582" t="s">
        <v>1871</v>
      </c>
      <c r="D582" t="s">
        <v>1872</v>
      </c>
      <c r="E582" t="s">
        <v>56</v>
      </c>
      <c r="F582" t="s">
        <v>17</v>
      </c>
      <c r="G582" t="s">
        <v>18</v>
      </c>
      <c r="H582">
        <v>8</v>
      </c>
      <c r="I582">
        <v>3236.07</v>
      </c>
      <c r="J582" t="s">
        <v>42</v>
      </c>
      <c r="K582" t="s">
        <v>36</v>
      </c>
      <c r="L582">
        <f t="shared" si="9"/>
        <v>25888.560000000001</v>
      </c>
    </row>
    <row r="583" spans="1:12" x14ac:dyDescent="0.3">
      <c r="A583" t="s">
        <v>1873</v>
      </c>
      <c r="B583" t="s">
        <v>626</v>
      </c>
      <c r="C583" t="s">
        <v>1710</v>
      </c>
      <c r="D583" t="s">
        <v>1874</v>
      </c>
      <c r="E583" t="s">
        <v>16</v>
      </c>
      <c r="F583" t="s">
        <v>77</v>
      </c>
      <c r="G583" t="s">
        <v>265</v>
      </c>
      <c r="H583">
        <v>6</v>
      </c>
      <c r="I583">
        <v>2233.44</v>
      </c>
      <c r="J583" t="s">
        <v>42</v>
      </c>
      <c r="K583" t="s">
        <v>36</v>
      </c>
      <c r="L583">
        <f t="shared" si="9"/>
        <v>13400.64</v>
      </c>
    </row>
    <row r="584" spans="1:12" x14ac:dyDescent="0.3">
      <c r="A584" t="s">
        <v>1875</v>
      </c>
      <c r="B584" t="s">
        <v>1876</v>
      </c>
      <c r="C584" t="s">
        <v>310</v>
      </c>
      <c r="D584" t="s">
        <v>1869</v>
      </c>
      <c r="E584" t="s">
        <v>16</v>
      </c>
      <c r="F584" t="s">
        <v>77</v>
      </c>
      <c r="G584" t="s">
        <v>78</v>
      </c>
      <c r="H584">
        <v>2</v>
      </c>
      <c r="I584">
        <v>4201.3900000000003</v>
      </c>
      <c r="J584" t="s">
        <v>42</v>
      </c>
      <c r="K584" t="s">
        <v>51</v>
      </c>
      <c r="L584">
        <f t="shared" si="9"/>
        <v>8402.7800000000007</v>
      </c>
    </row>
    <row r="585" spans="1:12" x14ac:dyDescent="0.3">
      <c r="A585" t="s">
        <v>1877</v>
      </c>
      <c r="B585" t="s">
        <v>1878</v>
      </c>
      <c r="C585" t="s">
        <v>1808</v>
      </c>
      <c r="D585" t="s">
        <v>1879</v>
      </c>
      <c r="E585" t="s">
        <v>104</v>
      </c>
      <c r="F585" t="s">
        <v>26</v>
      </c>
      <c r="G585" t="s">
        <v>166</v>
      </c>
      <c r="H585">
        <v>3</v>
      </c>
      <c r="I585">
        <v>1442.54</v>
      </c>
      <c r="J585" t="s">
        <v>28</v>
      </c>
      <c r="K585" t="s">
        <v>20</v>
      </c>
      <c r="L585">
        <f t="shared" si="9"/>
        <v>4327.62</v>
      </c>
    </row>
    <row r="586" spans="1:12" x14ac:dyDescent="0.3">
      <c r="A586" t="s">
        <v>1880</v>
      </c>
      <c r="B586" t="s">
        <v>214</v>
      </c>
      <c r="C586" t="s">
        <v>1881</v>
      </c>
      <c r="D586" t="s">
        <v>1882</v>
      </c>
      <c r="E586" t="s">
        <v>95</v>
      </c>
      <c r="F586" t="s">
        <v>48</v>
      </c>
      <c r="G586" t="s">
        <v>57</v>
      </c>
      <c r="H586">
        <v>7</v>
      </c>
      <c r="I586">
        <v>2248.9</v>
      </c>
      <c r="J586" t="s">
        <v>19</v>
      </c>
      <c r="K586" t="s">
        <v>36</v>
      </c>
      <c r="L586">
        <f t="shared" si="9"/>
        <v>15742.300000000001</v>
      </c>
    </row>
    <row r="587" spans="1:12" x14ac:dyDescent="0.3">
      <c r="A587" t="s">
        <v>1883</v>
      </c>
      <c r="B587" t="s">
        <v>1884</v>
      </c>
      <c r="C587" t="s">
        <v>1407</v>
      </c>
      <c r="D587" t="s">
        <v>1885</v>
      </c>
      <c r="E587" t="s">
        <v>95</v>
      </c>
      <c r="F587" t="s">
        <v>48</v>
      </c>
      <c r="G587" t="s">
        <v>179</v>
      </c>
      <c r="H587">
        <v>9</v>
      </c>
      <c r="I587">
        <v>4009.63</v>
      </c>
      <c r="J587" t="s">
        <v>50</v>
      </c>
      <c r="K587" t="s">
        <v>51</v>
      </c>
      <c r="L587">
        <f t="shared" si="9"/>
        <v>36086.67</v>
      </c>
    </row>
    <row r="588" spans="1:12" x14ac:dyDescent="0.3">
      <c r="A588" t="s">
        <v>1886</v>
      </c>
      <c r="B588" t="s">
        <v>1003</v>
      </c>
      <c r="C588" t="s">
        <v>1664</v>
      </c>
      <c r="D588" t="s">
        <v>1202</v>
      </c>
      <c r="E588" t="s">
        <v>104</v>
      </c>
      <c r="F588" t="s">
        <v>26</v>
      </c>
      <c r="G588" t="s">
        <v>296</v>
      </c>
      <c r="H588">
        <v>7</v>
      </c>
      <c r="I588">
        <v>3540.95</v>
      </c>
      <c r="J588" t="s">
        <v>19</v>
      </c>
      <c r="K588" t="s">
        <v>29</v>
      </c>
      <c r="L588">
        <f t="shared" si="9"/>
        <v>24786.649999999998</v>
      </c>
    </row>
    <row r="589" spans="1:12" x14ac:dyDescent="0.3">
      <c r="A589" t="s">
        <v>1887</v>
      </c>
      <c r="B589" t="s">
        <v>654</v>
      </c>
      <c r="C589" t="s">
        <v>824</v>
      </c>
      <c r="D589" t="s">
        <v>1856</v>
      </c>
      <c r="E589" t="s">
        <v>128</v>
      </c>
      <c r="F589" t="s">
        <v>48</v>
      </c>
      <c r="G589" t="s">
        <v>63</v>
      </c>
      <c r="H589">
        <v>10</v>
      </c>
      <c r="I589">
        <v>4991.34</v>
      </c>
      <c r="J589" t="s">
        <v>28</v>
      </c>
      <c r="K589" t="s">
        <v>43</v>
      </c>
      <c r="L589">
        <f t="shared" si="9"/>
        <v>49913.4</v>
      </c>
    </row>
    <row r="590" spans="1:12" x14ac:dyDescent="0.3">
      <c r="A590" t="s">
        <v>1888</v>
      </c>
      <c r="B590" t="s">
        <v>1794</v>
      </c>
      <c r="C590" t="s">
        <v>1046</v>
      </c>
      <c r="D590" t="s">
        <v>1889</v>
      </c>
      <c r="E590" t="s">
        <v>16</v>
      </c>
      <c r="F590" t="s">
        <v>48</v>
      </c>
      <c r="G590" t="s">
        <v>179</v>
      </c>
      <c r="H590">
        <v>6</v>
      </c>
      <c r="I590">
        <v>225.82</v>
      </c>
      <c r="J590" t="s">
        <v>19</v>
      </c>
      <c r="K590" t="s">
        <v>43</v>
      </c>
      <c r="L590">
        <f t="shared" si="9"/>
        <v>1354.92</v>
      </c>
    </row>
    <row r="591" spans="1:12" x14ac:dyDescent="0.3">
      <c r="A591" t="s">
        <v>1890</v>
      </c>
      <c r="B591" t="s">
        <v>1831</v>
      </c>
      <c r="C591" t="s">
        <v>1891</v>
      </c>
      <c r="D591" t="s">
        <v>1892</v>
      </c>
      <c r="E591" t="s">
        <v>25</v>
      </c>
      <c r="F591" t="s">
        <v>77</v>
      </c>
      <c r="G591" t="s">
        <v>105</v>
      </c>
      <c r="H591">
        <v>1</v>
      </c>
      <c r="I591">
        <v>674.83</v>
      </c>
      <c r="J591" t="s">
        <v>42</v>
      </c>
      <c r="K591" t="s">
        <v>51</v>
      </c>
      <c r="L591">
        <f t="shared" si="9"/>
        <v>674.83</v>
      </c>
    </row>
    <row r="592" spans="1:12" x14ac:dyDescent="0.3">
      <c r="A592" t="s">
        <v>1893</v>
      </c>
      <c r="B592" t="s">
        <v>70</v>
      </c>
      <c r="C592" t="s">
        <v>1894</v>
      </c>
      <c r="D592" t="s">
        <v>1895</v>
      </c>
      <c r="E592" t="s">
        <v>104</v>
      </c>
      <c r="F592" t="s">
        <v>26</v>
      </c>
      <c r="G592" t="s">
        <v>208</v>
      </c>
      <c r="H592">
        <v>2</v>
      </c>
      <c r="I592">
        <v>1965.45</v>
      </c>
      <c r="J592" t="s">
        <v>19</v>
      </c>
      <c r="K592" t="s">
        <v>51</v>
      </c>
      <c r="L592">
        <f t="shared" si="9"/>
        <v>3930.9</v>
      </c>
    </row>
    <row r="593" spans="1:12" x14ac:dyDescent="0.3">
      <c r="A593" t="s">
        <v>1896</v>
      </c>
      <c r="B593" t="s">
        <v>1105</v>
      </c>
      <c r="C593" t="s">
        <v>14</v>
      </c>
      <c r="D593" t="s">
        <v>15</v>
      </c>
      <c r="E593" t="s">
        <v>25</v>
      </c>
      <c r="F593" t="s">
        <v>26</v>
      </c>
      <c r="G593" t="s">
        <v>27</v>
      </c>
      <c r="H593">
        <v>5</v>
      </c>
      <c r="I593">
        <v>2799.44</v>
      </c>
      <c r="J593" t="s">
        <v>42</v>
      </c>
      <c r="K593" t="s">
        <v>83</v>
      </c>
      <c r="L593">
        <f t="shared" si="9"/>
        <v>13997.2</v>
      </c>
    </row>
    <row r="594" spans="1:12" x14ac:dyDescent="0.3">
      <c r="A594" t="s">
        <v>1897</v>
      </c>
      <c r="B594" t="s">
        <v>1578</v>
      </c>
      <c r="C594" t="s">
        <v>1898</v>
      </c>
      <c r="D594" t="s">
        <v>1899</v>
      </c>
      <c r="E594" t="s">
        <v>25</v>
      </c>
      <c r="F594" t="s">
        <v>77</v>
      </c>
      <c r="G594" t="s">
        <v>171</v>
      </c>
      <c r="H594">
        <v>8</v>
      </c>
      <c r="I594">
        <v>4481.07</v>
      </c>
      <c r="J594" t="s">
        <v>42</v>
      </c>
      <c r="K594" t="s">
        <v>36</v>
      </c>
      <c r="L594">
        <f t="shared" si="9"/>
        <v>35848.559999999998</v>
      </c>
    </row>
    <row r="595" spans="1:12" x14ac:dyDescent="0.3">
      <c r="A595" t="s">
        <v>1900</v>
      </c>
      <c r="B595" t="s">
        <v>582</v>
      </c>
      <c r="C595" t="s">
        <v>1901</v>
      </c>
      <c r="D595" t="s">
        <v>1902</v>
      </c>
      <c r="E595" t="s">
        <v>95</v>
      </c>
      <c r="F595" t="s">
        <v>26</v>
      </c>
      <c r="G595" t="s">
        <v>115</v>
      </c>
      <c r="H595">
        <v>7</v>
      </c>
      <c r="I595">
        <v>1775.18</v>
      </c>
      <c r="J595" t="s">
        <v>19</v>
      </c>
      <c r="K595" t="s">
        <v>83</v>
      </c>
      <c r="L595">
        <f t="shared" si="9"/>
        <v>12426.26</v>
      </c>
    </row>
    <row r="596" spans="1:12" x14ac:dyDescent="0.3">
      <c r="A596" t="s">
        <v>1903</v>
      </c>
      <c r="B596" t="s">
        <v>911</v>
      </c>
      <c r="C596" t="s">
        <v>1904</v>
      </c>
      <c r="D596" t="s">
        <v>1905</v>
      </c>
      <c r="E596" t="s">
        <v>34</v>
      </c>
      <c r="F596" t="s">
        <v>26</v>
      </c>
      <c r="G596" t="s">
        <v>166</v>
      </c>
      <c r="H596">
        <v>7</v>
      </c>
      <c r="I596">
        <v>4546.79</v>
      </c>
      <c r="J596" t="s">
        <v>50</v>
      </c>
      <c r="K596" t="s">
        <v>83</v>
      </c>
      <c r="L596">
        <f t="shared" si="9"/>
        <v>31827.53</v>
      </c>
    </row>
    <row r="597" spans="1:12" x14ac:dyDescent="0.3">
      <c r="A597" t="s">
        <v>1906</v>
      </c>
      <c r="B597" t="s">
        <v>1334</v>
      </c>
      <c r="C597" t="s">
        <v>1907</v>
      </c>
      <c r="D597" t="s">
        <v>1908</v>
      </c>
      <c r="E597" t="s">
        <v>128</v>
      </c>
      <c r="F597" t="s">
        <v>77</v>
      </c>
      <c r="G597" t="s">
        <v>171</v>
      </c>
      <c r="H597">
        <v>3</v>
      </c>
      <c r="I597">
        <v>96.88</v>
      </c>
      <c r="J597" t="s">
        <v>19</v>
      </c>
      <c r="K597" t="s">
        <v>43</v>
      </c>
      <c r="L597">
        <f t="shared" si="9"/>
        <v>290.64</v>
      </c>
    </row>
    <row r="598" spans="1:12" x14ac:dyDescent="0.3">
      <c r="A598" t="s">
        <v>1909</v>
      </c>
      <c r="B598" t="s">
        <v>753</v>
      </c>
      <c r="C598" t="s">
        <v>1910</v>
      </c>
      <c r="D598" t="s">
        <v>1911</v>
      </c>
      <c r="E598" t="s">
        <v>104</v>
      </c>
      <c r="F598" t="s">
        <v>77</v>
      </c>
      <c r="G598" t="s">
        <v>105</v>
      </c>
      <c r="H598">
        <v>9</v>
      </c>
      <c r="I598">
        <v>411.13</v>
      </c>
      <c r="J598" t="s">
        <v>19</v>
      </c>
      <c r="K598" t="s">
        <v>43</v>
      </c>
      <c r="L598">
        <f t="shared" si="9"/>
        <v>3700.17</v>
      </c>
    </row>
    <row r="599" spans="1:12" x14ac:dyDescent="0.3">
      <c r="A599" t="s">
        <v>1912</v>
      </c>
      <c r="B599" t="s">
        <v>1807</v>
      </c>
      <c r="C599" t="s">
        <v>1913</v>
      </c>
      <c r="D599" t="s">
        <v>1914</v>
      </c>
      <c r="E599" t="s">
        <v>95</v>
      </c>
      <c r="F599" t="s">
        <v>48</v>
      </c>
      <c r="G599" t="s">
        <v>179</v>
      </c>
      <c r="H599">
        <v>1</v>
      </c>
      <c r="I599">
        <v>1082.58</v>
      </c>
      <c r="J599" t="s">
        <v>28</v>
      </c>
      <c r="K599" t="s">
        <v>43</v>
      </c>
      <c r="L599">
        <f t="shared" si="9"/>
        <v>1082.58</v>
      </c>
    </row>
    <row r="600" spans="1:12" x14ac:dyDescent="0.3">
      <c r="A600" t="s">
        <v>1915</v>
      </c>
      <c r="B600" t="s">
        <v>1684</v>
      </c>
      <c r="C600" t="s">
        <v>696</v>
      </c>
      <c r="D600" t="s">
        <v>492</v>
      </c>
      <c r="E600" t="s">
        <v>56</v>
      </c>
      <c r="F600" t="s">
        <v>48</v>
      </c>
      <c r="G600" t="s">
        <v>49</v>
      </c>
      <c r="H600">
        <v>8</v>
      </c>
      <c r="I600">
        <v>2302.7800000000002</v>
      </c>
      <c r="J600" t="s">
        <v>19</v>
      </c>
      <c r="K600" t="s">
        <v>83</v>
      </c>
      <c r="L600">
        <f t="shared" si="9"/>
        <v>18422.240000000002</v>
      </c>
    </row>
    <row r="601" spans="1:12" x14ac:dyDescent="0.3">
      <c r="A601" t="s">
        <v>1916</v>
      </c>
      <c r="B601" t="s">
        <v>613</v>
      </c>
      <c r="C601" t="s">
        <v>1917</v>
      </c>
      <c r="D601" t="s">
        <v>252</v>
      </c>
      <c r="E601" t="s">
        <v>25</v>
      </c>
      <c r="F601" t="s">
        <v>48</v>
      </c>
      <c r="G601" t="s">
        <v>179</v>
      </c>
      <c r="H601">
        <v>4</v>
      </c>
      <c r="I601">
        <v>2360.7399999999998</v>
      </c>
      <c r="J601" t="s">
        <v>28</v>
      </c>
      <c r="K601" t="s">
        <v>36</v>
      </c>
      <c r="L601">
        <f t="shared" si="9"/>
        <v>9442.9599999999991</v>
      </c>
    </row>
    <row r="602" spans="1:12" x14ac:dyDescent="0.3">
      <c r="A602" t="s">
        <v>1918</v>
      </c>
      <c r="B602" t="s">
        <v>1473</v>
      </c>
      <c r="C602" t="s">
        <v>1080</v>
      </c>
      <c r="D602" t="s">
        <v>1390</v>
      </c>
      <c r="E602" t="s">
        <v>16</v>
      </c>
      <c r="F602" t="s">
        <v>26</v>
      </c>
      <c r="G602" t="s">
        <v>296</v>
      </c>
      <c r="H602">
        <v>1</v>
      </c>
      <c r="I602">
        <v>482.15</v>
      </c>
      <c r="J602" t="s">
        <v>50</v>
      </c>
      <c r="K602" t="s">
        <v>43</v>
      </c>
      <c r="L602">
        <f t="shared" si="9"/>
        <v>482.15</v>
      </c>
    </row>
    <row r="603" spans="1:12" x14ac:dyDescent="0.3">
      <c r="A603" t="s">
        <v>1919</v>
      </c>
      <c r="B603" t="s">
        <v>1690</v>
      </c>
      <c r="C603" t="s">
        <v>1327</v>
      </c>
      <c r="D603" t="s">
        <v>1920</v>
      </c>
      <c r="E603" t="s">
        <v>25</v>
      </c>
      <c r="F603" t="s">
        <v>77</v>
      </c>
      <c r="G603" t="s">
        <v>171</v>
      </c>
      <c r="H603">
        <v>3</v>
      </c>
      <c r="I603">
        <v>2960.56</v>
      </c>
      <c r="J603" t="s">
        <v>19</v>
      </c>
      <c r="K603" t="s">
        <v>29</v>
      </c>
      <c r="L603">
        <f t="shared" si="9"/>
        <v>8881.68</v>
      </c>
    </row>
    <row r="604" spans="1:12" x14ac:dyDescent="0.3">
      <c r="A604" t="s">
        <v>1921</v>
      </c>
      <c r="B604" t="s">
        <v>1922</v>
      </c>
      <c r="C604" t="s">
        <v>1923</v>
      </c>
      <c r="D604" t="s">
        <v>1924</v>
      </c>
      <c r="E604" t="s">
        <v>56</v>
      </c>
      <c r="F604" t="s">
        <v>77</v>
      </c>
      <c r="G604" t="s">
        <v>171</v>
      </c>
      <c r="H604">
        <v>5</v>
      </c>
      <c r="I604">
        <v>1466.18</v>
      </c>
      <c r="J604" t="s">
        <v>19</v>
      </c>
      <c r="K604" t="s">
        <v>43</v>
      </c>
      <c r="L604">
        <f t="shared" si="9"/>
        <v>7330.9000000000005</v>
      </c>
    </row>
    <row r="605" spans="1:12" x14ac:dyDescent="0.3">
      <c r="A605" t="s">
        <v>1925</v>
      </c>
      <c r="B605" t="s">
        <v>1079</v>
      </c>
      <c r="C605" t="s">
        <v>1258</v>
      </c>
      <c r="D605" t="s">
        <v>1926</v>
      </c>
      <c r="E605" t="s">
        <v>95</v>
      </c>
      <c r="F605" t="s">
        <v>26</v>
      </c>
      <c r="G605" t="s">
        <v>166</v>
      </c>
      <c r="H605">
        <v>10</v>
      </c>
      <c r="I605">
        <v>4625.57</v>
      </c>
      <c r="J605" t="s">
        <v>28</v>
      </c>
      <c r="K605" t="s">
        <v>20</v>
      </c>
      <c r="L605">
        <f t="shared" si="9"/>
        <v>46255.7</v>
      </c>
    </row>
    <row r="606" spans="1:12" x14ac:dyDescent="0.3">
      <c r="A606" t="s">
        <v>1927</v>
      </c>
      <c r="B606" t="s">
        <v>130</v>
      </c>
      <c r="C606" t="s">
        <v>513</v>
      </c>
      <c r="D606" t="s">
        <v>1928</v>
      </c>
      <c r="E606" t="s">
        <v>34</v>
      </c>
      <c r="F606" t="s">
        <v>48</v>
      </c>
      <c r="G606" t="s">
        <v>57</v>
      </c>
      <c r="H606">
        <v>8</v>
      </c>
      <c r="I606">
        <v>4944.78</v>
      </c>
      <c r="J606" t="s">
        <v>50</v>
      </c>
      <c r="K606" t="s">
        <v>36</v>
      </c>
      <c r="L606">
        <f t="shared" si="9"/>
        <v>39558.239999999998</v>
      </c>
    </row>
    <row r="607" spans="1:12" x14ac:dyDescent="0.3">
      <c r="A607" t="s">
        <v>1929</v>
      </c>
      <c r="B607" t="s">
        <v>474</v>
      </c>
      <c r="C607" t="s">
        <v>1930</v>
      </c>
      <c r="D607" t="s">
        <v>685</v>
      </c>
      <c r="E607" t="s">
        <v>128</v>
      </c>
      <c r="F607" t="s">
        <v>77</v>
      </c>
      <c r="G607" t="s">
        <v>171</v>
      </c>
      <c r="H607">
        <v>9</v>
      </c>
      <c r="I607">
        <v>2286.73</v>
      </c>
      <c r="J607" t="s">
        <v>42</v>
      </c>
      <c r="K607" t="s">
        <v>51</v>
      </c>
      <c r="L607">
        <f t="shared" si="9"/>
        <v>20580.57</v>
      </c>
    </row>
    <row r="608" spans="1:12" x14ac:dyDescent="0.3">
      <c r="A608" t="s">
        <v>1931</v>
      </c>
      <c r="B608" t="s">
        <v>1039</v>
      </c>
      <c r="C608" t="s">
        <v>801</v>
      </c>
      <c r="D608" t="s">
        <v>1874</v>
      </c>
      <c r="E608" t="s">
        <v>34</v>
      </c>
      <c r="F608" t="s">
        <v>17</v>
      </c>
      <c r="G608" t="s">
        <v>41</v>
      </c>
      <c r="H608">
        <v>5</v>
      </c>
      <c r="I608">
        <v>2717.08</v>
      </c>
      <c r="J608" t="s">
        <v>42</v>
      </c>
      <c r="K608" t="s">
        <v>29</v>
      </c>
      <c r="L608">
        <f t="shared" si="9"/>
        <v>13585.4</v>
      </c>
    </row>
    <row r="609" spans="1:12" x14ac:dyDescent="0.3">
      <c r="A609" t="s">
        <v>1932</v>
      </c>
      <c r="B609" t="s">
        <v>1712</v>
      </c>
      <c r="C609" t="s">
        <v>1933</v>
      </c>
      <c r="D609" t="s">
        <v>1934</v>
      </c>
      <c r="E609" t="s">
        <v>104</v>
      </c>
      <c r="F609" t="s">
        <v>77</v>
      </c>
      <c r="G609" t="s">
        <v>105</v>
      </c>
      <c r="H609">
        <v>1</v>
      </c>
      <c r="I609">
        <v>4101.21</v>
      </c>
      <c r="J609" t="s">
        <v>50</v>
      </c>
      <c r="K609" t="s">
        <v>29</v>
      </c>
      <c r="L609">
        <f t="shared" si="9"/>
        <v>4101.21</v>
      </c>
    </row>
    <row r="610" spans="1:12" x14ac:dyDescent="0.3">
      <c r="A610" t="s">
        <v>1935</v>
      </c>
      <c r="B610" t="s">
        <v>1936</v>
      </c>
      <c r="C610" t="s">
        <v>1937</v>
      </c>
      <c r="D610" t="s">
        <v>1938</v>
      </c>
      <c r="E610" t="s">
        <v>56</v>
      </c>
      <c r="F610" t="s">
        <v>77</v>
      </c>
      <c r="G610" t="s">
        <v>105</v>
      </c>
      <c r="H610">
        <v>10</v>
      </c>
      <c r="I610">
        <v>2246.2399999999998</v>
      </c>
      <c r="J610" t="s">
        <v>19</v>
      </c>
      <c r="K610" t="s">
        <v>51</v>
      </c>
      <c r="L610">
        <f t="shared" si="9"/>
        <v>22462.399999999998</v>
      </c>
    </row>
    <row r="611" spans="1:12" x14ac:dyDescent="0.3">
      <c r="A611" t="s">
        <v>1939</v>
      </c>
      <c r="B611" t="s">
        <v>1940</v>
      </c>
      <c r="C611" t="s">
        <v>1941</v>
      </c>
      <c r="D611" t="s">
        <v>1942</v>
      </c>
      <c r="E611" t="s">
        <v>95</v>
      </c>
      <c r="F611" t="s">
        <v>17</v>
      </c>
      <c r="G611" t="s">
        <v>35</v>
      </c>
      <c r="H611">
        <v>8</v>
      </c>
      <c r="I611">
        <v>3012.51</v>
      </c>
      <c r="J611" t="s">
        <v>19</v>
      </c>
      <c r="K611" t="s">
        <v>83</v>
      </c>
      <c r="L611">
        <f t="shared" si="9"/>
        <v>24100.080000000002</v>
      </c>
    </row>
    <row r="612" spans="1:12" x14ac:dyDescent="0.3">
      <c r="A612" t="s">
        <v>1943</v>
      </c>
      <c r="B612" t="s">
        <v>538</v>
      </c>
      <c r="C612" t="s">
        <v>624</v>
      </c>
      <c r="D612" t="s">
        <v>1944</v>
      </c>
      <c r="E612" t="s">
        <v>62</v>
      </c>
      <c r="F612" t="s">
        <v>26</v>
      </c>
      <c r="G612" t="s">
        <v>166</v>
      </c>
      <c r="H612">
        <v>6</v>
      </c>
      <c r="I612">
        <v>4806.1099999999997</v>
      </c>
      <c r="J612" t="s">
        <v>28</v>
      </c>
      <c r="K612" t="s">
        <v>51</v>
      </c>
      <c r="L612">
        <f t="shared" si="9"/>
        <v>28836.659999999996</v>
      </c>
    </row>
    <row r="613" spans="1:12" x14ac:dyDescent="0.3">
      <c r="A613" t="s">
        <v>1945</v>
      </c>
      <c r="B613" t="s">
        <v>1946</v>
      </c>
      <c r="C613" t="s">
        <v>1947</v>
      </c>
      <c r="D613" t="s">
        <v>439</v>
      </c>
      <c r="E613" t="s">
        <v>62</v>
      </c>
      <c r="F613" t="s">
        <v>48</v>
      </c>
      <c r="G613" t="s">
        <v>63</v>
      </c>
      <c r="H613">
        <v>6</v>
      </c>
      <c r="I613">
        <v>3139.3</v>
      </c>
      <c r="J613" t="s">
        <v>28</v>
      </c>
      <c r="K613" t="s">
        <v>51</v>
      </c>
      <c r="L613">
        <f t="shared" si="9"/>
        <v>18835.800000000003</v>
      </c>
    </row>
    <row r="614" spans="1:12" x14ac:dyDescent="0.3">
      <c r="A614" t="s">
        <v>1948</v>
      </c>
      <c r="B614" t="s">
        <v>1949</v>
      </c>
      <c r="C614" t="s">
        <v>1950</v>
      </c>
      <c r="D614" t="s">
        <v>849</v>
      </c>
      <c r="E614" t="s">
        <v>95</v>
      </c>
      <c r="F614" t="s">
        <v>26</v>
      </c>
      <c r="G614" t="s">
        <v>296</v>
      </c>
      <c r="H614">
        <v>8</v>
      </c>
      <c r="I614">
        <v>1769.1</v>
      </c>
      <c r="J614" t="s">
        <v>50</v>
      </c>
      <c r="K614" t="s">
        <v>51</v>
      </c>
      <c r="L614">
        <f t="shared" si="9"/>
        <v>14152.8</v>
      </c>
    </row>
    <row r="615" spans="1:12" x14ac:dyDescent="0.3">
      <c r="A615" t="s">
        <v>1951</v>
      </c>
      <c r="B615" t="s">
        <v>1952</v>
      </c>
      <c r="C615" t="s">
        <v>1953</v>
      </c>
      <c r="D615" t="s">
        <v>697</v>
      </c>
      <c r="E615" t="s">
        <v>128</v>
      </c>
      <c r="F615" t="s">
        <v>77</v>
      </c>
      <c r="G615" t="s">
        <v>123</v>
      </c>
      <c r="H615">
        <v>3</v>
      </c>
      <c r="I615">
        <v>4679.6400000000003</v>
      </c>
      <c r="J615" t="s">
        <v>50</v>
      </c>
      <c r="K615" t="s">
        <v>36</v>
      </c>
      <c r="L615">
        <f t="shared" si="9"/>
        <v>14038.920000000002</v>
      </c>
    </row>
    <row r="616" spans="1:12" x14ac:dyDescent="0.3">
      <c r="A616" t="s">
        <v>1954</v>
      </c>
      <c r="B616" t="s">
        <v>898</v>
      </c>
      <c r="C616" t="s">
        <v>943</v>
      </c>
      <c r="D616" t="s">
        <v>1955</v>
      </c>
      <c r="E616" t="s">
        <v>16</v>
      </c>
      <c r="F616" t="s">
        <v>77</v>
      </c>
      <c r="G616" t="s">
        <v>123</v>
      </c>
      <c r="H616">
        <v>8</v>
      </c>
      <c r="I616">
        <v>1577.83</v>
      </c>
      <c r="J616" t="s">
        <v>19</v>
      </c>
      <c r="K616" t="s">
        <v>20</v>
      </c>
      <c r="L616">
        <f t="shared" si="9"/>
        <v>12622.64</v>
      </c>
    </row>
    <row r="617" spans="1:12" x14ac:dyDescent="0.3">
      <c r="A617" t="s">
        <v>1956</v>
      </c>
      <c r="B617" t="s">
        <v>1957</v>
      </c>
      <c r="C617" t="s">
        <v>739</v>
      </c>
      <c r="D617" t="s">
        <v>1944</v>
      </c>
      <c r="E617" t="s">
        <v>104</v>
      </c>
      <c r="F617" t="s">
        <v>77</v>
      </c>
      <c r="G617" t="s">
        <v>123</v>
      </c>
      <c r="H617">
        <v>6</v>
      </c>
      <c r="I617">
        <v>4856.55</v>
      </c>
      <c r="J617" t="s">
        <v>19</v>
      </c>
      <c r="K617" t="s">
        <v>20</v>
      </c>
      <c r="L617">
        <f t="shared" si="9"/>
        <v>29139.300000000003</v>
      </c>
    </row>
    <row r="618" spans="1:12" x14ac:dyDescent="0.3">
      <c r="A618" t="s">
        <v>1958</v>
      </c>
      <c r="B618" t="s">
        <v>1629</v>
      </c>
      <c r="C618" t="s">
        <v>1335</v>
      </c>
      <c r="D618" t="s">
        <v>1959</v>
      </c>
      <c r="E618" t="s">
        <v>34</v>
      </c>
      <c r="F618" t="s">
        <v>26</v>
      </c>
      <c r="G618" t="s">
        <v>166</v>
      </c>
      <c r="H618">
        <v>10</v>
      </c>
      <c r="I618">
        <v>326.76</v>
      </c>
      <c r="J618" t="s">
        <v>42</v>
      </c>
      <c r="K618" t="s">
        <v>51</v>
      </c>
      <c r="L618">
        <f t="shared" si="9"/>
        <v>3267.6</v>
      </c>
    </row>
    <row r="619" spans="1:12" x14ac:dyDescent="0.3">
      <c r="A619" t="s">
        <v>1960</v>
      </c>
      <c r="B619" t="s">
        <v>1131</v>
      </c>
      <c r="C619" t="s">
        <v>1265</v>
      </c>
      <c r="D619" t="s">
        <v>1961</v>
      </c>
      <c r="E619" t="s">
        <v>16</v>
      </c>
      <c r="F619" t="s">
        <v>77</v>
      </c>
      <c r="G619" t="s">
        <v>123</v>
      </c>
      <c r="H619">
        <v>6</v>
      </c>
      <c r="I619">
        <v>3608.33</v>
      </c>
      <c r="J619" t="s">
        <v>19</v>
      </c>
      <c r="K619" t="s">
        <v>51</v>
      </c>
      <c r="L619">
        <f t="shared" si="9"/>
        <v>21649.98</v>
      </c>
    </row>
    <row r="620" spans="1:12" x14ac:dyDescent="0.3">
      <c r="A620" t="s">
        <v>1962</v>
      </c>
      <c r="B620" t="s">
        <v>415</v>
      </c>
      <c r="C620" t="s">
        <v>1963</v>
      </c>
      <c r="D620" t="s">
        <v>1833</v>
      </c>
      <c r="E620" t="s">
        <v>16</v>
      </c>
      <c r="F620" t="s">
        <v>17</v>
      </c>
      <c r="G620" t="s">
        <v>68</v>
      </c>
      <c r="H620">
        <v>9</v>
      </c>
      <c r="I620">
        <v>1808.81</v>
      </c>
      <c r="J620" t="s">
        <v>28</v>
      </c>
      <c r="K620" t="s">
        <v>83</v>
      </c>
      <c r="L620">
        <f t="shared" si="9"/>
        <v>16279.289999999999</v>
      </c>
    </row>
    <row r="621" spans="1:12" x14ac:dyDescent="0.3">
      <c r="A621" t="s">
        <v>1964</v>
      </c>
      <c r="B621" t="s">
        <v>1965</v>
      </c>
      <c r="C621" t="s">
        <v>1814</v>
      </c>
      <c r="D621" t="s">
        <v>1966</v>
      </c>
      <c r="E621" t="s">
        <v>128</v>
      </c>
      <c r="F621" t="s">
        <v>77</v>
      </c>
      <c r="G621" t="s">
        <v>123</v>
      </c>
      <c r="H621">
        <v>8</v>
      </c>
      <c r="I621">
        <v>4509.7299999999996</v>
      </c>
      <c r="J621" t="s">
        <v>28</v>
      </c>
      <c r="K621" t="s">
        <v>36</v>
      </c>
      <c r="L621">
        <f t="shared" si="9"/>
        <v>36077.839999999997</v>
      </c>
    </row>
    <row r="622" spans="1:12" x14ac:dyDescent="0.3">
      <c r="A622" t="s">
        <v>1967</v>
      </c>
      <c r="B622" t="s">
        <v>1215</v>
      </c>
      <c r="C622" t="s">
        <v>1968</v>
      </c>
      <c r="D622" t="s">
        <v>1969</v>
      </c>
      <c r="E622" t="s">
        <v>62</v>
      </c>
      <c r="F622" t="s">
        <v>77</v>
      </c>
      <c r="G622" t="s">
        <v>105</v>
      </c>
      <c r="H622">
        <v>7</v>
      </c>
      <c r="I622">
        <v>575.73</v>
      </c>
      <c r="J622" t="s">
        <v>50</v>
      </c>
      <c r="K622" t="s">
        <v>43</v>
      </c>
      <c r="L622">
        <f t="shared" si="9"/>
        <v>4030.11</v>
      </c>
    </row>
    <row r="623" spans="1:12" x14ac:dyDescent="0.3">
      <c r="A623" t="s">
        <v>1970</v>
      </c>
      <c r="B623" t="s">
        <v>412</v>
      </c>
      <c r="C623" t="s">
        <v>1971</v>
      </c>
      <c r="D623" t="s">
        <v>1137</v>
      </c>
      <c r="E623" t="s">
        <v>104</v>
      </c>
      <c r="F623" t="s">
        <v>48</v>
      </c>
      <c r="G623" t="s">
        <v>179</v>
      </c>
      <c r="H623">
        <v>5</v>
      </c>
      <c r="I623">
        <v>319.48</v>
      </c>
      <c r="J623" t="s">
        <v>28</v>
      </c>
      <c r="K623" t="s">
        <v>43</v>
      </c>
      <c r="L623">
        <f t="shared" si="9"/>
        <v>1597.4</v>
      </c>
    </row>
    <row r="624" spans="1:12" x14ac:dyDescent="0.3">
      <c r="A624" t="s">
        <v>1972</v>
      </c>
      <c r="B624" t="s">
        <v>1973</v>
      </c>
      <c r="C624" t="s">
        <v>54</v>
      </c>
      <c r="D624" t="s">
        <v>1588</v>
      </c>
      <c r="E624" t="s">
        <v>25</v>
      </c>
      <c r="F624" t="s">
        <v>17</v>
      </c>
      <c r="G624" t="s">
        <v>188</v>
      </c>
      <c r="H624">
        <v>10</v>
      </c>
      <c r="I624">
        <v>1313.82</v>
      </c>
      <c r="J624" t="s">
        <v>28</v>
      </c>
      <c r="K624" t="s">
        <v>51</v>
      </c>
      <c r="L624">
        <f t="shared" si="9"/>
        <v>13138.199999999999</v>
      </c>
    </row>
    <row r="625" spans="1:12" x14ac:dyDescent="0.3">
      <c r="A625" t="s">
        <v>1974</v>
      </c>
      <c r="B625" t="s">
        <v>1975</v>
      </c>
      <c r="C625" t="s">
        <v>1976</v>
      </c>
      <c r="D625" t="s">
        <v>1518</v>
      </c>
      <c r="E625" t="s">
        <v>128</v>
      </c>
      <c r="F625" t="s">
        <v>48</v>
      </c>
      <c r="G625" t="s">
        <v>49</v>
      </c>
      <c r="H625">
        <v>7</v>
      </c>
      <c r="I625">
        <v>2064.23</v>
      </c>
      <c r="J625" t="s">
        <v>28</v>
      </c>
      <c r="K625" t="s">
        <v>29</v>
      </c>
      <c r="L625">
        <f t="shared" si="9"/>
        <v>14449.61</v>
      </c>
    </row>
    <row r="626" spans="1:12" x14ac:dyDescent="0.3">
      <c r="A626" t="s">
        <v>1977</v>
      </c>
      <c r="B626" t="s">
        <v>483</v>
      </c>
      <c r="C626" t="s">
        <v>1978</v>
      </c>
      <c r="D626" t="s">
        <v>1979</v>
      </c>
      <c r="E626" t="s">
        <v>16</v>
      </c>
      <c r="F626" t="s">
        <v>26</v>
      </c>
      <c r="G626" t="s">
        <v>27</v>
      </c>
      <c r="H626">
        <v>9</v>
      </c>
      <c r="I626">
        <v>2987.49</v>
      </c>
      <c r="J626" t="s">
        <v>28</v>
      </c>
      <c r="K626" t="s">
        <v>43</v>
      </c>
      <c r="L626">
        <f t="shared" si="9"/>
        <v>26887.409999999996</v>
      </c>
    </row>
    <row r="627" spans="1:12" x14ac:dyDescent="0.3">
      <c r="A627" t="s">
        <v>1980</v>
      </c>
      <c r="B627" t="s">
        <v>1981</v>
      </c>
      <c r="C627" t="s">
        <v>1982</v>
      </c>
      <c r="D627" t="s">
        <v>1911</v>
      </c>
      <c r="E627" t="s">
        <v>62</v>
      </c>
      <c r="F627" t="s">
        <v>48</v>
      </c>
      <c r="G627" t="s">
        <v>110</v>
      </c>
      <c r="H627">
        <v>6</v>
      </c>
      <c r="I627">
        <v>4437.09</v>
      </c>
      <c r="J627" t="s">
        <v>19</v>
      </c>
      <c r="K627" t="s">
        <v>20</v>
      </c>
      <c r="L627">
        <f t="shared" si="9"/>
        <v>26622.54</v>
      </c>
    </row>
    <row r="628" spans="1:12" x14ac:dyDescent="0.3">
      <c r="A628" t="s">
        <v>1983</v>
      </c>
      <c r="B628" t="s">
        <v>873</v>
      </c>
      <c r="C628" t="s">
        <v>590</v>
      </c>
      <c r="D628" t="s">
        <v>1984</v>
      </c>
      <c r="E628" t="s">
        <v>16</v>
      </c>
      <c r="F628" t="s">
        <v>77</v>
      </c>
      <c r="G628" t="s">
        <v>171</v>
      </c>
      <c r="H628">
        <v>7</v>
      </c>
      <c r="I628">
        <v>3127.87</v>
      </c>
      <c r="J628" t="s">
        <v>50</v>
      </c>
      <c r="K628" t="s">
        <v>20</v>
      </c>
      <c r="L628">
        <f t="shared" si="9"/>
        <v>21895.09</v>
      </c>
    </row>
    <row r="629" spans="1:12" x14ac:dyDescent="0.3">
      <c r="A629" t="s">
        <v>1985</v>
      </c>
      <c r="B629" t="s">
        <v>1981</v>
      </c>
      <c r="C629" t="s">
        <v>1986</v>
      </c>
      <c r="D629" t="s">
        <v>1987</v>
      </c>
      <c r="E629" t="s">
        <v>128</v>
      </c>
      <c r="F629" t="s">
        <v>17</v>
      </c>
      <c r="G629" t="s">
        <v>41</v>
      </c>
      <c r="H629">
        <v>3</v>
      </c>
      <c r="I629">
        <v>1085.8599999999999</v>
      </c>
      <c r="J629" t="s">
        <v>19</v>
      </c>
      <c r="K629" t="s">
        <v>36</v>
      </c>
      <c r="L629">
        <f t="shared" si="9"/>
        <v>3257.58</v>
      </c>
    </row>
    <row r="630" spans="1:12" x14ac:dyDescent="0.3">
      <c r="A630" t="s">
        <v>1988</v>
      </c>
      <c r="B630" t="s">
        <v>699</v>
      </c>
      <c r="C630" t="s">
        <v>1811</v>
      </c>
      <c r="D630" t="s">
        <v>1864</v>
      </c>
      <c r="E630" t="s">
        <v>56</v>
      </c>
      <c r="F630" t="s">
        <v>17</v>
      </c>
      <c r="G630" t="s">
        <v>35</v>
      </c>
      <c r="H630">
        <v>1</v>
      </c>
      <c r="I630">
        <v>121.4</v>
      </c>
      <c r="J630" t="s">
        <v>42</v>
      </c>
      <c r="K630" t="s">
        <v>36</v>
      </c>
      <c r="L630">
        <f t="shared" si="9"/>
        <v>121.4</v>
      </c>
    </row>
    <row r="631" spans="1:12" x14ac:dyDescent="0.3">
      <c r="A631" t="s">
        <v>1989</v>
      </c>
      <c r="B631" t="s">
        <v>1990</v>
      </c>
      <c r="C631" t="s">
        <v>1991</v>
      </c>
      <c r="D631" t="s">
        <v>1992</v>
      </c>
      <c r="E631" t="s">
        <v>56</v>
      </c>
      <c r="F631" t="s">
        <v>77</v>
      </c>
      <c r="G631" t="s">
        <v>105</v>
      </c>
      <c r="H631">
        <v>6</v>
      </c>
      <c r="I631">
        <v>4587.28</v>
      </c>
      <c r="J631" t="s">
        <v>42</v>
      </c>
      <c r="K631" t="s">
        <v>43</v>
      </c>
      <c r="L631">
        <f t="shared" si="9"/>
        <v>27523.68</v>
      </c>
    </row>
    <row r="632" spans="1:12" x14ac:dyDescent="0.3">
      <c r="A632" t="s">
        <v>1993</v>
      </c>
      <c r="B632" t="s">
        <v>519</v>
      </c>
      <c r="C632" t="s">
        <v>1994</v>
      </c>
      <c r="D632" t="s">
        <v>1995</v>
      </c>
      <c r="E632" t="s">
        <v>16</v>
      </c>
      <c r="F632" t="s">
        <v>17</v>
      </c>
      <c r="G632" t="s">
        <v>188</v>
      </c>
      <c r="H632">
        <v>7</v>
      </c>
      <c r="I632">
        <v>2787.13</v>
      </c>
      <c r="J632" t="s">
        <v>19</v>
      </c>
      <c r="K632" t="s">
        <v>83</v>
      </c>
      <c r="L632">
        <f t="shared" si="9"/>
        <v>19509.91</v>
      </c>
    </row>
    <row r="633" spans="1:12" x14ac:dyDescent="0.3">
      <c r="A633" t="s">
        <v>1996</v>
      </c>
      <c r="B633" t="s">
        <v>1097</v>
      </c>
      <c r="C633" t="s">
        <v>1997</v>
      </c>
      <c r="D633" t="s">
        <v>1998</v>
      </c>
      <c r="E633" t="s">
        <v>56</v>
      </c>
      <c r="F633" t="s">
        <v>77</v>
      </c>
      <c r="G633" t="s">
        <v>105</v>
      </c>
      <c r="H633">
        <v>5</v>
      </c>
      <c r="I633">
        <v>2497.66</v>
      </c>
      <c r="J633" t="s">
        <v>42</v>
      </c>
      <c r="K633" t="s">
        <v>36</v>
      </c>
      <c r="L633">
        <f t="shared" si="9"/>
        <v>12488.3</v>
      </c>
    </row>
    <row r="634" spans="1:12" x14ac:dyDescent="0.3">
      <c r="A634" t="s">
        <v>1999</v>
      </c>
      <c r="B634" t="s">
        <v>526</v>
      </c>
      <c r="C634" t="s">
        <v>2000</v>
      </c>
      <c r="D634" t="s">
        <v>91</v>
      </c>
      <c r="E634" t="s">
        <v>128</v>
      </c>
      <c r="F634" t="s">
        <v>77</v>
      </c>
      <c r="G634" t="s">
        <v>123</v>
      </c>
      <c r="H634">
        <v>6</v>
      </c>
      <c r="I634">
        <v>1277.0999999999999</v>
      </c>
      <c r="J634" t="s">
        <v>42</v>
      </c>
      <c r="K634" t="s">
        <v>29</v>
      </c>
      <c r="L634">
        <f t="shared" si="9"/>
        <v>7662.5999999999995</v>
      </c>
    </row>
    <row r="635" spans="1:12" x14ac:dyDescent="0.3">
      <c r="A635" t="s">
        <v>2001</v>
      </c>
      <c r="B635" t="s">
        <v>2002</v>
      </c>
      <c r="C635" t="s">
        <v>2003</v>
      </c>
      <c r="D635" t="s">
        <v>1889</v>
      </c>
      <c r="E635" t="s">
        <v>56</v>
      </c>
      <c r="F635" t="s">
        <v>17</v>
      </c>
      <c r="G635" t="s">
        <v>18</v>
      </c>
      <c r="H635">
        <v>9</v>
      </c>
      <c r="I635">
        <v>3845.26</v>
      </c>
      <c r="J635" t="s">
        <v>42</v>
      </c>
      <c r="K635" t="s">
        <v>83</v>
      </c>
      <c r="L635">
        <f t="shared" si="9"/>
        <v>34607.340000000004</v>
      </c>
    </row>
    <row r="636" spans="1:12" x14ac:dyDescent="0.3">
      <c r="A636" t="s">
        <v>2004</v>
      </c>
      <c r="B636" t="s">
        <v>942</v>
      </c>
      <c r="C636" t="s">
        <v>1523</v>
      </c>
      <c r="D636" t="s">
        <v>203</v>
      </c>
      <c r="E636" t="s">
        <v>16</v>
      </c>
      <c r="F636" t="s">
        <v>26</v>
      </c>
      <c r="G636" t="s">
        <v>166</v>
      </c>
      <c r="H636">
        <v>7</v>
      </c>
      <c r="I636">
        <v>1135.18</v>
      </c>
      <c r="J636" t="s">
        <v>19</v>
      </c>
      <c r="K636" t="s">
        <v>36</v>
      </c>
      <c r="L636">
        <f t="shared" si="9"/>
        <v>7946.26</v>
      </c>
    </row>
    <row r="637" spans="1:12" x14ac:dyDescent="0.3">
      <c r="A637" t="s">
        <v>2005</v>
      </c>
      <c r="B637" t="s">
        <v>1388</v>
      </c>
      <c r="C637" t="s">
        <v>2006</v>
      </c>
      <c r="D637" t="s">
        <v>2007</v>
      </c>
      <c r="E637" t="s">
        <v>16</v>
      </c>
      <c r="F637" t="s">
        <v>26</v>
      </c>
      <c r="G637" t="s">
        <v>208</v>
      </c>
      <c r="H637">
        <v>6</v>
      </c>
      <c r="I637">
        <v>3532.4</v>
      </c>
      <c r="J637" t="s">
        <v>19</v>
      </c>
      <c r="K637" t="s">
        <v>51</v>
      </c>
      <c r="L637">
        <f t="shared" si="9"/>
        <v>21194.400000000001</v>
      </c>
    </row>
    <row r="638" spans="1:12" x14ac:dyDescent="0.3">
      <c r="A638" t="s">
        <v>2008</v>
      </c>
      <c r="B638" t="s">
        <v>1684</v>
      </c>
      <c r="C638" t="s">
        <v>1223</v>
      </c>
      <c r="D638" t="s">
        <v>1984</v>
      </c>
      <c r="E638" t="s">
        <v>34</v>
      </c>
      <c r="F638" t="s">
        <v>26</v>
      </c>
      <c r="G638" t="s">
        <v>166</v>
      </c>
      <c r="H638">
        <v>6</v>
      </c>
      <c r="I638">
        <v>1855.23</v>
      </c>
      <c r="J638" t="s">
        <v>42</v>
      </c>
      <c r="K638" t="s">
        <v>29</v>
      </c>
      <c r="L638">
        <f t="shared" si="9"/>
        <v>11131.380000000001</v>
      </c>
    </row>
    <row r="639" spans="1:12" x14ac:dyDescent="0.3">
      <c r="A639" t="s">
        <v>2009</v>
      </c>
      <c r="B639" t="s">
        <v>1860</v>
      </c>
      <c r="C639" t="s">
        <v>2010</v>
      </c>
      <c r="D639" t="s">
        <v>281</v>
      </c>
      <c r="E639" t="s">
        <v>62</v>
      </c>
      <c r="F639" t="s">
        <v>17</v>
      </c>
      <c r="G639" t="s">
        <v>68</v>
      </c>
      <c r="H639">
        <v>7</v>
      </c>
      <c r="I639">
        <v>251.31</v>
      </c>
      <c r="J639" t="s">
        <v>19</v>
      </c>
      <c r="K639" t="s">
        <v>51</v>
      </c>
      <c r="L639">
        <f t="shared" si="9"/>
        <v>1759.17</v>
      </c>
    </row>
    <row r="640" spans="1:12" x14ac:dyDescent="0.3">
      <c r="A640" t="s">
        <v>2011</v>
      </c>
      <c r="B640" t="s">
        <v>1537</v>
      </c>
      <c r="C640" t="s">
        <v>939</v>
      </c>
      <c r="D640" t="s">
        <v>1220</v>
      </c>
      <c r="E640" t="s">
        <v>95</v>
      </c>
      <c r="F640" t="s">
        <v>17</v>
      </c>
      <c r="G640" t="s">
        <v>68</v>
      </c>
      <c r="H640">
        <v>3</v>
      </c>
      <c r="I640">
        <v>1150.77</v>
      </c>
      <c r="J640" t="s">
        <v>28</v>
      </c>
      <c r="K640" t="s">
        <v>83</v>
      </c>
      <c r="L640">
        <f t="shared" si="9"/>
        <v>3452.31</v>
      </c>
    </row>
    <row r="641" spans="1:12" x14ac:dyDescent="0.3">
      <c r="A641" t="s">
        <v>2012</v>
      </c>
      <c r="B641" t="s">
        <v>2013</v>
      </c>
      <c r="C641" t="s">
        <v>2014</v>
      </c>
      <c r="D641" t="s">
        <v>2015</v>
      </c>
      <c r="E641" t="s">
        <v>34</v>
      </c>
      <c r="F641" t="s">
        <v>48</v>
      </c>
      <c r="G641" t="s">
        <v>179</v>
      </c>
      <c r="H641">
        <v>8</v>
      </c>
      <c r="I641">
        <v>2389.46</v>
      </c>
      <c r="J641" t="s">
        <v>42</v>
      </c>
      <c r="K641" t="s">
        <v>51</v>
      </c>
      <c r="L641">
        <f t="shared" si="9"/>
        <v>19115.68</v>
      </c>
    </row>
    <row r="642" spans="1:12" x14ac:dyDescent="0.3">
      <c r="A642" t="s">
        <v>2016</v>
      </c>
      <c r="B642" t="s">
        <v>477</v>
      </c>
      <c r="C642" t="s">
        <v>2017</v>
      </c>
      <c r="D642" t="s">
        <v>216</v>
      </c>
      <c r="E642" t="s">
        <v>16</v>
      </c>
      <c r="F642" t="s">
        <v>48</v>
      </c>
      <c r="G642" t="s">
        <v>49</v>
      </c>
      <c r="H642">
        <v>4</v>
      </c>
      <c r="I642">
        <v>3780.24</v>
      </c>
      <c r="J642" t="s">
        <v>50</v>
      </c>
      <c r="K642" t="s">
        <v>83</v>
      </c>
      <c r="L642">
        <f t="shared" si="9"/>
        <v>15120.96</v>
      </c>
    </row>
    <row r="643" spans="1:12" x14ac:dyDescent="0.3">
      <c r="A643" t="s">
        <v>2018</v>
      </c>
      <c r="B643" t="s">
        <v>699</v>
      </c>
      <c r="C643" t="s">
        <v>2019</v>
      </c>
      <c r="D643" t="s">
        <v>517</v>
      </c>
      <c r="E643" t="s">
        <v>56</v>
      </c>
      <c r="F643" t="s">
        <v>26</v>
      </c>
      <c r="G643" t="s">
        <v>166</v>
      </c>
      <c r="H643">
        <v>2</v>
      </c>
      <c r="I643">
        <v>93.8</v>
      </c>
      <c r="J643" t="s">
        <v>42</v>
      </c>
      <c r="K643" t="s">
        <v>83</v>
      </c>
      <c r="L643">
        <f t="shared" ref="L643:L706" si="10">H643*I643</f>
        <v>187.6</v>
      </c>
    </row>
    <row r="644" spans="1:12" x14ac:dyDescent="0.3">
      <c r="A644" t="s">
        <v>2020</v>
      </c>
      <c r="B644" t="s">
        <v>107</v>
      </c>
      <c r="C644" t="s">
        <v>1697</v>
      </c>
      <c r="D644" t="s">
        <v>2021</v>
      </c>
      <c r="E644" t="s">
        <v>62</v>
      </c>
      <c r="F644" t="s">
        <v>17</v>
      </c>
      <c r="G644" t="s">
        <v>68</v>
      </c>
      <c r="H644">
        <v>8</v>
      </c>
      <c r="I644">
        <v>3493.53</v>
      </c>
      <c r="J644" t="s">
        <v>19</v>
      </c>
      <c r="K644" t="s">
        <v>83</v>
      </c>
      <c r="L644">
        <f t="shared" si="10"/>
        <v>27948.240000000002</v>
      </c>
    </row>
    <row r="645" spans="1:12" x14ac:dyDescent="0.3">
      <c r="A645" t="s">
        <v>2022</v>
      </c>
      <c r="B645" t="s">
        <v>2023</v>
      </c>
      <c r="C645" t="s">
        <v>2024</v>
      </c>
      <c r="D645" t="s">
        <v>345</v>
      </c>
      <c r="E645" t="s">
        <v>95</v>
      </c>
      <c r="F645" t="s">
        <v>26</v>
      </c>
      <c r="G645" t="s">
        <v>115</v>
      </c>
      <c r="H645">
        <v>1</v>
      </c>
      <c r="I645">
        <v>99.65</v>
      </c>
      <c r="J645" t="s">
        <v>19</v>
      </c>
      <c r="K645" t="s">
        <v>83</v>
      </c>
      <c r="L645">
        <f t="shared" si="10"/>
        <v>99.65</v>
      </c>
    </row>
    <row r="646" spans="1:12" x14ac:dyDescent="0.3">
      <c r="A646" t="s">
        <v>2025</v>
      </c>
      <c r="B646" t="s">
        <v>2026</v>
      </c>
      <c r="C646" t="s">
        <v>206</v>
      </c>
      <c r="D646" t="s">
        <v>2027</v>
      </c>
      <c r="E646" t="s">
        <v>34</v>
      </c>
      <c r="F646" t="s">
        <v>48</v>
      </c>
      <c r="G646" t="s">
        <v>57</v>
      </c>
      <c r="H646">
        <v>10</v>
      </c>
      <c r="I646">
        <v>1802.73</v>
      </c>
      <c r="J646" t="s">
        <v>50</v>
      </c>
      <c r="K646" t="s">
        <v>36</v>
      </c>
      <c r="L646">
        <f t="shared" si="10"/>
        <v>18027.3</v>
      </c>
    </row>
    <row r="647" spans="1:12" x14ac:dyDescent="0.3">
      <c r="A647" t="s">
        <v>2028</v>
      </c>
      <c r="B647" t="s">
        <v>756</v>
      </c>
      <c r="C647" t="s">
        <v>2029</v>
      </c>
      <c r="D647" t="s">
        <v>2030</v>
      </c>
      <c r="E647" t="s">
        <v>128</v>
      </c>
      <c r="F647" t="s">
        <v>48</v>
      </c>
      <c r="G647" t="s">
        <v>49</v>
      </c>
      <c r="H647">
        <v>1</v>
      </c>
      <c r="I647">
        <v>1439.52</v>
      </c>
      <c r="J647" t="s">
        <v>50</v>
      </c>
      <c r="K647" t="s">
        <v>83</v>
      </c>
      <c r="L647">
        <f t="shared" si="10"/>
        <v>1439.52</v>
      </c>
    </row>
    <row r="648" spans="1:12" x14ac:dyDescent="0.3">
      <c r="A648" t="s">
        <v>2031</v>
      </c>
      <c r="B648" t="s">
        <v>859</v>
      </c>
      <c r="C648" t="s">
        <v>321</v>
      </c>
      <c r="D648" t="s">
        <v>929</v>
      </c>
      <c r="E648" t="s">
        <v>25</v>
      </c>
      <c r="F648" t="s">
        <v>48</v>
      </c>
      <c r="G648" t="s">
        <v>49</v>
      </c>
      <c r="H648">
        <v>1</v>
      </c>
      <c r="I648">
        <v>2321.86</v>
      </c>
      <c r="J648" t="s">
        <v>28</v>
      </c>
      <c r="K648" t="s">
        <v>51</v>
      </c>
      <c r="L648">
        <f t="shared" si="10"/>
        <v>2321.86</v>
      </c>
    </row>
    <row r="649" spans="1:12" x14ac:dyDescent="0.3">
      <c r="A649" t="s">
        <v>2032</v>
      </c>
      <c r="B649" t="s">
        <v>946</v>
      </c>
      <c r="C649" t="s">
        <v>2033</v>
      </c>
      <c r="D649" t="s">
        <v>849</v>
      </c>
      <c r="E649" t="s">
        <v>56</v>
      </c>
      <c r="F649" t="s">
        <v>17</v>
      </c>
      <c r="G649" t="s">
        <v>41</v>
      </c>
      <c r="H649">
        <v>7</v>
      </c>
      <c r="I649">
        <v>4593.24</v>
      </c>
      <c r="J649" t="s">
        <v>28</v>
      </c>
      <c r="K649" t="s">
        <v>83</v>
      </c>
      <c r="L649">
        <f t="shared" si="10"/>
        <v>32152.68</v>
      </c>
    </row>
    <row r="650" spans="1:12" x14ac:dyDescent="0.3">
      <c r="A650" t="s">
        <v>2034</v>
      </c>
      <c r="B650" t="s">
        <v>2035</v>
      </c>
      <c r="C650" t="s">
        <v>2036</v>
      </c>
      <c r="D650" t="s">
        <v>1288</v>
      </c>
      <c r="E650" t="s">
        <v>128</v>
      </c>
      <c r="F650" t="s">
        <v>48</v>
      </c>
      <c r="G650" t="s">
        <v>63</v>
      </c>
      <c r="H650">
        <v>2</v>
      </c>
      <c r="I650">
        <v>1161.94</v>
      </c>
      <c r="J650" t="s">
        <v>28</v>
      </c>
      <c r="K650" t="s">
        <v>83</v>
      </c>
      <c r="L650">
        <f t="shared" si="10"/>
        <v>2323.88</v>
      </c>
    </row>
    <row r="651" spans="1:12" x14ac:dyDescent="0.3">
      <c r="A651" t="s">
        <v>2037</v>
      </c>
      <c r="B651" t="s">
        <v>176</v>
      </c>
      <c r="C651" t="s">
        <v>2038</v>
      </c>
      <c r="D651" t="s">
        <v>2039</v>
      </c>
      <c r="E651" t="s">
        <v>128</v>
      </c>
      <c r="F651" t="s">
        <v>26</v>
      </c>
      <c r="G651" t="s">
        <v>208</v>
      </c>
      <c r="H651">
        <v>4</v>
      </c>
      <c r="I651">
        <v>1384.08</v>
      </c>
      <c r="J651" t="s">
        <v>42</v>
      </c>
      <c r="K651" t="s">
        <v>43</v>
      </c>
      <c r="L651">
        <f t="shared" si="10"/>
        <v>5536.32</v>
      </c>
    </row>
    <row r="652" spans="1:12" x14ac:dyDescent="0.3">
      <c r="A652" t="s">
        <v>2040</v>
      </c>
      <c r="B652" t="s">
        <v>756</v>
      </c>
      <c r="C652" t="s">
        <v>2041</v>
      </c>
      <c r="D652" t="s">
        <v>1879</v>
      </c>
      <c r="E652" t="s">
        <v>95</v>
      </c>
      <c r="F652" t="s">
        <v>17</v>
      </c>
      <c r="G652" t="s">
        <v>188</v>
      </c>
      <c r="H652">
        <v>9</v>
      </c>
      <c r="I652">
        <v>1837.24</v>
      </c>
      <c r="J652" t="s">
        <v>50</v>
      </c>
      <c r="K652" t="s">
        <v>36</v>
      </c>
      <c r="L652">
        <f t="shared" si="10"/>
        <v>16535.16</v>
      </c>
    </row>
    <row r="653" spans="1:12" x14ac:dyDescent="0.3">
      <c r="A653" t="s">
        <v>2042</v>
      </c>
      <c r="B653" t="s">
        <v>2043</v>
      </c>
      <c r="C653" t="s">
        <v>2044</v>
      </c>
      <c r="D653" t="s">
        <v>2045</v>
      </c>
      <c r="E653" t="s">
        <v>34</v>
      </c>
      <c r="F653" t="s">
        <v>26</v>
      </c>
      <c r="G653" t="s">
        <v>296</v>
      </c>
      <c r="H653">
        <v>4</v>
      </c>
      <c r="I653">
        <v>402.75</v>
      </c>
      <c r="J653" t="s">
        <v>28</v>
      </c>
      <c r="K653" t="s">
        <v>83</v>
      </c>
      <c r="L653">
        <f t="shared" si="10"/>
        <v>1611</v>
      </c>
    </row>
    <row r="654" spans="1:12" x14ac:dyDescent="0.3">
      <c r="A654" t="s">
        <v>2046</v>
      </c>
      <c r="B654" t="s">
        <v>467</v>
      </c>
      <c r="C654" t="s">
        <v>959</v>
      </c>
      <c r="D654" t="s">
        <v>1979</v>
      </c>
      <c r="E654" t="s">
        <v>16</v>
      </c>
      <c r="F654" t="s">
        <v>77</v>
      </c>
      <c r="G654" t="s">
        <v>265</v>
      </c>
      <c r="H654">
        <v>7</v>
      </c>
      <c r="I654">
        <v>519.07000000000005</v>
      </c>
      <c r="J654" t="s">
        <v>19</v>
      </c>
      <c r="K654" t="s">
        <v>36</v>
      </c>
      <c r="L654">
        <f t="shared" si="10"/>
        <v>3633.4900000000002</v>
      </c>
    </row>
    <row r="655" spans="1:12" x14ac:dyDescent="0.3">
      <c r="A655" t="s">
        <v>2047</v>
      </c>
      <c r="B655" t="s">
        <v>193</v>
      </c>
      <c r="C655" t="s">
        <v>108</v>
      </c>
      <c r="D655" t="s">
        <v>361</v>
      </c>
      <c r="E655" t="s">
        <v>56</v>
      </c>
      <c r="F655" t="s">
        <v>17</v>
      </c>
      <c r="G655" t="s">
        <v>41</v>
      </c>
      <c r="H655">
        <v>5</v>
      </c>
      <c r="I655">
        <v>4590.4399999999996</v>
      </c>
      <c r="J655" t="s">
        <v>42</v>
      </c>
      <c r="K655" t="s">
        <v>51</v>
      </c>
      <c r="L655">
        <f t="shared" si="10"/>
        <v>22952.199999999997</v>
      </c>
    </row>
    <row r="656" spans="1:12" x14ac:dyDescent="0.3">
      <c r="A656" t="s">
        <v>2048</v>
      </c>
      <c r="B656" t="s">
        <v>2049</v>
      </c>
      <c r="C656" t="s">
        <v>2050</v>
      </c>
      <c r="D656" t="s">
        <v>989</v>
      </c>
      <c r="E656" t="s">
        <v>34</v>
      </c>
      <c r="F656" t="s">
        <v>17</v>
      </c>
      <c r="G656" t="s">
        <v>35</v>
      </c>
      <c r="H656">
        <v>2</v>
      </c>
      <c r="I656">
        <v>1623.92</v>
      </c>
      <c r="J656" t="s">
        <v>50</v>
      </c>
      <c r="K656" t="s">
        <v>43</v>
      </c>
      <c r="L656">
        <f t="shared" si="10"/>
        <v>3247.84</v>
      </c>
    </row>
    <row r="657" spans="1:12" x14ac:dyDescent="0.3">
      <c r="A657" t="s">
        <v>2051</v>
      </c>
      <c r="B657" t="s">
        <v>2052</v>
      </c>
      <c r="C657" t="s">
        <v>1296</v>
      </c>
      <c r="D657" t="s">
        <v>2053</v>
      </c>
      <c r="E657" t="s">
        <v>16</v>
      </c>
      <c r="F657" t="s">
        <v>77</v>
      </c>
      <c r="G657" t="s">
        <v>78</v>
      </c>
      <c r="H657">
        <v>8</v>
      </c>
      <c r="I657">
        <v>4866.49</v>
      </c>
      <c r="J657" t="s">
        <v>19</v>
      </c>
      <c r="K657" t="s">
        <v>29</v>
      </c>
      <c r="L657">
        <f t="shared" si="10"/>
        <v>38931.919999999998</v>
      </c>
    </row>
    <row r="658" spans="1:12" x14ac:dyDescent="0.3">
      <c r="A658" t="s">
        <v>2054</v>
      </c>
      <c r="B658" t="s">
        <v>904</v>
      </c>
      <c r="C658" t="s">
        <v>2055</v>
      </c>
      <c r="D658" t="s">
        <v>2056</v>
      </c>
      <c r="E658" t="s">
        <v>56</v>
      </c>
      <c r="F658" t="s">
        <v>26</v>
      </c>
      <c r="G658" t="s">
        <v>27</v>
      </c>
      <c r="H658">
        <v>3</v>
      </c>
      <c r="I658">
        <v>4246.4799999999996</v>
      </c>
      <c r="J658" t="s">
        <v>42</v>
      </c>
      <c r="K658" t="s">
        <v>20</v>
      </c>
      <c r="L658">
        <f t="shared" si="10"/>
        <v>12739.439999999999</v>
      </c>
    </row>
    <row r="659" spans="1:12" x14ac:dyDescent="0.3">
      <c r="A659" t="s">
        <v>2057</v>
      </c>
      <c r="B659" t="s">
        <v>2058</v>
      </c>
      <c r="C659" t="s">
        <v>1668</v>
      </c>
      <c r="D659" t="s">
        <v>788</v>
      </c>
      <c r="E659" t="s">
        <v>104</v>
      </c>
      <c r="F659" t="s">
        <v>17</v>
      </c>
      <c r="G659" t="s">
        <v>18</v>
      </c>
      <c r="H659">
        <v>10</v>
      </c>
      <c r="I659">
        <v>750.94</v>
      </c>
      <c r="J659" t="s">
        <v>50</v>
      </c>
      <c r="K659" t="s">
        <v>20</v>
      </c>
      <c r="L659">
        <f t="shared" si="10"/>
        <v>7509.4000000000005</v>
      </c>
    </row>
    <row r="660" spans="1:12" x14ac:dyDescent="0.3">
      <c r="A660" t="s">
        <v>2059</v>
      </c>
      <c r="B660" t="s">
        <v>1517</v>
      </c>
      <c r="C660" t="s">
        <v>1223</v>
      </c>
      <c r="D660" t="s">
        <v>603</v>
      </c>
      <c r="E660" t="s">
        <v>56</v>
      </c>
      <c r="F660" t="s">
        <v>77</v>
      </c>
      <c r="G660" t="s">
        <v>265</v>
      </c>
      <c r="H660">
        <v>2</v>
      </c>
      <c r="I660">
        <v>4661.74</v>
      </c>
      <c r="J660" t="s">
        <v>28</v>
      </c>
      <c r="K660" t="s">
        <v>83</v>
      </c>
      <c r="L660">
        <f t="shared" si="10"/>
        <v>9323.48</v>
      </c>
    </row>
    <row r="661" spans="1:12" x14ac:dyDescent="0.3">
      <c r="A661" t="s">
        <v>2060</v>
      </c>
      <c r="B661" t="s">
        <v>534</v>
      </c>
      <c r="C661" t="s">
        <v>2061</v>
      </c>
      <c r="D661" t="s">
        <v>33</v>
      </c>
      <c r="E661" t="s">
        <v>95</v>
      </c>
      <c r="F661" t="s">
        <v>17</v>
      </c>
      <c r="G661" t="s">
        <v>18</v>
      </c>
      <c r="H661">
        <v>6</v>
      </c>
      <c r="I661">
        <v>3228.73</v>
      </c>
      <c r="J661" t="s">
        <v>19</v>
      </c>
      <c r="K661" t="s">
        <v>51</v>
      </c>
      <c r="L661">
        <f t="shared" si="10"/>
        <v>19372.38</v>
      </c>
    </row>
    <row r="662" spans="1:12" x14ac:dyDescent="0.3">
      <c r="A662" t="s">
        <v>2062</v>
      </c>
      <c r="B662" t="s">
        <v>1680</v>
      </c>
      <c r="C662" t="s">
        <v>2063</v>
      </c>
      <c r="D662" t="s">
        <v>2064</v>
      </c>
      <c r="E662" t="s">
        <v>62</v>
      </c>
      <c r="F662" t="s">
        <v>48</v>
      </c>
      <c r="G662" t="s">
        <v>49</v>
      </c>
      <c r="H662">
        <v>4</v>
      </c>
      <c r="I662">
        <v>2766.06</v>
      </c>
      <c r="J662" t="s">
        <v>28</v>
      </c>
      <c r="K662" t="s">
        <v>51</v>
      </c>
      <c r="L662">
        <f t="shared" si="10"/>
        <v>11064.24</v>
      </c>
    </row>
    <row r="663" spans="1:12" x14ac:dyDescent="0.3">
      <c r="A663" t="s">
        <v>2065</v>
      </c>
      <c r="B663" t="s">
        <v>2066</v>
      </c>
      <c r="C663" t="s">
        <v>1007</v>
      </c>
      <c r="D663" t="s">
        <v>87</v>
      </c>
      <c r="E663" t="s">
        <v>56</v>
      </c>
      <c r="F663" t="s">
        <v>77</v>
      </c>
      <c r="G663" t="s">
        <v>105</v>
      </c>
      <c r="H663">
        <v>5</v>
      </c>
      <c r="I663">
        <v>3943.61</v>
      </c>
      <c r="J663" t="s">
        <v>28</v>
      </c>
      <c r="K663" t="s">
        <v>51</v>
      </c>
      <c r="L663">
        <f t="shared" si="10"/>
        <v>19718.05</v>
      </c>
    </row>
    <row r="664" spans="1:12" x14ac:dyDescent="0.3">
      <c r="A664" t="s">
        <v>2067</v>
      </c>
      <c r="B664" t="s">
        <v>1388</v>
      </c>
      <c r="C664" t="s">
        <v>2068</v>
      </c>
      <c r="D664" t="s">
        <v>2069</v>
      </c>
      <c r="E664" t="s">
        <v>34</v>
      </c>
      <c r="F664" t="s">
        <v>26</v>
      </c>
      <c r="G664" t="s">
        <v>27</v>
      </c>
      <c r="H664">
        <v>1</v>
      </c>
      <c r="I664">
        <v>3753.16</v>
      </c>
      <c r="J664" t="s">
        <v>19</v>
      </c>
      <c r="K664" t="s">
        <v>29</v>
      </c>
      <c r="L664">
        <f t="shared" si="10"/>
        <v>3753.16</v>
      </c>
    </row>
    <row r="665" spans="1:12" x14ac:dyDescent="0.3">
      <c r="A665" t="s">
        <v>2070</v>
      </c>
      <c r="B665" t="s">
        <v>865</v>
      </c>
      <c r="C665" t="s">
        <v>333</v>
      </c>
      <c r="D665" t="s">
        <v>788</v>
      </c>
      <c r="E665" t="s">
        <v>128</v>
      </c>
      <c r="F665" t="s">
        <v>17</v>
      </c>
      <c r="G665" t="s">
        <v>35</v>
      </c>
      <c r="H665">
        <v>6</v>
      </c>
      <c r="I665">
        <v>881.13</v>
      </c>
      <c r="J665" t="s">
        <v>28</v>
      </c>
      <c r="K665" t="s">
        <v>51</v>
      </c>
      <c r="L665">
        <f t="shared" si="10"/>
        <v>5286.78</v>
      </c>
    </row>
    <row r="666" spans="1:12" x14ac:dyDescent="0.3">
      <c r="A666" t="s">
        <v>2071</v>
      </c>
      <c r="B666" t="s">
        <v>2072</v>
      </c>
      <c r="C666" t="s">
        <v>1142</v>
      </c>
      <c r="D666" t="s">
        <v>2073</v>
      </c>
      <c r="E666" t="s">
        <v>34</v>
      </c>
      <c r="F666" t="s">
        <v>77</v>
      </c>
      <c r="G666" t="s">
        <v>78</v>
      </c>
      <c r="H666">
        <v>10</v>
      </c>
      <c r="I666">
        <v>3083.24</v>
      </c>
      <c r="J666" t="s">
        <v>42</v>
      </c>
      <c r="K666" t="s">
        <v>43</v>
      </c>
      <c r="L666">
        <f t="shared" si="10"/>
        <v>30832.399999999998</v>
      </c>
    </row>
    <row r="667" spans="1:12" x14ac:dyDescent="0.3">
      <c r="A667" t="s">
        <v>2074</v>
      </c>
      <c r="B667" t="s">
        <v>2075</v>
      </c>
      <c r="C667" t="s">
        <v>434</v>
      </c>
      <c r="D667" t="s">
        <v>2076</v>
      </c>
      <c r="E667" t="s">
        <v>104</v>
      </c>
      <c r="F667" t="s">
        <v>77</v>
      </c>
      <c r="G667" t="s">
        <v>78</v>
      </c>
      <c r="H667">
        <v>9</v>
      </c>
      <c r="I667">
        <v>4504.3900000000003</v>
      </c>
      <c r="J667" t="s">
        <v>19</v>
      </c>
      <c r="K667" t="s">
        <v>36</v>
      </c>
      <c r="L667">
        <f t="shared" si="10"/>
        <v>40539.51</v>
      </c>
    </row>
    <row r="668" spans="1:12" x14ac:dyDescent="0.3">
      <c r="A668" t="s">
        <v>2077</v>
      </c>
      <c r="B668" t="s">
        <v>1975</v>
      </c>
      <c r="C668" t="s">
        <v>2078</v>
      </c>
      <c r="D668" t="s">
        <v>1469</v>
      </c>
      <c r="E668" t="s">
        <v>56</v>
      </c>
      <c r="F668" t="s">
        <v>17</v>
      </c>
      <c r="G668" t="s">
        <v>35</v>
      </c>
      <c r="H668">
        <v>1</v>
      </c>
      <c r="I668">
        <v>1621.84</v>
      </c>
      <c r="J668" t="s">
        <v>19</v>
      </c>
      <c r="K668" t="s">
        <v>43</v>
      </c>
      <c r="L668">
        <f t="shared" si="10"/>
        <v>1621.84</v>
      </c>
    </row>
    <row r="669" spans="1:12" x14ac:dyDescent="0.3">
      <c r="A669" t="s">
        <v>2079</v>
      </c>
      <c r="B669" t="s">
        <v>163</v>
      </c>
      <c r="C669" t="s">
        <v>2080</v>
      </c>
      <c r="D669" t="s">
        <v>2081</v>
      </c>
      <c r="E669" t="s">
        <v>56</v>
      </c>
      <c r="F669" t="s">
        <v>48</v>
      </c>
      <c r="G669" t="s">
        <v>63</v>
      </c>
      <c r="H669">
        <v>10</v>
      </c>
      <c r="I669">
        <v>4744.16</v>
      </c>
      <c r="J669" t="s">
        <v>28</v>
      </c>
      <c r="K669" t="s">
        <v>43</v>
      </c>
      <c r="L669">
        <f t="shared" si="10"/>
        <v>47441.599999999999</v>
      </c>
    </row>
    <row r="670" spans="1:12" x14ac:dyDescent="0.3">
      <c r="A670" t="s">
        <v>2082</v>
      </c>
      <c r="B670" t="s">
        <v>1841</v>
      </c>
      <c r="C670" t="s">
        <v>450</v>
      </c>
      <c r="D670" t="s">
        <v>778</v>
      </c>
      <c r="E670" t="s">
        <v>16</v>
      </c>
      <c r="F670" t="s">
        <v>77</v>
      </c>
      <c r="G670" t="s">
        <v>265</v>
      </c>
      <c r="H670">
        <v>5</v>
      </c>
      <c r="I670">
        <v>2481.29</v>
      </c>
      <c r="J670" t="s">
        <v>50</v>
      </c>
      <c r="K670" t="s">
        <v>20</v>
      </c>
      <c r="L670">
        <f t="shared" si="10"/>
        <v>12406.45</v>
      </c>
    </row>
    <row r="671" spans="1:12" x14ac:dyDescent="0.3">
      <c r="A671" t="s">
        <v>2083</v>
      </c>
      <c r="B671" t="s">
        <v>422</v>
      </c>
      <c r="C671" t="s">
        <v>1460</v>
      </c>
      <c r="D671" t="s">
        <v>2084</v>
      </c>
      <c r="E671" t="s">
        <v>128</v>
      </c>
      <c r="F671" t="s">
        <v>48</v>
      </c>
      <c r="G671" t="s">
        <v>110</v>
      </c>
      <c r="H671">
        <v>1</v>
      </c>
      <c r="I671">
        <v>3106.82</v>
      </c>
      <c r="J671" t="s">
        <v>42</v>
      </c>
      <c r="K671" t="s">
        <v>20</v>
      </c>
      <c r="L671">
        <f t="shared" si="10"/>
        <v>3106.82</v>
      </c>
    </row>
    <row r="672" spans="1:12" x14ac:dyDescent="0.3">
      <c r="A672" t="s">
        <v>2085</v>
      </c>
      <c r="B672" t="s">
        <v>1753</v>
      </c>
      <c r="C672" t="s">
        <v>2086</v>
      </c>
      <c r="D672" t="s">
        <v>2087</v>
      </c>
      <c r="E672" t="s">
        <v>62</v>
      </c>
      <c r="F672" t="s">
        <v>17</v>
      </c>
      <c r="G672" t="s">
        <v>35</v>
      </c>
      <c r="H672">
        <v>8</v>
      </c>
      <c r="I672">
        <v>508.65</v>
      </c>
      <c r="J672" t="s">
        <v>50</v>
      </c>
      <c r="K672" t="s">
        <v>29</v>
      </c>
      <c r="L672">
        <f t="shared" si="10"/>
        <v>4069.2</v>
      </c>
    </row>
    <row r="673" spans="1:12" x14ac:dyDescent="0.3">
      <c r="A673" t="s">
        <v>2088</v>
      </c>
      <c r="B673" t="s">
        <v>2089</v>
      </c>
      <c r="C673" t="s">
        <v>565</v>
      </c>
      <c r="D673" t="s">
        <v>2090</v>
      </c>
      <c r="E673" t="s">
        <v>62</v>
      </c>
      <c r="F673" t="s">
        <v>26</v>
      </c>
      <c r="G673" t="s">
        <v>115</v>
      </c>
      <c r="H673">
        <v>2</v>
      </c>
      <c r="I673">
        <v>4483.7700000000004</v>
      </c>
      <c r="J673" t="s">
        <v>50</v>
      </c>
      <c r="K673" t="s">
        <v>51</v>
      </c>
      <c r="L673">
        <f t="shared" si="10"/>
        <v>8967.5400000000009</v>
      </c>
    </row>
    <row r="674" spans="1:12" x14ac:dyDescent="0.3">
      <c r="A674" t="s">
        <v>2091</v>
      </c>
      <c r="B674" t="s">
        <v>626</v>
      </c>
      <c r="C674" t="s">
        <v>2055</v>
      </c>
      <c r="D674" t="s">
        <v>792</v>
      </c>
      <c r="E674" t="s">
        <v>128</v>
      </c>
      <c r="F674" t="s">
        <v>17</v>
      </c>
      <c r="G674" t="s">
        <v>18</v>
      </c>
      <c r="H674">
        <v>6</v>
      </c>
      <c r="I674">
        <v>2215.8000000000002</v>
      </c>
      <c r="J674" t="s">
        <v>42</v>
      </c>
      <c r="K674" t="s">
        <v>83</v>
      </c>
      <c r="L674">
        <f t="shared" si="10"/>
        <v>13294.800000000001</v>
      </c>
    </row>
    <row r="675" spans="1:12" x14ac:dyDescent="0.3">
      <c r="A675" t="s">
        <v>2092</v>
      </c>
      <c r="B675" t="s">
        <v>324</v>
      </c>
      <c r="C675" t="s">
        <v>259</v>
      </c>
      <c r="D675" t="s">
        <v>2093</v>
      </c>
      <c r="E675" t="s">
        <v>95</v>
      </c>
      <c r="F675" t="s">
        <v>17</v>
      </c>
      <c r="G675" t="s">
        <v>18</v>
      </c>
      <c r="H675">
        <v>10</v>
      </c>
      <c r="I675">
        <v>2371.77</v>
      </c>
      <c r="J675" t="s">
        <v>28</v>
      </c>
      <c r="K675" t="s">
        <v>20</v>
      </c>
      <c r="L675">
        <f t="shared" si="10"/>
        <v>23717.7</v>
      </c>
    </row>
    <row r="676" spans="1:12" x14ac:dyDescent="0.3">
      <c r="A676" t="s">
        <v>2094</v>
      </c>
      <c r="B676" t="s">
        <v>347</v>
      </c>
      <c r="C676" t="s">
        <v>2095</v>
      </c>
      <c r="D676" t="s">
        <v>424</v>
      </c>
      <c r="E676" t="s">
        <v>34</v>
      </c>
      <c r="F676" t="s">
        <v>48</v>
      </c>
      <c r="G676" t="s">
        <v>179</v>
      </c>
      <c r="H676">
        <v>10</v>
      </c>
      <c r="I676">
        <v>4886.3900000000003</v>
      </c>
      <c r="J676" t="s">
        <v>28</v>
      </c>
      <c r="K676" t="s">
        <v>43</v>
      </c>
      <c r="L676">
        <f t="shared" si="10"/>
        <v>48863.9</v>
      </c>
    </row>
    <row r="677" spans="1:12" x14ac:dyDescent="0.3">
      <c r="A677" t="s">
        <v>2096</v>
      </c>
      <c r="B677" t="s">
        <v>2097</v>
      </c>
      <c r="C677" t="s">
        <v>673</v>
      </c>
      <c r="D677" t="s">
        <v>1558</v>
      </c>
      <c r="E677" t="s">
        <v>56</v>
      </c>
      <c r="F677" t="s">
        <v>48</v>
      </c>
      <c r="G677" t="s">
        <v>63</v>
      </c>
      <c r="H677">
        <v>4</v>
      </c>
      <c r="I677">
        <v>1694.65</v>
      </c>
      <c r="J677" t="s">
        <v>19</v>
      </c>
      <c r="K677" t="s">
        <v>36</v>
      </c>
      <c r="L677">
        <f t="shared" si="10"/>
        <v>6778.6</v>
      </c>
    </row>
    <row r="678" spans="1:12" x14ac:dyDescent="0.3">
      <c r="A678" t="s">
        <v>2098</v>
      </c>
      <c r="B678" t="s">
        <v>840</v>
      </c>
      <c r="C678" t="s">
        <v>2099</v>
      </c>
      <c r="D678" t="s">
        <v>1292</v>
      </c>
      <c r="E678" t="s">
        <v>95</v>
      </c>
      <c r="F678" t="s">
        <v>26</v>
      </c>
      <c r="G678" t="s">
        <v>115</v>
      </c>
      <c r="H678">
        <v>2</v>
      </c>
      <c r="I678">
        <v>2443.36</v>
      </c>
      <c r="J678" t="s">
        <v>50</v>
      </c>
      <c r="K678" t="s">
        <v>83</v>
      </c>
      <c r="L678">
        <f t="shared" si="10"/>
        <v>4886.72</v>
      </c>
    </row>
    <row r="679" spans="1:12" x14ac:dyDescent="0.3">
      <c r="A679" t="s">
        <v>2100</v>
      </c>
      <c r="B679" t="s">
        <v>2101</v>
      </c>
      <c r="C679" t="s">
        <v>2102</v>
      </c>
      <c r="D679" t="s">
        <v>2103</v>
      </c>
      <c r="E679" t="s">
        <v>128</v>
      </c>
      <c r="F679" t="s">
        <v>26</v>
      </c>
      <c r="G679" t="s">
        <v>208</v>
      </c>
      <c r="H679">
        <v>5</v>
      </c>
      <c r="I679">
        <v>4844.83</v>
      </c>
      <c r="J679" t="s">
        <v>42</v>
      </c>
      <c r="K679" t="s">
        <v>43</v>
      </c>
      <c r="L679">
        <f t="shared" si="10"/>
        <v>24224.15</v>
      </c>
    </row>
    <row r="680" spans="1:12" x14ac:dyDescent="0.3">
      <c r="A680" t="s">
        <v>2104</v>
      </c>
      <c r="B680" t="s">
        <v>80</v>
      </c>
      <c r="C680" t="s">
        <v>398</v>
      </c>
      <c r="D680" t="s">
        <v>863</v>
      </c>
      <c r="E680" t="s">
        <v>104</v>
      </c>
      <c r="F680" t="s">
        <v>77</v>
      </c>
      <c r="G680" t="s">
        <v>265</v>
      </c>
      <c r="H680">
        <v>1</v>
      </c>
      <c r="I680">
        <v>2966.59</v>
      </c>
      <c r="J680" t="s">
        <v>50</v>
      </c>
      <c r="K680" t="s">
        <v>20</v>
      </c>
      <c r="L680">
        <f t="shared" si="10"/>
        <v>2966.59</v>
      </c>
    </row>
    <row r="681" spans="1:12" x14ac:dyDescent="0.3">
      <c r="A681" t="s">
        <v>2105</v>
      </c>
      <c r="B681" t="s">
        <v>1817</v>
      </c>
      <c r="C681" t="s">
        <v>458</v>
      </c>
      <c r="D681" t="s">
        <v>2106</v>
      </c>
      <c r="E681" t="s">
        <v>16</v>
      </c>
      <c r="F681" t="s">
        <v>48</v>
      </c>
      <c r="G681" t="s">
        <v>63</v>
      </c>
      <c r="H681">
        <v>8</v>
      </c>
      <c r="I681">
        <v>4039.44</v>
      </c>
      <c r="J681" t="s">
        <v>19</v>
      </c>
      <c r="K681" t="s">
        <v>83</v>
      </c>
      <c r="L681">
        <f t="shared" si="10"/>
        <v>32315.52</v>
      </c>
    </row>
    <row r="682" spans="1:12" x14ac:dyDescent="0.3">
      <c r="A682" t="s">
        <v>2107</v>
      </c>
      <c r="B682" t="s">
        <v>1541</v>
      </c>
      <c r="C682" t="s">
        <v>2108</v>
      </c>
      <c r="D682" t="s">
        <v>132</v>
      </c>
      <c r="E682" t="s">
        <v>62</v>
      </c>
      <c r="F682" t="s">
        <v>26</v>
      </c>
      <c r="G682" t="s">
        <v>296</v>
      </c>
      <c r="H682">
        <v>7</v>
      </c>
      <c r="I682">
        <v>92.56</v>
      </c>
      <c r="J682" t="s">
        <v>50</v>
      </c>
      <c r="K682" t="s">
        <v>51</v>
      </c>
      <c r="L682">
        <f t="shared" si="10"/>
        <v>647.92000000000007</v>
      </c>
    </row>
    <row r="683" spans="1:12" x14ac:dyDescent="0.3">
      <c r="A683" t="s">
        <v>2109</v>
      </c>
      <c r="B683" t="s">
        <v>1517</v>
      </c>
      <c r="C683" t="s">
        <v>1253</v>
      </c>
      <c r="D683" t="s">
        <v>2110</v>
      </c>
      <c r="E683" t="s">
        <v>95</v>
      </c>
      <c r="F683" t="s">
        <v>48</v>
      </c>
      <c r="G683" t="s">
        <v>63</v>
      </c>
      <c r="H683">
        <v>6</v>
      </c>
      <c r="I683">
        <v>2107.4899999999998</v>
      </c>
      <c r="J683" t="s">
        <v>28</v>
      </c>
      <c r="K683" t="s">
        <v>83</v>
      </c>
      <c r="L683">
        <f t="shared" si="10"/>
        <v>12644.939999999999</v>
      </c>
    </row>
    <row r="684" spans="1:12" x14ac:dyDescent="0.3">
      <c r="A684" t="s">
        <v>2111</v>
      </c>
      <c r="B684" t="s">
        <v>2112</v>
      </c>
      <c r="C684" t="s">
        <v>2113</v>
      </c>
      <c r="D684" t="s">
        <v>718</v>
      </c>
      <c r="E684" t="s">
        <v>16</v>
      </c>
      <c r="F684" t="s">
        <v>77</v>
      </c>
      <c r="G684" t="s">
        <v>105</v>
      </c>
      <c r="H684">
        <v>1</v>
      </c>
      <c r="I684">
        <v>2017.17</v>
      </c>
      <c r="J684" t="s">
        <v>50</v>
      </c>
      <c r="K684" t="s">
        <v>43</v>
      </c>
      <c r="L684">
        <f t="shared" si="10"/>
        <v>2017.17</v>
      </c>
    </row>
    <row r="685" spans="1:12" x14ac:dyDescent="0.3">
      <c r="A685" t="s">
        <v>2114</v>
      </c>
      <c r="B685" t="s">
        <v>2115</v>
      </c>
      <c r="C685" t="s">
        <v>572</v>
      </c>
      <c r="D685" t="s">
        <v>2116</v>
      </c>
      <c r="E685" t="s">
        <v>16</v>
      </c>
      <c r="F685" t="s">
        <v>48</v>
      </c>
      <c r="G685" t="s">
        <v>57</v>
      </c>
      <c r="H685">
        <v>9</v>
      </c>
      <c r="I685">
        <v>2142</v>
      </c>
      <c r="J685" t="s">
        <v>42</v>
      </c>
      <c r="K685" t="s">
        <v>29</v>
      </c>
      <c r="L685">
        <f t="shared" si="10"/>
        <v>19278</v>
      </c>
    </row>
    <row r="686" spans="1:12" x14ac:dyDescent="0.3">
      <c r="A686" t="s">
        <v>2117</v>
      </c>
      <c r="B686" t="s">
        <v>742</v>
      </c>
      <c r="C686" t="s">
        <v>2118</v>
      </c>
      <c r="D686" t="s">
        <v>2119</v>
      </c>
      <c r="E686" t="s">
        <v>128</v>
      </c>
      <c r="F686" t="s">
        <v>26</v>
      </c>
      <c r="G686" t="s">
        <v>27</v>
      </c>
      <c r="H686">
        <v>10</v>
      </c>
      <c r="I686">
        <v>3901.42</v>
      </c>
      <c r="J686" t="s">
        <v>42</v>
      </c>
      <c r="K686" t="s">
        <v>20</v>
      </c>
      <c r="L686">
        <f t="shared" si="10"/>
        <v>39014.199999999997</v>
      </c>
    </row>
    <row r="687" spans="1:12" x14ac:dyDescent="0.3">
      <c r="A687" t="s">
        <v>2120</v>
      </c>
      <c r="B687" t="s">
        <v>2121</v>
      </c>
      <c r="C687" t="s">
        <v>2122</v>
      </c>
      <c r="D687" t="s">
        <v>1595</v>
      </c>
      <c r="E687" t="s">
        <v>56</v>
      </c>
      <c r="F687" t="s">
        <v>17</v>
      </c>
      <c r="G687" t="s">
        <v>68</v>
      </c>
      <c r="H687">
        <v>2</v>
      </c>
      <c r="I687">
        <v>3617.24</v>
      </c>
      <c r="J687" t="s">
        <v>19</v>
      </c>
      <c r="K687" t="s">
        <v>43</v>
      </c>
      <c r="L687">
        <f t="shared" si="10"/>
        <v>7234.48</v>
      </c>
    </row>
    <row r="688" spans="1:12" x14ac:dyDescent="0.3">
      <c r="A688" t="s">
        <v>2123</v>
      </c>
      <c r="B688" t="s">
        <v>449</v>
      </c>
      <c r="C688" t="s">
        <v>2124</v>
      </c>
      <c r="D688" t="s">
        <v>2125</v>
      </c>
      <c r="E688" t="s">
        <v>16</v>
      </c>
      <c r="F688" t="s">
        <v>17</v>
      </c>
      <c r="G688" t="s">
        <v>35</v>
      </c>
      <c r="H688">
        <v>1</v>
      </c>
      <c r="I688">
        <v>2826.56</v>
      </c>
      <c r="J688" t="s">
        <v>42</v>
      </c>
      <c r="K688" t="s">
        <v>20</v>
      </c>
      <c r="L688">
        <f t="shared" si="10"/>
        <v>2826.56</v>
      </c>
    </row>
    <row r="689" spans="1:17" x14ac:dyDescent="0.3">
      <c r="A689" t="s">
        <v>2126</v>
      </c>
      <c r="B689" t="s">
        <v>2127</v>
      </c>
      <c r="C689" t="s">
        <v>1641</v>
      </c>
      <c r="D689" t="s">
        <v>1050</v>
      </c>
      <c r="E689" t="s">
        <v>16</v>
      </c>
      <c r="F689" t="s">
        <v>26</v>
      </c>
      <c r="G689" t="s">
        <v>166</v>
      </c>
      <c r="H689">
        <v>7</v>
      </c>
      <c r="I689">
        <v>315.27</v>
      </c>
      <c r="J689" t="s">
        <v>42</v>
      </c>
      <c r="K689" t="s">
        <v>43</v>
      </c>
      <c r="L689">
        <f t="shared" si="10"/>
        <v>2206.89</v>
      </c>
    </row>
    <row r="690" spans="1:17" x14ac:dyDescent="0.3">
      <c r="A690" t="s">
        <v>2128</v>
      </c>
      <c r="B690" t="s">
        <v>22</v>
      </c>
      <c r="C690" t="s">
        <v>1369</v>
      </c>
      <c r="D690" t="s">
        <v>2129</v>
      </c>
      <c r="E690" t="s">
        <v>25</v>
      </c>
      <c r="F690" t="s">
        <v>48</v>
      </c>
      <c r="G690" t="s">
        <v>57</v>
      </c>
      <c r="H690">
        <v>4</v>
      </c>
      <c r="I690">
        <v>83.39</v>
      </c>
      <c r="J690" t="s">
        <v>50</v>
      </c>
      <c r="K690" t="s">
        <v>20</v>
      </c>
      <c r="L690">
        <f t="shared" si="10"/>
        <v>333.56</v>
      </c>
    </row>
    <row r="691" spans="1:17" x14ac:dyDescent="0.3">
      <c r="A691" t="s">
        <v>2130</v>
      </c>
      <c r="B691" t="s">
        <v>1110</v>
      </c>
      <c r="C691" t="s">
        <v>2131</v>
      </c>
      <c r="D691" t="s">
        <v>1688</v>
      </c>
      <c r="E691" t="s">
        <v>128</v>
      </c>
      <c r="F691" t="s">
        <v>26</v>
      </c>
      <c r="G691" t="s">
        <v>296</v>
      </c>
      <c r="H691">
        <v>9</v>
      </c>
      <c r="I691">
        <v>1043.33</v>
      </c>
      <c r="J691" t="s">
        <v>19</v>
      </c>
      <c r="K691" t="s">
        <v>29</v>
      </c>
      <c r="L691">
        <f t="shared" si="10"/>
        <v>9389.9699999999993</v>
      </c>
    </row>
    <row r="692" spans="1:17" x14ac:dyDescent="0.3">
      <c r="A692" t="s">
        <v>2132</v>
      </c>
      <c r="B692" t="s">
        <v>2049</v>
      </c>
      <c r="C692" t="s">
        <v>280</v>
      </c>
      <c r="D692" t="s">
        <v>2133</v>
      </c>
      <c r="E692" t="s">
        <v>16</v>
      </c>
      <c r="F692" t="s">
        <v>77</v>
      </c>
      <c r="G692" t="s">
        <v>171</v>
      </c>
      <c r="H692">
        <v>4</v>
      </c>
      <c r="I692">
        <v>1464.23</v>
      </c>
      <c r="J692" t="s">
        <v>19</v>
      </c>
      <c r="K692" t="s">
        <v>51</v>
      </c>
      <c r="L692">
        <f t="shared" si="10"/>
        <v>5856.92</v>
      </c>
    </row>
    <row r="693" spans="1:17" x14ac:dyDescent="0.3">
      <c r="A693" t="s">
        <v>2134</v>
      </c>
      <c r="B693" t="s">
        <v>756</v>
      </c>
      <c r="C693" t="s">
        <v>2135</v>
      </c>
      <c r="D693" t="s">
        <v>2136</v>
      </c>
      <c r="E693" t="s">
        <v>25</v>
      </c>
      <c r="F693" t="s">
        <v>26</v>
      </c>
      <c r="G693" t="s">
        <v>296</v>
      </c>
      <c r="H693">
        <v>9</v>
      </c>
      <c r="I693">
        <v>4911.74</v>
      </c>
      <c r="J693" t="s">
        <v>50</v>
      </c>
      <c r="K693" t="s">
        <v>20</v>
      </c>
      <c r="L693">
        <f t="shared" si="10"/>
        <v>44205.659999999996</v>
      </c>
    </row>
    <row r="694" spans="1:17" x14ac:dyDescent="0.3">
      <c r="A694" t="s">
        <v>2137</v>
      </c>
      <c r="B694" t="s">
        <v>267</v>
      </c>
      <c r="C694" t="s">
        <v>1244</v>
      </c>
      <c r="D694" t="s">
        <v>1034</v>
      </c>
      <c r="E694" t="s">
        <v>16</v>
      </c>
      <c r="F694" t="s">
        <v>48</v>
      </c>
      <c r="G694" t="s">
        <v>179</v>
      </c>
      <c r="H694">
        <v>8</v>
      </c>
      <c r="I694">
        <v>1115.46</v>
      </c>
      <c r="J694" t="s">
        <v>42</v>
      </c>
      <c r="K694" t="s">
        <v>51</v>
      </c>
      <c r="L694">
        <f t="shared" si="10"/>
        <v>8923.68</v>
      </c>
    </row>
    <row r="695" spans="1:17" x14ac:dyDescent="0.3">
      <c r="A695" t="s">
        <v>2138</v>
      </c>
      <c r="B695" t="s">
        <v>1587</v>
      </c>
      <c r="C695" t="s">
        <v>288</v>
      </c>
      <c r="D695" t="s">
        <v>1145</v>
      </c>
      <c r="E695" t="s">
        <v>62</v>
      </c>
      <c r="F695" t="s">
        <v>48</v>
      </c>
      <c r="G695" t="s">
        <v>57</v>
      </c>
      <c r="H695">
        <v>2</v>
      </c>
      <c r="I695">
        <v>278.32</v>
      </c>
      <c r="J695" t="s">
        <v>50</v>
      </c>
      <c r="K695" t="s">
        <v>36</v>
      </c>
      <c r="L695">
        <f t="shared" si="10"/>
        <v>556.64</v>
      </c>
    </row>
    <row r="696" spans="1:17" x14ac:dyDescent="0.3">
      <c r="A696" t="s">
        <v>2139</v>
      </c>
      <c r="B696" t="s">
        <v>974</v>
      </c>
      <c r="C696" t="s">
        <v>2140</v>
      </c>
      <c r="D696" t="s">
        <v>2141</v>
      </c>
      <c r="E696" t="s">
        <v>56</v>
      </c>
      <c r="F696" t="s">
        <v>26</v>
      </c>
      <c r="G696" t="s">
        <v>27</v>
      </c>
      <c r="H696">
        <v>9</v>
      </c>
      <c r="I696">
        <v>3636.99</v>
      </c>
      <c r="J696" t="s">
        <v>50</v>
      </c>
      <c r="K696" t="s">
        <v>29</v>
      </c>
      <c r="L696">
        <f t="shared" si="10"/>
        <v>32732.909999999996</v>
      </c>
    </row>
    <row r="697" spans="1:17" x14ac:dyDescent="0.3">
      <c r="A697" t="s">
        <v>2142</v>
      </c>
      <c r="B697" t="s">
        <v>509</v>
      </c>
      <c r="C697" t="s">
        <v>1891</v>
      </c>
      <c r="D697" t="s">
        <v>1651</v>
      </c>
      <c r="E697" t="s">
        <v>104</v>
      </c>
      <c r="F697" t="s">
        <v>17</v>
      </c>
      <c r="G697" t="s">
        <v>41</v>
      </c>
      <c r="H697">
        <v>3</v>
      </c>
      <c r="I697">
        <v>3801.49</v>
      </c>
      <c r="J697" t="s">
        <v>28</v>
      </c>
      <c r="K697" t="s">
        <v>83</v>
      </c>
      <c r="L697">
        <f t="shared" si="10"/>
        <v>11404.47</v>
      </c>
    </row>
    <row r="698" spans="1:17" x14ac:dyDescent="0.3">
      <c r="A698" t="s">
        <v>2143</v>
      </c>
      <c r="B698" t="s">
        <v>2144</v>
      </c>
      <c r="C698" t="s">
        <v>2145</v>
      </c>
      <c r="D698" t="s">
        <v>2146</v>
      </c>
      <c r="E698" t="s">
        <v>25</v>
      </c>
      <c r="F698" t="s">
        <v>77</v>
      </c>
      <c r="G698" t="s">
        <v>123</v>
      </c>
      <c r="H698">
        <v>10</v>
      </c>
      <c r="I698">
        <v>1810.63</v>
      </c>
      <c r="J698" t="s">
        <v>28</v>
      </c>
      <c r="K698" t="s">
        <v>43</v>
      </c>
      <c r="L698">
        <f t="shared" si="10"/>
        <v>18106.300000000003</v>
      </c>
      <c r="Q698">
        <v>10012</v>
      </c>
    </row>
    <row r="699" spans="1:17" x14ac:dyDescent="0.3">
      <c r="A699" t="s">
        <v>2147</v>
      </c>
      <c r="B699" t="s">
        <v>1350</v>
      </c>
      <c r="C699" t="s">
        <v>1076</v>
      </c>
      <c r="D699" t="s">
        <v>1453</v>
      </c>
      <c r="E699" t="s">
        <v>34</v>
      </c>
      <c r="F699" t="s">
        <v>48</v>
      </c>
      <c r="G699" t="s">
        <v>49</v>
      </c>
      <c r="H699">
        <v>2</v>
      </c>
      <c r="I699">
        <v>450.82</v>
      </c>
      <c r="J699" t="s">
        <v>42</v>
      </c>
      <c r="K699" t="s">
        <v>36</v>
      </c>
      <c r="L699">
        <f t="shared" si="10"/>
        <v>901.64</v>
      </c>
    </row>
    <row r="700" spans="1:17" x14ac:dyDescent="0.3">
      <c r="A700" t="s">
        <v>2148</v>
      </c>
      <c r="B700" t="s">
        <v>1362</v>
      </c>
      <c r="C700" t="s">
        <v>2149</v>
      </c>
      <c r="D700" t="s">
        <v>1719</v>
      </c>
      <c r="E700" t="s">
        <v>34</v>
      </c>
      <c r="F700" t="s">
        <v>17</v>
      </c>
      <c r="G700" t="s">
        <v>188</v>
      </c>
      <c r="H700">
        <v>5</v>
      </c>
      <c r="I700">
        <v>2436.34</v>
      </c>
      <c r="J700" t="s">
        <v>50</v>
      </c>
      <c r="K700" t="s">
        <v>51</v>
      </c>
      <c r="L700">
        <f t="shared" si="10"/>
        <v>12181.7</v>
      </c>
    </row>
    <row r="701" spans="1:17" x14ac:dyDescent="0.3">
      <c r="A701" t="s">
        <v>2150</v>
      </c>
      <c r="B701" t="s">
        <v>2151</v>
      </c>
      <c r="C701" t="s">
        <v>2152</v>
      </c>
      <c r="D701" t="s">
        <v>2153</v>
      </c>
      <c r="E701" t="s">
        <v>34</v>
      </c>
      <c r="F701" t="s">
        <v>48</v>
      </c>
      <c r="G701" t="s">
        <v>110</v>
      </c>
      <c r="H701">
        <v>3</v>
      </c>
      <c r="I701">
        <v>358.73</v>
      </c>
      <c r="J701" t="s">
        <v>42</v>
      </c>
      <c r="K701" t="s">
        <v>29</v>
      </c>
      <c r="L701">
        <f t="shared" si="10"/>
        <v>1076.19</v>
      </c>
    </row>
    <row r="702" spans="1:17" x14ac:dyDescent="0.3">
      <c r="A702" t="s">
        <v>2154</v>
      </c>
      <c r="B702" t="s">
        <v>2155</v>
      </c>
      <c r="C702" t="s">
        <v>1917</v>
      </c>
      <c r="D702" t="s">
        <v>1371</v>
      </c>
      <c r="E702" t="s">
        <v>95</v>
      </c>
      <c r="F702" t="s">
        <v>26</v>
      </c>
      <c r="G702" t="s">
        <v>115</v>
      </c>
      <c r="H702">
        <v>1</v>
      </c>
      <c r="I702">
        <v>2634.87</v>
      </c>
      <c r="J702" t="s">
        <v>19</v>
      </c>
      <c r="K702" t="s">
        <v>43</v>
      </c>
      <c r="L702">
        <f t="shared" si="10"/>
        <v>2634.87</v>
      </c>
    </row>
    <row r="703" spans="1:17" x14ac:dyDescent="0.3">
      <c r="A703" t="s">
        <v>2156</v>
      </c>
      <c r="B703" t="s">
        <v>579</v>
      </c>
      <c r="C703" t="s">
        <v>292</v>
      </c>
      <c r="D703" t="s">
        <v>447</v>
      </c>
      <c r="E703" t="s">
        <v>62</v>
      </c>
      <c r="F703" t="s">
        <v>48</v>
      </c>
      <c r="G703" t="s">
        <v>63</v>
      </c>
      <c r="H703">
        <v>7</v>
      </c>
      <c r="I703">
        <v>252.82</v>
      </c>
      <c r="J703" t="s">
        <v>28</v>
      </c>
      <c r="K703" t="s">
        <v>29</v>
      </c>
      <c r="L703">
        <f t="shared" si="10"/>
        <v>1769.74</v>
      </c>
    </row>
    <row r="704" spans="1:17" x14ac:dyDescent="0.3">
      <c r="A704" t="s">
        <v>2157</v>
      </c>
      <c r="B704" t="s">
        <v>756</v>
      </c>
      <c r="C704" t="s">
        <v>2158</v>
      </c>
      <c r="D704" t="s">
        <v>2159</v>
      </c>
      <c r="E704" t="s">
        <v>62</v>
      </c>
      <c r="F704" t="s">
        <v>26</v>
      </c>
      <c r="G704" t="s">
        <v>27</v>
      </c>
      <c r="H704">
        <v>7</v>
      </c>
      <c r="I704">
        <v>2502.09</v>
      </c>
      <c r="J704" t="s">
        <v>19</v>
      </c>
      <c r="K704" t="s">
        <v>51</v>
      </c>
      <c r="L704">
        <f t="shared" si="10"/>
        <v>17514.63</v>
      </c>
    </row>
    <row r="705" spans="1:12" x14ac:dyDescent="0.3">
      <c r="A705" t="s">
        <v>2160</v>
      </c>
      <c r="B705" t="s">
        <v>1775</v>
      </c>
      <c r="C705" t="s">
        <v>1132</v>
      </c>
      <c r="D705" t="s">
        <v>103</v>
      </c>
      <c r="E705" t="s">
        <v>56</v>
      </c>
      <c r="F705" t="s">
        <v>48</v>
      </c>
      <c r="G705" t="s">
        <v>49</v>
      </c>
      <c r="H705">
        <v>3</v>
      </c>
      <c r="I705">
        <v>2955.64</v>
      </c>
      <c r="J705" t="s">
        <v>50</v>
      </c>
      <c r="K705" t="s">
        <v>20</v>
      </c>
      <c r="L705">
        <f t="shared" si="10"/>
        <v>8866.92</v>
      </c>
    </row>
    <row r="706" spans="1:12" x14ac:dyDescent="0.3">
      <c r="A706" t="s">
        <v>2161</v>
      </c>
      <c r="B706" t="s">
        <v>914</v>
      </c>
      <c r="C706" t="s">
        <v>866</v>
      </c>
      <c r="D706" t="s">
        <v>2162</v>
      </c>
      <c r="E706" t="s">
        <v>34</v>
      </c>
      <c r="F706" t="s">
        <v>77</v>
      </c>
      <c r="G706" t="s">
        <v>78</v>
      </c>
      <c r="H706">
        <v>5</v>
      </c>
      <c r="I706">
        <v>91.49</v>
      </c>
      <c r="J706" t="s">
        <v>50</v>
      </c>
      <c r="K706" t="s">
        <v>29</v>
      </c>
      <c r="L706">
        <f t="shared" si="10"/>
        <v>457.45</v>
      </c>
    </row>
    <row r="707" spans="1:12" x14ac:dyDescent="0.3">
      <c r="A707" t="s">
        <v>2163</v>
      </c>
      <c r="B707" t="s">
        <v>911</v>
      </c>
      <c r="C707" t="s">
        <v>2164</v>
      </c>
      <c r="D707" t="s">
        <v>2165</v>
      </c>
      <c r="E707" t="s">
        <v>16</v>
      </c>
      <c r="F707" t="s">
        <v>77</v>
      </c>
      <c r="G707" t="s">
        <v>123</v>
      </c>
      <c r="H707">
        <v>4</v>
      </c>
      <c r="I707">
        <v>3019.98</v>
      </c>
      <c r="J707" t="s">
        <v>50</v>
      </c>
      <c r="K707" t="s">
        <v>20</v>
      </c>
      <c r="L707">
        <f t="shared" ref="L707:L770" si="11">H707*I707</f>
        <v>12079.92</v>
      </c>
    </row>
    <row r="708" spans="1:12" x14ac:dyDescent="0.3">
      <c r="A708" t="s">
        <v>2166</v>
      </c>
      <c r="B708" t="s">
        <v>2167</v>
      </c>
      <c r="C708" t="s">
        <v>2168</v>
      </c>
      <c r="D708" t="s">
        <v>285</v>
      </c>
      <c r="E708" t="s">
        <v>62</v>
      </c>
      <c r="F708" t="s">
        <v>48</v>
      </c>
      <c r="G708" t="s">
        <v>110</v>
      </c>
      <c r="H708">
        <v>1</v>
      </c>
      <c r="I708">
        <v>4189.9399999999996</v>
      </c>
      <c r="J708" t="s">
        <v>19</v>
      </c>
      <c r="K708" t="s">
        <v>51</v>
      </c>
      <c r="L708">
        <f t="shared" si="11"/>
        <v>4189.9399999999996</v>
      </c>
    </row>
    <row r="709" spans="1:12" x14ac:dyDescent="0.3">
      <c r="A709" t="s">
        <v>2169</v>
      </c>
      <c r="B709" t="s">
        <v>2049</v>
      </c>
      <c r="C709" t="s">
        <v>2170</v>
      </c>
      <c r="D709" t="s">
        <v>821</v>
      </c>
      <c r="E709" t="s">
        <v>16</v>
      </c>
      <c r="F709" t="s">
        <v>77</v>
      </c>
      <c r="G709" t="s">
        <v>123</v>
      </c>
      <c r="H709">
        <v>7</v>
      </c>
      <c r="I709">
        <v>4673.88</v>
      </c>
      <c r="J709" t="s">
        <v>28</v>
      </c>
      <c r="K709" t="s">
        <v>36</v>
      </c>
      <c r="L709">
        <f t="shared" si="11"/>
        <v>32717.16</v>
      </c>
    </row>
    <row r="710" spans="1:12" x14ac:dyDescent="0.3">
      <c r="A710" t="s">
        <v>2171</v>
      </c>
      <c r="B710" t="s">
        <v>377</v>
      </c>
      <c r="C710" t="s">
        <v>2172</v>
      </c>
      <c r="D710" t="s">
        <v>2173</v>
      </c>
      <c r="E710" t="s">
        <v>104</v>
      </c>
      <c r="F710" t="s">
        <v>26</v>
      </c>
      <c r="G710" t="s">
        <v>208</v>
      </c>
      <c r="H710">
        <v>9</v>
      </c>
      <c r="I710">
        <v>3265.69</v>
      </c>
      <c r="J710" t="s">
        <v>50</v>
      </c>
      <c r="K710" t="s">
        <v>83</v>
      </c>
      <c r="L710">
        <f t="shared" si="11"/>
        <v>29391.21</v>
      </c>
    </row>
    <row r="711" spans="1:12" x14ac:dyDescent="0.3">
      <c r="A711" t="s">
        <v>2174</v>
      </c>
      <c r="B711" t="s">
        <v>324</v>
      </c>
      <c r="C711" t="s">
        <v>121</v>
      </c>
      <c r="D711" t="s">
        <v>2175</v>
      </c>
      <c r="E711" t="s">
        <v>56</v>
      </c>
      <c r="F711" t="s">
        <v>26</v>
      </c>
      <c r="G711" t="s">
        <v>115</v>
      </c>
      <c r="H711">
        <v>5</v>
      </c>
      <c r="I711">
        <v>4882.41</v>
      </c>
      <c r="J711" t="s">
        <v>19</v>
      </c>
      <c r="K711" t="s">
        <v>29</v>
      </c>
      <c r="L711">
        <f t="shared" si="11"/>
        <v>24412.05</v>
      </c>
    </row>
    <row r="712" spans="1:12" x14ac:dyDescent="0.3">
      <c r="A712" t="s">
        <v>2176</v>
      </c>
      <c r="B712" t="s">
        <v>2177</v>
      </c>
      <c r="C712" t="s">
        <v>2178</v>
      </c>
      <c r="D712" t="s">
        <v>1137</v>
      </c>
      <c r="E712" t="s">
        <v>56</v>
      </c>
      <c r="F712" t="s">
        <v>48</v>
      </c>
      <c r="G712" t="s">
        <v>110</v>
      </c>
      <c r="H712">
        <v>10</v>
      </c>
      <c r="I712">
        <v>3010.19</v>
      </c>
      <c r="J712" t="s">
        <v>50</v>
      </c>
      <c r="K712" t="s">
        <v>51</v>
      </c>
      <c r="L712">
        <f t="shared" si="11"/>
        <v>30101.9</v>
      </c>
    </row>
    <row r="713" spans="1:12" x14ac:dyDescent="0.3">
      <c r="A713" t="s">
        <v>2179</v>
      </c>
      <c r="B713" t="s">
        <v>1234</v>
      </c>
      <c r="C713" t="s">
        <v>2180</v>
      </c>
      <c r="D713" t="s">
        <v>2181</v>
      </c>
      <c r="E713" t="s">
        <v>128</v>
      </c>
      <c r="F713" t="s">
        <v>48</v>
      </c>
      <c r="G713" t="s">
        <v>63</v>
      </c>
      <c r="H713">
        <v>2</v>
      </c>
      <c r="I713">
        <v>2842.23</v>
      </c>
      <c r="J713" t="s">
        <v>28</v>
      </c>
      <c r="K713" t="s">
        <v>83</v>
      </c>
      <c r="L713">
        <f t="shared" si="11"/>
        <v>5684.46</v>
      </c>
    </row>
    <row r="714" spans="1:12" x14ac:dyDescent="0.3">
      <c r="A714" t="s">
        <v>2182</v>
      </c>
      <c r="B714" t="s">
        <v>389</v>
      </c>
      <c r="C714" t="s">
        <v>2183</v>
      </c>
      <c r="D714" t="s">
        <v>2184</v>
      </c>
      <c r="E714" t="s">
        <v>16</v>
      </c>
      <c r="F714" t="s">
        <v>17</v>
      </c>
      <c r="G714" t="s">
        <v>41</v>
      </c>
      <c r="H714">
        <v>4</v>
      </c>
      <c r="I714">
        <v>4209.71</v>
      </c>
      <c r="J714" t="s">
        <v>42</v>
      </c>
      <c r="K714" t="s">
        <v>29</v>
      </c>
      <c r="L714">
        <f t="shared" si="11"/>
        <v>16838.84</v>
      </c>
    </row>
    <row r="715" spans="1:12" x14ac:dyDescent="0.3">
      <c r="A715" t="s">
        <v>2185</v>
      </c>
      <c r="B715" t="s">
        <v>1660</v>
      </c>
      <c r="C715" t="s">
        <v>1630</v>
      </c>
      <c r="D715" t="s">
        <v>139</v>
      </c>
      <c r="E715" t="s">
        <v>104</v>
      </c>
      <c r="F715" t="s">
        <v>17</v>
      </c>
      <c r="G715" t="s">
        <v>188</v>
      </c>
      <c r="H715">
        <v>6</v>
      </c>
      <c r="I715">
        <v>4423.3</v>
      </c>
      <c r="J715" t="s">
        <v>28</v>
      </c>
      <c r="K715" t="s">
        <v>83</v>
      </c>
      <c r="L715">
        <f t="shared" si="11"/>
        <v>26539.800000000003</v>
      </c>
    </row>
    <row r="716" spans="1:12" x14ac:dyDescent="0.3">
      <c r="A716" t="s">
        <v>2186</v>
      </c>
      <c r="B716" t="s">
        <v>1070</v>
      </c>
      <c r="C716" t="s">
        <v>2187</v>
      </c>
      <c r="D716" t="s">
        <v>149</v>
      </c>
      <c r="E716" t="s">
        <v>62</v>
      </c>
      <c r="F716" t="s">
        <v>48</v>
      </c>
      <c r="G716" t="s">
        <v>63</v>
      </c>
      <c r="H716">
        <v>1</v>
      </c>
      <c r="I716">
        <v>2504.91</v>
      </c>
      <c r="J716" t="s">
        <v>50</v>
      </c>
      <c r="K716" t="s">
        <v>20</v>
      </c>
      <c r="L716">
        <f t="shared" si="11"/>
        <v>2504.91</v>
      </c>
    </row>
    <row r="717" spans="1:12" x14ac:dyDescent="0.3">
      <c r="A717" t="s">
        <v>2188</v>
      </c>
      <c r="B717" t="s">
        <v>1179</v>
      </c>
      <c r="C717" t="s">
        <v>620</v>
      </c>
      <c r="D717" t="s">
        <v>2189</v>
      </c>
      <c r="E717" t="s">
        <v>95</v>
      </c>
      <c r="F717" t="s">
        <v>77</v>
      </c>
      <c r="G717" t="s">
        <v>265</v>
      </c>
      <c r="H717">
        <v>5</v>
      </c>
      <c r="I717">
        <v>2000.14</v>
      </c>
      <c r="J717" t="s">
        <v>19</v>
      </c>
      <c r="K717" t="s">
        <v>20</v>
      </c>
      <c r="L717">
        <f t="shared" si="11"/>
        <v>10000.700000000001</v>
      </c>
    </row>
    <row r="718" spans="1:12" x14ac:dyDescent="0.3">
      <c r="A718" t="s">
        <v>2190</v>
      </c>
      <c r="B718" t="s">
        <v>1237</v>
      </c>
      <c r="C718" t="s">
        <v>1502</v>
      </c>
      <c r="D718" t="s">
        <v>1809</v>
      </c>
      <c r="E718" t="s">
        <v>95</v>
      </c>
      <c r="F718" t="s">
        <v>26</v>
      </c>
      <c r="G718" t="s">
        <v>166</v>
      </c>
      <c r="H718">
        <v>8</v>
      </c>
      <c r="I718">
        <v>1910.14</v>
      </c>
      <c r="J718" t="s">
        <v>42</v>
      </c>
      <c r="K718" t="s">
        <v>29</v>
      </c>
      <c r="L718">
        <f t="shared" si="11"/>
        <v>15281.12</v>
      </c>
    </row>
    <row r="719" spans="1:12" x14ac:dyDescent="0.3">
      <c r="A719" t="s">
        <v>2191</v>
      </c>
      <c r="B719" t="s">
        <v>117</v>
      </c>
      <c r="C719" t="s">
        <v>769</v>
      </c>
      <c r="D719" t="s">
        <v>2192</v>
      </c>
      <c r="E719" t="s">
        <v>34</v>
      </c>
      <c r="F719" t="s">
        <v>26</v>
      </c>
      <c r="G719" t="s">
        <v>208</v>
      </c>
      <c r="H719">
        <v>9</v>
      </c>
      <c r="I719">
        <v>4745.17</v>
      </c>
      <c r="J719" t="s">
        <v>50</v>
      </c>
      <c r="K719" t="s">
        <v>20</v>
      </c>
      <c r="L719">
        <f t="shared" si="11"/>
        <v>42706.53</v>
      </c>
    </row>
    <row r="720" spans="1:12" x14ac:dyDescent="0.3">
      <c r="A720" t="s">
        <v>2193</v>
      </c>
      <c r="B720" t="s">
        <v>1878</v>
      </c>
      <c r="C720" t="s">
        <v>2194</v>
      </c>
      <c r="D720" t="s">
        <v>2195</v>
      </c>
      <c r="E720" t="s">
        <v>25</v>
      </c>
      <c r="F720" t="s">
        <v>17</v>
      </c>
      <c r="G720" t="s">
        <v>18</v>
      </c>
      <c r="H720">
        <v>10</v>
      </c>
      <c r="I720">
        <v>1810.14</v>
      </c>
      <c r="J720" t="s">
        <v>19</v>
      </c>
      <c r="K720" t="s">
        <v>83</v>
      </c>
      <c r="L720">
        <f t="shared" si="11"/>
        <v>18101.400000000001</v>
      </c>
    </row>
    <row r="721" spans="1:12" x14ac:dyDescent="0.3">
      <c r="A721" t="s">
        <v>2196</v>
      </c>
      <c r="B721" t="s">
        <v>2197</v>
      </c>
      <c r="C721" t="s">
        <v>798</v>
      </c>
      <c r="D721" t="s">
        <v>368</v>
      </c>
      <c r="E721" t="s">
        <v>56</v>
      </c>
      <c r="F721" t="s">
        <v>48</v>
      </c>
      <c r="G721" t="s">
        <v>179</v>
      </c>
      <c r="H721">
        <v>8</v>
      </c>
      <c r="I721">
        <v>1003.76</v>
      </c>
      <c r="J721" t="s">
        <v>42</v>
      </c>
      <c r="K721" t="s">
        <v>43</v>
      </c>
      <c r="L721">
        <f t="shared" si="11"/>
        <v>8030.08</v>
      </c>
    </row>
    <row r="722" spans="1:12" x14ac:dyDescent="0.3">
      <c r="A722" t="s">
        <v>2198</v>
      </c>
      <c r="B722" t="s">
        <v>457</v>
      </c>
      <c r="C722" t="s">
        <v>640</v>
      </c>
      <c r="D722" t="s">
        <v>2199</v>
      </c>
      <c r="E722" t="s">
        <v>62</v>
      </c>
      <c r="F722" t="s">
        <v>17</v>
      </c>
      <c r="G722" t="s">
        <v>18</v>
      </c>
      <c r="H722">
        <v>1</v>
      </c>
      <c r="I722">
        <v>3254.3</v>
      </c>
      <c r="J722" t="s">
        <v>28</v>
      </c>
      <c r="K722" t="s">
        <v>36</v>
      </c>
      <c r="L722">
        <f t="shared" si="11"/>
        <v>3254.3</v>
      </c>
    </row>
    <row r="723" spans="1:12" x14ac:dyDescent="0.3">
      <c r="A723" t="s">
        <v>2200</v>
      </c>
      <c r="B723" t="s">
        <v>393</v>
      </c>
      <c r="C723" t="s">
        <v>1455</v>
      </c>
      <c r="D723" t="s">
        <v>2201</v>
      </c>
      <c r="E723" t="s">
        <v>62</v>
      </c>
      <c r="F723" t="s">
        <v>48</v>
      </c>
      <c r="G723" t="s">
        <v>179</v>
      </c>
      <c r="H723">
        <v>9</v>
      </c>
      <c r="I723">
        <v>1856.78</v>
      </c>
      <c r="J723" t="s">
        <v>42</v>
      </c>
      <c r="K723" t="s">
        <v>29</v>
      </c>
      <c r="L723">
        <f t="shared" si="11"/>
        <v>16711.02</v>
      </c>
    </row>
    <row r="724" spans="1:12" x14ac:dyDescent="0.3">
      <c r="A724" t="s">
        <v>2202</v>
      </c>
      <c r="B724" t="s">
        <v>89</v>
      </c>
      <c r="C724" t="s">
        <v>1708</v>
      </c>
      <c r="D724" t="s">
        <v>2203</v>
      </c>
      <c r="E724" t="s">
        <v>16</v>
      </c>
      <c r="F724" t="s">
        <v>48</v>
      </c>
      <c r="G724" t="s">
        <v>63</v>
      </c>
      <c r="H724">
        <v>10</v>
      </c>
      <c r="I724">
        <v>3585.51</v>
      </c>
      <c r="J724" t="s">
        <v>19</v>
      </c>
      <c r="K724" t="s">
        <v>36</v>
      </c>
      <c r="L724">
        <f t="shared" si="11"/>
        <v>35855.100000000006</v>
      </c>
    </row>
    <row r="725" spans="1:12" x14ac:dyDescent="0.3">
      <c r="A725" t="s">
        <v>2204</v>
      </c>
      <c r="B725" t="s">
        <v>1212</v>
      </c>
      <c r="C725" t="s">
        <v>527</v>
      </c>
      <c r="D725" t="s">
        <v>2205</v>
      </c>
      <c r="E725" t="s">
        <v>104</v>
      </c>
      <c r="F725" t="s">
        <v>48</v>
      </c>
      <c r="G725" t="s">
        <v>110</v>
      </c>
      <c r="H725">
        <v>9</v>
      </c>
      <c r="I725">
        <v>2279.5700000000002</v>
      </c>
      <c r="J725" t="s">
        <v>42</v>
      </c>
      <c r="K725" t="s">
        <v>36</v>
      </c>
      <c r="L725">
        <f t="shared" si="11"/>
        <v>20516.13</v>
      </c>
    </row>
    <row r="726" spans="1:12" x14ac:dyDescent="0.3">
      <c r="A726" t="s">
        <v>2206</v>
      </c>
      <c r="B726" t="s">
        <v>2207</v>
      </c>
      <c r="C726" t="s">
        <v>1764</v>
      </c>
      <c r="D726" t="s">
        <v>2208</v>
      </c>
      <c r="E726" t="s">
        <v>34</v>
      </c>
      <c r="F726" t="s">
        <v>17</v>
      </c>
      <c r="G726" t="s">
        <v>18</v>
      </c>
      <c r="H726">
        <v>1</v>
      </c>
      <c r="I726">
        <v>3102.21</v>
      </c>
      <c r="J726" t="s">
        <v>28</v>
      </c>
      <c r="K726" t="s">
        <v>51</v>
      </c>
      <c r="L726">
        <f t="shared" si="11"/>
        <v>3102.21</v>
      </c>
    </row>
    <row r="727" spans="1:12" x14ac:dyDescent="0.3">
      <c r="A727" t="s">
        <v>2209</v>
      </c>
      <c r="B727" t="s">
        <v>2210</v>
      </c>
      <c r="C727" t="s">
        <v>975</v>
      </c>
      <c r="D727" t="s">
        <v>1245</v>
      </c>
      <c r="E727" t="s">
        <v>95</v>
      </c>
      <c r="F727" t="s">
        <v>48</v>
      </c>
      <c r="G727" t="s">
        <v>49</v>
      </c>
      <c r="H727">
        <v>2</v>
      </c>
      <c r="I727">
        <v>2087.62</v>
      </c>
      <c r="J727" t="s">
        <v>50</v>
      </c>
      <c r="K727" t="s">
        <v>83</v>
      </c>
      <c r="L727">
        <f t="shared" si="11"/>
        <v>4175.24</v>
      </c>
    </row>
    <row r="728" spans="1:12" x14ac:dyDescent="0.3">
      <c r="A728" t="s">
        <v>2211</v>
      </c>
      <c r="B728" t="s">
        <v>2212</v>
      </c>
      <c r="C728" t="s">
        <v>1531</v>
      </c>
      <c r="D728" t="s">
        <v>475</v>
      </c>
      <c r="E728" t="s">
        <v>56</v>
      </c>
      <c r="F728" t="s">
        <v>17</v>
      </c>
      <c r="G728" t="s">
        <v>41</v>
      </c>
      <c r="H728">
        <v>2</v>
      </c>
      <c r="I728">
        <v>1539.74</v>
      </c>
      <c r="J728" t="s">
        <v>28</v>
      </c>
      <c r="K728" t="s">
        <v>43</v>
      </c>
      <c r="L728">
        <f t="shared" si="11"/>
        <v>3079.48</v>
      </c>
    </row>
    <row r="729" spans="1:12" x14ac:dyDescent="0.3">
      <c r="A729" t="s">
        <v>2213</v>
      </c>
      <c r="B729" t="s">
        <v>2207</v>
      </c>
      <c r="C729" t="s">
        <v>360</v>
      </c>
      <c r="D729" t="s">
        <v>2214</v>
      </c>
      <c r="E729" t="s">
        <v>34</v>
      </c>
      <c r="F729" t="s">
        <v>48</v>
      </c>
      <c r="G729" t="s">
        <v>57</v>
      </c>
      <c r="H729">
        <v>4</v>
      </c>
      <c r="I729">
        <v>2781.67</v>
      </c>
      <c r="J729" t="s">
        <v>42</v>
      </c>
      <c r="K729" t="s">
        <v>51</v>
      </c>
      <c r="L729">
        <f t="shared" si="11"/>
        <v>11126.68</v>
      </c>
    </row>
    <row r="730" spans="1:12" x14ac:dyDescent="0.3">
      <c r="A730" t="s">
        <v>2215</v>
      </c>
      <c r="B730" t="s">
        <v>2216</v>
      </c>
      <c r="C730" t="s">
        <v>2217</v>
      </c>
      <c r="D730" t="s">
        <v>2218</v>
      </c>
      <c r="E730" t="s">
        <v>62</v>
      </c>
      <c r="F730" t="s">
        <v>77</v>
      </c>
      <c r="G730" t="s">
        <v>105</v>
      </c>
      <c r="H730">
        <v>2</v>
      </c>
      <c r="I730">
        <v>495.99</v>
      </c>
      <c r="J730" t="s">
        <v>42</v>
      </c>
      <c r="K730" t="s">
        <v>83</v>
      </c>
      <c r="L730">
        <f t="shared" si="11"/>
        <v>991.98</v>
      </c>
    </row>
    <row r="731" spans="1:12" x14ac:dyDescent="0.3">
      <c r="A731" t="s">
        <v>2219</v>
      </c>
      <c r="B731" t="s">
        <v>2220</v>
      </c>
      <c r="C731" t="s">
        <v>704</v>
      </c>
      <c r="D731" t="s">
        <v>1017</v>
      </c>
      <c r="E731" t="s">
        <v>95</v>
      </c>
      <c r="F731" t="s">
        <v>77</v>
      </c>
      <c r="G731" t="s">
        <v>265</v>
      </c>
      <c r="H731">
        <v>6</v>
      </c>
      <c r="I731">
        <v>721.83</v>
      </c>
      <c r="J731" t="s">
        <v>19</v>
      </c>
      <c r="K731" t="s">
        <v>83</v>
      </c>
      <c r="L731">
        <f t="shared" si="11"/>
        <v>4330.9800000000005</v>
      </c>
    </row>
    <row r="732" spans="1:12" x14ac:dyDescent="0.3">
      <c r="A732" t="s">
        <v>2221</v>
      </c>
      <c r="B732" t="s">
        <v>1717</v>
      </c>
      <c r="C732" t="s">
        <v>620</v>
      </c>
      <c r="D732" t="s">
        <v>963</v>
      </c>
      <c r="E732" t="s">
        <v>56</v>
      </c>
      <c r="F732" t="s">
        <v>48</v>
      </c>
      <c r="G732" t="s">
        <v>49</v>
      </c>
      <c r="H732">
        <v>3</v>
      </c>
      <c r="I732">
        <v>1872.05</v>
      </c>
      <c r="J732" t="s">
        <v>42</v>
      </c>
      <c r="K732" t="s">
        <v>36</v>
      </c>
      <c r="L732">
        <f t="shared" si="11"/>
        <v>5616.15</v>
      </c>
    </row>
    <row r="733" spans="1:12" x14ac:dyDescent="0.3">
      <c r="A733" t="s">
        <v>2222</v>
      </c>
      <c r="B733" t="s">
        <v>1097</v>
      </c>
      <c r="C733" t="s">
        <v>2223</v>
      </c>
      <c r="D733" t="s">
        <v>1902</v>
      </c>
      <c r="E733" t="s">
        <v>25</v>
      </c>
      <c r="F733" t="s">
        <v>48</v>
      </c>
      <c r="G733" t="s">
        <v>63</v>
      </c>
      <c r="H733">
        <v>2</v>
      </c>
      <c r="I733">
        <v>3075.67</v>
      </c>
      <c r="J733" t="s">
        <v>19</v>
      </c>
      <c r="K733" t="s">
        <v>36</v>
      </c>
      <c r="L733">
        <f t="shared" si="11"/>
        <v>6151.34</v>
      </c>
    </row>
    <row r="734" spans="1:12" x14ac:dyDescent="0.3">
      <c r="A734" t="s">
        <v>2224</v>
      </c>
      <c r="B734" t="s">
        <v>642</v>
      </c>
      <c r="C734" t="s">
        <v>1090</v>
      </c>
      <c r="D734" t="s">
        <v>2225</v>
      </c>
      <c r="E734" t="s">
        <v>16</v>
      </c>
      <c r="F734" t="s">
        <v>48</v>
      </c>
      <c r="G734" t="s">
        <v>179</v>
      </c>
      <c r="H734">
        <v>6</v>
      </c>
      <c r="I734">
        <v>1322.77</v>
      </c>
      <c r="J734" t="s">
        <v>28</v>
      </c>
      <c r="K734" t="s">
        <v>83</v>
      </c>
      <c r="L734">
        <f t="shared" si="11"/>
        <v>7936.62</v>
      </c>
    </row>
    <row r="735" spans="1:12" x14ac:dyDescent="0.3">
      <c r="A735" t="s">
        <v>2226</v>
      </c>
      <c r="B735" t="s">
        <v>176</v>
      </c>
      <c r="C735" t="s">
        <v>2227</v>
      </c>
      <c r="D735" t="s">
        <v>24</v>
      </c>
      <c r="E735" t="s">
        <v>104</v>
      </c>
      <c r="F735" t="s">
        <v>48</v>
      </c>
      <c r="G735" t="s">
        <v>57</v>
      </c>
      <c r="H735">
        <v>3</v>
      </c>
      <c r="I735">
        <v>2017.54</v>
      </c>
      <c r="J735" t="s">
        <v>42</v>
      </c>
      <c r="K735" t="s">
        <v>43</v>
      </c>
      <c r="L735">
        <f t="shared" si="11"/>
        <v>6052.62</v>
      </c>
    </row>
    <row r="736" spans="1:12" x14ac:dyDescent="0.3">
      <c r="A736" t="s">
        <v>2228</v>
      </c>
      <c r="B736" t="s">
        <v>381</v>
      </c>
      <c r="C736" t="s">
        <v>2229</v>
      </c>
      <c r="D736" t="s">
        <v>1987</v>
      </c>
      <c r="E736" t="s">
        <v>34</v>
      </c>
      <c r="F736" t="s">
        <v>48</v>
      </c>
      <c r="G736" t="s">
        <v>179</v>
      </c>
      <c r="H736">
        <v>9</v>
      </c>
      <c r="I736">
        <v>1381.8</v>
      </c>
      <c r="J736" t="s">
        <v>19</v>
      </c>
      <c r="K736" t="s">
        <v>36</v>
      </c>
      <c r="L736">
        <f t="shared" si="11"/>
        <v>12436.199999999999</v>
      </c>
    </row>
    <row r="737" spans="1:12" x14ac:dyDescent="0.3">
      <c r="A737" t="s">
        <v>2230</v>
      </c>
      <c r="B737" t="s">
        <v>609</v>
      </c>
      <c r="C737" t="s">
        <v>2231</v>
      </c>
      <c r="D737" t="s">
        <v>1788</v>
      </c>
      <c r="E737" t="s">
        <v>62</v>
      </c>
      <c r="F737" t="s">
        <v>48</v>
      </c>
      <c r="G737" t="s">
        <v>63</v>
      </c>
      <c r="H737">
        <v>8</v>
      </c>
      <c r="I737">
        <v>456.66</v>
      </c>
      <c r="J737" t="s">
        <v>28</v>
      </c>
      <c r="K737" t="s">
        <v>36</v>
      </c>
      <c r="L737">
        <f t="shared" si="11"/>
        <v>3653.28</v>
      </c>
    </row>
    <row r="738" spans="1:12" x14ac:dyDescent="0.3">
      <c r="A738" t="s">
        <v>2232</v>
      </c>
      <c r="B738" t="s">
        <v>1373</v>
      </c>
      <c r="C738" t="s">
        <v>1779</v>
      </c>
      <c r="D738" t="s">
        <v>761</v>
      </c>
      <c r="E738" t="s">
        <v>62</v>
      </c>
      <c r="F738" t="s">
        <v>77</v>
      </c>
      <c r="G738" t="s">
        <v>105</v>
      </c>
      <c r="H738">
        <v>1</v>
      </c>
      <c r="I738">
        <v>3398.38</v>
      </c>
      <c r="J738" t="s">
        <v>19</v>
      </c>
      <c r="K738" t="s">
        <v>51</v>
      </c>
      <c r="L738">
        <f t="shared" si="11"/>
        <v>3398.38</v>
      </c>
    </row>
    <row r="739" spans="1:12" x14ac:dyDescent="0.3">
      <c r="A739" t="s">
        <v>2233</v>
      </c>
      <c r="B739" t="s">
        <v>557</v>
      </c>
      <c r="C739" t="s">
        <v>1087</v>
      </c>
      <c r="D739" t="s">
        <v>2234</v>
      </c>
      <c r="E739" t="s">
        <v>34</v>
      </c>
      <c r="F739" t="s">
        <v>17</v>
      </c>
      <c r="G739" t="s">
        <v>18</v>
      </c>
      <c r="H739">
        <v>6</v>
      </c>
      <c r="I739">
        <v>4801.51</v>
      </c>
      <c r="J739" t="s">
        <v>19</v>
      </c>
      <c r="K739" t="s">
        <v>83</v>
      </c>
      <c r="L739">
        <f t="shared" si="11"/>
        <v>28809.06</v>
      </c>
    </row>
    <row r="740" spans="1:12" x14ac:dyDescent="0.3">
      <c r="A740" t="s">
        <v>2235</v>
      </c>
      <c r="B740" t="s">
        <v>623</v>
      </c>
      <c r="C740" t="s">
        <v>2236</v>
      </c>
      <c r="D740" t="s">
        <v>2237</v>
      </c>
      <c r="E740" t="s">
        <v>128</v>
      </c>
      <c r="F740" t="s">
        <v>48</v>
      </c>
      <c r="G740" t="s">
        <v>63</v>
      </c>
      <c r="H740">
        <v>6</v>
      </c>
      <c r="I740">
        <v>1701.75</v>
      </c>
      <c r="J740" t="s">
        <v>19</v>
      </c>
      <c r="K740" t="s">
        <v>83</v>
      </c>
      <c r="L740">
        <f t="shared" si="11"/>
        <v>10210.5</v>
      </c>
    </row>
    <row r="741" spans="1:12" x14ac:dyDescent="0.3">
      <c r="A741" t="s">
        <v>2238</v>
      </c>
      <c r="B741" t="s">
        <v>2239</v>
      </c>
      <c r="C741" t="s">
        <v>164</v>
      </c>
      <c r="D741" t="s">
        <v>2240</v>
      </c>
      <c r="E741" t="s">
        <v>34</v>
      </c>
      <c r="F741" t="s">
        <v>48</v>
      </c>
      <c r="G741" t="s">
        <v>110</v>
      </c>
      <c r="H741">
        <v>9</v>
      </c>
      <c r="I741">
        <v>3354.17</v>
      </c>
      <c r="J741" t="s">
        <v>19</v>
      </c>
      <c r="K741" t="s">
        <v>20</v>
      </c>
      <c r="L741">
        <f t="shared" si="11"/>
        <v>30187.53</v>
      </c>
    </row>
    <row r="742" spans="1:12" x14ac:dyDescent="0.3">
      <c r="A742" t="s">
        <v>2241</v>
      </c>
      <c r="B742" t="s">
        <v>2212</v>
      </c>
      <c r="C742" t="s">
        <v>2242</v>
      </c>
      <c r="D742" t="s">
        <v>2243</v>
      </c>
      <c r="E742" t="s">
        <v>56</v>
      </c>
      <c r="F742" t="s">
        <v>77</v>
      </c>
      <c r="G742" t="s">
        <v>265</v>
      </c>
      <c r="H742">
        <v>1</v>
      </c>
      <c r="I742">
        <v>600.38</v>
      </c>
      <c r="J742" t="s">
        <v>42</v>
      </c>
      <c r="K742" t="s">
        <v>36</v>
      </c>
      <c r="L742">
        <f t="shared" si="11"/>
        <v>600.38</v>
      </c>
    </row>
    <row r="743" spans="1:12" x14ac:dyDescent="0.3">
      <c r="A743" t="s">
        <v>2244</v>
      </c>
      <c r="B743" t="s">
        <v>370</v>
      </c>
      <c r="C743" t="s">
        <v>2245</v>
      </c>
      <c r="D743" t="s">
        <v>2246</v>
      </c>
      <c r="E743" t="s">
        <v>56</v>
      </c>
      <c r="F743" t="s">
        <v>48</v>
      </c>
      <c r="G743" t="s">
        <v>63</v>
      </c>
      <c r="H743">
        <v>7</v>
      </c>
      <c r="I743">
        <v>4800.29</v>
      </c>
      <c r="J743" t="s">
        <v>28</v>
      </c>
      <c r="K743" t="s">
        <v>51</v>
      </c>
      <c r="L743">
        <f t="shared" si="11"/>
        <v>33602.03</v>
      </c>
    </row>
    <row r="744" spans="1:12" x14ac:dyDescent="0.3">
      <c r="A744" t="s">
        <v>2247</v>
      </c>
      <c r="B744" t="s">
        <v>1153</v>
      </c>
      <c r="C744" t="s">
        <v>2248</v>
      </c>
      <c r="D744" t="s">
        <v>67</v>
      </c>
      <c r="E744" t="s">
        <v>34</v>
      </c>
      <c r="F744" t="s">
        <v>17</v>
      </c>
      <c r="G744" t="s">
        <v>41</v>
      </c>
      <c r="H744">
        <v>4</v>
      </c>
      <c r="I744">
        <v>3799.57</v>
      </c>
      <c r="J744" t="s">
        <v>19</v>
      </c>
      <c r="K744" t="s">
        <v>83</v>
      </c>
      <c r="L744">
        <f t="shared" si="11"/>
        <v>15198.28</v>
      </c>
    </row>
    <row r="745" spans="1:12" x14ac:dyDescent="0.3">
      <c r="A745" t="s">
        <v>2249</v>
      </c>
      <c r="B745" t="s">
        <v>1388</v>
      </c>
      <c r="C745" t="s">
        <v>1495</v>
      </c>
      <c r="D745" t="s">
        <v>2250</v>
      </c>
      <c r="E745" t="s">
        <v>16</v>
      </c>
      <c r="F745" t="s">
        <v>48</v>
      </c>
      <c r="G745" t="s">
        <v>110</v>
      </c>
      <c r="H745">
        <v>3</v>
      </c>
      <c r="I745">
        <v>1247.8800000000001</v>
      </c>
      <c r="J745" t="s">
        <v>50</v>
      </c>
      <c r="K745" t="s">
        <v>83</v>
      </c>
      <c r="L745">
        <f t="shared" si="11"/>
        <v>3743.6400000000003</v>
      </c>
    </row>
    <row r="746" spans="1:12" x14ac:dyDescent="0.3">
      <c r="A746" t="s">
        <v>2251</v>
      </c>
      <c r="B746" t="s">
        <v>2252</v>
      </c>
      <c r="C746" t="s">
        <v>2253</v>
      </c>
      <c r="D746" t="s">
        <v>1224</v>
      </c>
      <c r="E746" t="s">
        <v>104</v>
      </c>
      <c r="F746" t="s">
        <v>77</v>
      </c>
      <c r="G746" t="s">
        <v>265</v>
      </c>
      <c r="H746">
        <v>3</v>
      </c>
      <c r="I746">
        <v>2260.23</v>
      </c>
      <c r="J746" t="s">
        <v>42</v>
      </c>
      <c r="K746" t="s">
        <v>51</v>
      </c>
      <c r="L746">
        <f t="shared" si="11"/>
        <v>6780.6900000000005</v>
      </c>
    </row>
    <row r="747" spans="1:12" x14ac:dyDescent="0.3">
      <c r="A747" t="s">
        <v>2254</v>
      </c>
      <c r="B747" t="s">
        <v>1981</v>
      </c>
      <c r="C747" t="s">
        <v>427</v>
      </c>
      <c r="D747" t="s">
        <v>1114</v>
      </c>
      <c r="E747" t="s">
        <v>104</v>
      </c>
      <c r="F747" t="s">
        <v>48</v>
      </c>
      <c r="G747" t="s">
        <v>110</v>
      </c>
      <c r="H747">
        <v>2</v>
      </c>
      <c r="I747">
        <v>2507.15</v>
      </c>
      <c r="J747" t="s">
        <v>28</v>
      </c>
      <c r="K747" t="s">
        <v>20</v>
      </c>
      <c r="L747">
        <f t="shared" si="11"/>
        <v>5014.3</v>
      </c>
    </row>
    <row r="748" spans="1:12" x14ac:dyDescent="0.3">
      <c r="A748" t="s">
        <v>2255</v>
      </c>
      <c r="B748" t="s">
        <v>74</v>
      </c>
      <c r="C748" t="s">
        <v>569</v>
      </c>
      <c r="D748" t="s">
        <v>1800</v>
      </c>
      <c r="E748" t="s">
        <v>95</v>
      </c>
      <c r="F748" t="s">
        <v>26</v>
      </c>
      <c r="G748" t="s">
        <v>27</v>
      </c>
      <c r="H748">
        <v>7</v>
      </c>
      <c r="I748">
        <v>4540.74</v>
      </c>
      <c r="J748" t="s">
        <v>50</v>
      </c>
      <c r="K748" t="s">
        <v>36</v>
      </c>
      <c r="L748">
        <f t="shared" si="11"/>
        <v>31785.18</v>
      </c>
    </row>
    <row r="749" spans="1:12" x14ac:dyDescent="0.3">
      <c r="A749" t="s">
        <v>2256</v>
      </c>
      <c r="B749" t="s">
        <v>1058</v>
      </c>
      <c r="C749" t="s">
        <v>1923</v>
      </c>
      <c r="D749" t="s">
        <v>2257</v>
      </c>
      <c r="E749" t="s">
        <v>25</v>
      </c>
      <c r="F749" t="s">
        <v>48</v>
      </c>
      <c r="G749" t="s">
        <v>49</v>
      </c>
      <c r="H749">
        <v>3</v>
      </c>
      <c r="I749">
        <v>1347.5</v>
      </c>
      <c r="J749" t="s">
        <v>28</v>
      </c>
      <c r="K749" t="s">
        <v>29</v>
      </c>
      <c r="L749">
        <f t="shared" si="11"/>
        <v>4042.5</v>
      </c>
    </row>
    <row r="750" spans="1:12" x14ac:dyDescent="0.3">
      <c r="A750" t="s">
        <v>2258</v>
      </c>
      <c r="B750" t="s">
        <v>258</v>
      </c>
      <c r="C750" t="s">
        <v>647</v>
      </c>
      <c r="D750" t="s">
        <v>2259</v>
      </c>
      <c r="E750" t="s">
        <v>16</v>
      </c>
      <c r="F750" t="s">
        <v>77</v>
      </c>
      <c r="G750" t="s">
        <v>265</v>
      </c>
      <c r="H750">
        <v>5</v>
      </c>
      <c r="I750">
        <v>281.98</v>
      </c>
      <c r="J750" t="s">
        <v>42</v>
      </c>
      <c r="K750" t="s">
        <v>36</v>
      </c>
      <c r="L750">
        <f t="shared" si="11"/>
        <v>1409.9</v>
      </c>
    </row>
    <row r="751" spans="1:12" x14ac:dyDescent="0.3">
      <c r="A751" t="s">
        <v>2260</v>
      </c>
      <c r="B751" t="s">
        <v>2261</v>
      </c>
      <c r="C751" t="s">
        <v>506</v>
      </c>
      <c r="D751" t="s">
        <v>2262</v>
      </c>
      <c r="E751" t="s">
        <v>34</v>
      </c>
      <c r="F751" t="s">
        <v>77</v>
      </c>
      <c r="G751" t="s">
        <v>265</v>
      </c>
      <c r="H751">
        <v>8</v>
      </c>
      <c r="I751">
        <v>4714.3500000000004</v>
      </c>
      <c r="J751" t="s">
        <v>28</v>
      </c>
      <c r="K751" t="s">
        <v>20</v>
      </c>
      <c r="L751">
        <f t="shared" si="11"/>
        <v>37714.800000000003</v>
      </c>
    </row>
    <row r="752" spans="1:12" x14ac:dyDescent="0.3">
      <c r="A752" t="s">
        <v>2263</v>
      </c>
      <c r="B752" t="s">
        <v>840</v>
      </c>
      <c r="C752" t="s">
        <v>2264</v>
      </c>
      <c r="D752" t="s">
        <v>503</v>
      </c>
      <c r="E752" t="s">
        <v>95</v>
      </c>
      <c r="F752" t="s">
        <v>26</v>
      </c>
      <c r="G752" t="s">
        <v>296</v>
      </c>
      <c r="H752">
        <v>8</v>
      </c>
      <c r="I752">
        <v>4422.17</v>
      </c>
      <c r="J752" t="s">
        <v>50</v>
      </c>
      <c r="K752" t="s">
        <v>51</v>
      </c>
      <c r="L752">
        <f t="shared" si="11"/>
        <v>35377.360000000001</v>
      </c>
    </row>
    <row r="753" spans="1:12" x14ac:dyDescent="0.3">
      <c r="A753" t="s">
        <v>2265</v>
      </c>
      <c r="B753" t="s">
        <v>1626</v>
      </c>
      <c r="C753" t="s">
        <v>1009</v>
      </c>
      <c r="D753" t="s">
        <v>1493</v>
      </c>
      <c r="E753" t="s">
        <v>128</v>
      </c>
      <c r="F753" t="s">
        <v>48</v>
      </c>
      <c r="G753" t="s">
        <v>49</v>
      </c>
      <c r="H753">
        <v>5</v>
      </c>
      <c r="I753">
        <v>2863.94</v>
      </c>
      <c r="J753" t="s">
        <v>19</v>
      </c>
      <c r="K753" t="s">
        <v>29</v>
      </c>
      <c r="L753">
        <f t="shared" si="11"/>
        <v>14319.7</v>
      </c>
    </row>
    <row r="754" spans="1:12" x14ac:dyDescent="0.3">
      <c r="A754" t="s">
        <v>2266</v>
      </c>
      <c r="B754" t="s">
        <v>2207</v>
      </c>
      <c r="C754" t="s">
        <v>2267</v>
      </c>
      <c r="D754" t="s">
        <v>748</v>
      </c>
      <c r="E754" t="s">
        <v>104</v>
      </c>
      <c r="F754" t="s">
        <v>17</v>
      </c>
      <c r="G754" t="s">
        <v>68</v>
      </c>
      <c r="H754">
        <v>9</v>
      </c>
      <c r="I754">
        <v>2952.11</v>
      </c>
      <c r="J754" t="s">
        <v>19</v>
      </c>
      <c r="K754" t="s">
        <v>51</v>
      </c>
      <c r="L754">
        <f t="shared" si="11"/>
        <v>26568.99</v>
      </c>
    </row>
    <row r="755" spans="1:12" x14ac:dyDescent="0.3">
      <c r="A755" t="s">
        <v>2268</v>
      </c>
      <c r="B755" t="s">
        <v>538</v>
      </c>
      <c r="C755" t="s">
        <v>1721</v>
      </c>
      <c r="D755" t="s">
        <v>492</v>
      </c>
      <c r="E755" t="s">
        <v>16</v>
      </c>
      <c r="F755" t="s">
        <v>48</v>
      </c>
      <c r="G755" t="s">
        <v>179</v>
      </c>
      <c r="H755">
        <v>10</v>
      </c>
      <c r="I755">
        <v>691.21</v>
      </c>
      <c r="J755" t="s">
        <v>50</v>
      </c>
      <c r="K755" t="s">
        <v>36</v>
      </c>
      <c r="L755">
        <f t="shared" si="11"/>
        <v>6912.1</v>
      </c>
    </row>
    <row r="756" spans="1:12" x14ac:dyDescent="0.3">
      <c r="A756" t="s">
        <v>2269</v>
      </c>
      <c r="B756" t="s">
        <v>601</v>
      </c>
      <c r="C756" t="s">
        <v>2270</v>
      </c>
      <c r="D756" t="s">
        <v>2271</v>
      </c>
      <c r="E756" t="s">
        <v>34</v>
      </c>
      <c r="F756" t="s">
        <v>17</v>
      </c>
      <c r="G756" t="s">
        <v>35</v>
      </c>
      <c r="H756">
        <v>7</v>
      </c>
      <c r="I756">
        <v>219.08</v>
      </c>
      <c r="J756" t="s">
        <v>19</v>
      </c>
      <c r="K756" t="s">
        <v>51</v>
      </c>
      <c r="L756">
        <f t="shared" si="11"/>
        <v>1533.5600000000002</v>
      </c>
    </row>
    <row r="757" spans="1:12" x14ac:dyDescent="0.3">
      <c r="A757" t="s">
        <v>2272</v>
      </c>
      <c r="B757" t="s">
        <v>2273</v>
      </c>
      <c r="C757" t="s">
        <v>1327</v>
      </c>
      <c r="D757" t="s">
        <v>2274</v>
      </c>
      <c r="E757" t="s">
        <v>104</v>
      </c>
      <c r="F757" t="s">
        <v>77</v>
      </c>
      <c r="G757" t="s">
        <v>171</v>
      </c>
      <c r="H757">
        <v>3</v>
      </c>
      <c r="I757">
        <v>3102.53</v>
      </c>
      <c r="J757" t="s">
        <v>42</v>
      </c>
      <c r="K757" t="s">
        <v>29</v>
      </c>
      <c r="L757">
        <f t="shared" si="11"/>
        <v>9307.59</v>
      </c>
    </row>
    <row r="758" spans="1:12" x14ac:dyDescent="0.3">
      <c r="A758" t="s">
        <v>2275</v>
      </c>
      <c r="B758" t="s">
        <v>2276</v>
      </c>
      <c r="C758" t="s">
        <v>2277</v>
      </c>
      <c r="D758" t="s">
        <v>2278</v>
      </c>
      <c r="E758" t="s">
        <v>104</v>
      </c>
      <c r="F758" t="s">
        <v>17</v>
      </c>
      <c r="G758" t="s">
        <v>18</v>
      </c>
      <c r="H758">
        <v>9</v>
      </c>
      <c r="I758">
        <v>3217.61</v>
      </c>
      <c r="J758" t="s">
        <v>28</v>
      </c>
      <c r="K758" t="s">
        <v>20</v>
      </c>
      <c r="L758">
        <f t="shared" si="11"/>
        <v>28958.49</v>
      </c>
    </row>
    <row r="759" spans="1:12" x14ac:dyDescent="0.3">
      <c r="A759" t="s">
        <v>2279</v>
      </c>
      <c r="B759" t="s">
        <v>898</v>
      </c>
      <c r="C759" t="s">
        <v>39</v>
      </c>
      <c r="D759" t="s">
        <v>2250</v>
      </c>
      <c r="E759" t="s">
        <v>34</v>
      </c>
      <c r="F759" t="s">
        <v>77</v>
      </c>
      <c r="G759" t="s">
        <v>123</v>
      </c>
      <c r="H759">
        <v>1</v>
      </c>
      <c r="I759">
        <v>534.67999999999995</v>
      </c>
      <c r="J759" t="s">
        <v>19</v>
      </c>
      <c r="K759" t="s">
        <v>36</v>
      </c>
      <c r="L759">
        <f t="shared" si="11"/>
        <v>534.67999999999995</v>
      </c>
    </row>
    <row r="760" spans="1:12" x14ac:dyDescent="0.3">
      <c r="A760" t="s">
        <v>2280</v>
      </c>
      <c r="B760" t="s">
        <v>320</v>
      </c>
      <c r="C760" t="s">
        <v>2236</v>
      </c>
      <c r="D760" t="s">
        <v>1942</v>
      </c>
      <c r="E760" t="s">
        <v>34</v>
      </c>
      <c r="F760" t="s">
        <v>17</v>
      </c>
      <c r="G760" t="s">
        <v>188</v>
      </c>
      <c r="H760">
        <v>6</v>
      </c>
      <c r="I760">
        <v>1498.96</v>
      </c>
      <c r="J760" t="s">
        <v>19</v>
      </c>
      <c r="K760" t="s">
        <v>51</v>
      </c>
      <c r="L760">
        <f t="shared" si="11"/>
        <v>8993.76</v>
      </c>
    </row>
    <row r="761" spans="1:12" x14ac:dyDescent="0.3">
      <c r="A761" t="s">
        <v>2281</v>
      </c>
      <c r="B761" t="s">
        <v>1274</v>
      </c>
      <c r="C761" t="s">
        <v>1427</v>
      </c>
      <c r="D761" t="s">
        <v>2282</v>
      </c>
      <c r="E761" t="s">
        <v>128</v>
      </c>
      <c r="F761" t="s">
        <v>77</v>
      </c>
      <c r="G761" t="s">
        <v>171</v>
      </c>
      <c r="H761">
        <v>10</v>
      </c>
      <c r="I761">
        <v>3323.9</v>
      </c>
      <c r="J761" t="s">
        <v>50</v>
      </c>
      <c r="K761" t="s">
        <v>83</v>
      </c>
      <c r="L761">
        <f t="shared" si="11"/>
        <v>33239</v>
      </c>
    </row>
    <row r="762" spans="1:12" x14ac:dyDescent="0.3">
      <c r="A762" t="s">
        <v>2283</v>
      </c>
      <c r="B762" t="s">
        <v>931</v>
      </c>
      <c r="C762" t="s">
        <v>2284</v>
      </c>
      <c r="D762" t="s">
        <v>2285</v>
      </c>
      <c r="E762" t="s">
        <v>62</v>
      </c>
      <c r="F762" t="s">
        <v>17</v>
      </c>
      <c r="G762" t="s">
        <v>35</v>
      </c>
      <c r="H762">
        <v>6</v>
      </c>
      <c r="I762">
        <v>1198.3800000000001</v>
      </c>
      <c r="J762" t="s">
        <v>50</v>
      </c>
      <c r="K762" t="s">
        <v>51</v>
      </c>
      <c r="L762">
        <f t="shared" si="11"/>
        <v>7190.2800000000007</v>
      </c>
    </row>
    <row r="763" spans="1:12" x14ac:dyDescent="0.3">
      <c r="A763" t="s">
        <v>2286</v>
      </c>
      <c r="B763" t="s">
        <v>168</v>
      </c>
      <c r="C763" t="s">
        <v>363</v>
      </c>
      <c r="D763" t="s">
        <v>2287</v>
      </c>
      <c r="E763" t="s">
        <v>16</v>
      </c>
      <c r="F763" t="s">
        <v>77</v>
      </c>
      <c r="G763" t="s">
        <v>171</v>
      </c>
      <c r="H763">
        <v>4</v>
      </c>
      <c r="I763">
        <v>784.72</v>
      </c>
      <c r="J763" t="s">
        <v>19</v>
      </c>
      <c r="K763" t="s">
        <v>51</v>
      </c>
      <c r="L763">
        <f t="shared" si="11"/>
        <v>3138.88</v>
      </c>
    </row>
    <row r="764" spans="1:12" x14ac:dyDescent="0.3">
      <c r="A764" t="s">
        <v>2288</v>
      </c>
      <c r="B764" t="s">
        <v>2002</v>
      </c>
      <c r="C764" t="s">
        <v>1766</v>
      </c>
      <c r="D764" t="s">
        <v>2289</v>
      </c>
      <c r="E764" t="s">
        <v>128</v>
      </c>
      <c r="F764" t="s">
        <v>26</v>
      </c>
      <c r="G764" t="s">
        <v>27</v>
      </c>
      <c r="H764">
        <v>1</v>
      </c>
      <c r="I764">
        <v>806.57</v>
      </c>
      <c r="J764" t="s">
        <v>42</v>
      </c>
      <c r="K764" t="s">
        <v>29</v>
      </c>
      <c r="L764">
        <f t="shared" si="11"/>
        <v>806.57</v>
      </c>
    </row>
    <row r="765" spans="1:12" x14ac:dyDescent="0.3">
      <c r="A765" t="s">
        <v>2290</v>
      </c>
      <c r="B765" t="s">
        <v>1173</v>
      </c>
      <c r="C765" t="s">
        <v>2291</v>
      </c>
      <c r="D765" t="s">
        <v>2292</v>
      </c>
      <c r="E765" t="s">
        <v>56</v>
      </c>
      <c r="F765" t="s">
        <v>48</v>
      </c>
      <c r="G765" t="s">
        <v>57</v>
      </c>
      <c r="H765">
        <v>8</v>
      </c>
      <c r="I765">
        <v>4524.3500000000004</v>
      </c>
      <c r="J765" t="s">
        <v>28</v>
      </c>
      <c r="K765" t="s">
        <v>83</v>
      </c>
      <c r="L765">
        <f t="shared" si="11"/>
        <v>36194.800000000003</v>
      </c>
    </row>
    <row r="766" spans="1:12" x14ac:dyDescent="0.3">
      <c r="A766" t="s">
        <v>2293</v>
      </c>
      <c r="B766" t="s">
        <v>2294</v>
      </c>
      <c r="C766" t="s">
        <v>1016</v>
      </c>
      <c r="D766" t="s">
        <v>998</v>
      </c>
      <c r="E766" t="s">
        <v>62</v>
      </c>
      <c r="F766" t="s">
        <v>26</v>
      </c>
      <c r="G766" t="s">
        <v>166</v>
      </c>
      <c r="H766">
        <v>3</v>
      </c>
      <c r="I766">
        <v>1779.25</v>
      </c>
      <c r="J766" t="s">
        <v>28</v>
      </c>
      <c r="K766" t="s">
        <v>20</v>
      </c>
      <c r="L766">
        <f t="shared" si="11"/>
        <v>5337.75</v>
      </c>
    </row>
    <row r="767" spans="1:12" x14ac:dyDescent="0.3">
      <c r="A767" t="s">
        <v>2295</v>
      </c>
      <c r="B767" t="s">
        <v>2296</v>
      </c>
      <c r="C767" t="s">
        <v>1933</v>
      </c>
      <c r="D767" t="s">
        <v>1400</v>
      </c>
      <c r="E767" t="s">
        <v>95</v>
      </c>
      <c r="F767" t="s">
        <v>17</v>
      </c>
      <c r="G767" t="s">
        <v>35</v>
      </c>
      <c r="H767">
        <v>7</v>
      </c>
      <c r="I767">
        <v>1744.65</v>
      </c>
      <c r="J767" t="s">
        <v>42</v>
      </c>
      <c r="K767" t="s">
        <v>20</v>
      </c>
      <c r="L767">
        <f t="shared" si="11"/>
        <v>12212.550000000001</v>
      </c>
    </row>
    <row r="768" spans="1:12" x14ac:dyDescent="0.3">
      <c r="A768" t="s">
        <v>2297</v>
      </c>
      <c r="B768" t="s">
        <v>2298</v>
      </c>
      <c r="C768" t="s">
        <v>2299</v>
      </c>
      <c r="D768" t="s">
        <v>2205</v>
      </c>
      <c r="E768" t="s">
        <v>128</v>
      </c>
      <c r="F768" t="s">
        <v>48</v>
      </c>
      <c r="G768" t="s">
        <v>110</v>
      </c>
      <c r="H768">
        <v>3</v>
      </c>
      <c r="I768">
        <v>4700.8599999999997</v>
      </c>
      <c r="J768" t="s">
        <v>50</v>
      </c>
      <c r="K768" t="s">
        <v>36</v>
      </c>
      <c r="L768">
        <f t="shared" si="11"/>
        <v>14102.579999999998</v>
      </c>
    </row>
    <row r="769" spans="1:12" x14ac:dyDescent="0.3">
      <c r="A769" t="s">
        <v>2300</v>
      </c>
      <c r="B769" t="s">
        <v>2301</v>
      </c>
      <c r="C769" t="s">
        <v>2302</v>
      </c>
      <c r="D769" t="s">
        <v>2303</v>
      </c>
      <c r="E769" t="s">
        <v>62</v>
      </c>
      <c r="F769" t="s">
        <v>26</v>
      </c>
      <c r="G769" t="s">
        <v>27</v>
      </c>
      <c r="H769">
        <v>5</v>
      </c>
      <c r="I769">
        <v>1661.76</v>
      </c>
      <c r="J769" t="s">
        <v>28</v>
      </c>
      <c r="K769" t="s">
        <v>20</v>
      </c>
      <c r="L769">
        <f t="shared" si="11"/>
        <v>8308.7999999999993</v>
      </c>
    </row>
    <row r="770" spans="1:12" x14ac:dyDescent="0.3">
      <c r="A770" t="s">
        <v>2304</v>
      </c>
      <c r="B770" t="s">
        <v>1617</v>
      </c>
      <c r="C770" t="s">
        <v>2305</v>
      </c>
      <c r="D770" t="s">
        <v>1928</v>
      </c>
      <c r="E770" t="s">
        <v>34</v>
      </c>
      <c r="F770" t="s">
        <v>48</v>
      </c>
      <c r="G770" t="s">
        <v>57</v>
      </c>
      <c r="H770">
        <v>9</v>
      </c>
      <c r="I770">
        <v>1906.86</v>
      </c>
      <c r="J770" t="s">
        <v>50</v>
      </c>
      <c r="K770" t="s">
        <v>20</v>
      </c>
      <c r="L770">
        <f t="shared" si="11"/>
        <v>17161.739999999998</v>
      </c>
    </row>
    <row r="771" spans="1:12" x14ac:dyDescent="0.3">
      <c r="A771" t="s">
        <v>2306</v>
      </c>
      <c r="B771" t="s">
        <v>2097</v>
      </c>
      <c r="C771" t="s">
        <v>1022</v>
      </c>
      <c r="D771" t="s">
        <v>2307</v>
      </c>
      <c r="E771" t="s">
        <v>128</v>
      </c>
      <c r="F771" t="s">
        <v>26</v>
      </c>
      <c r="G771" t="s">
        <v>208</v>
      </c>
      <c r="H771">
        <v>1</v>
      </c>
      <c r="I771">
        <v>986.24</v>
      </c>
      <c r="J771" t="s">
        <v>42</v>
      </c>
      <c r="K771" t="s">
        <v>20</v>
      </c>
      <c r="L771">
        <f t="shared" ref="L771:L834" si="12">H771*I771</f>
        <v>986.24</v>
      </c>
    </row>
    <row r="772" spans="1:12" x14ac:dyDescent="0.3">
      <c r="A772" t="s">
        <v>2308</v>
      </c>
      <c r="B772" t="s">
        <v>1039</v>
      </c>
      <c r="C772" t="s">
        <v>1369</v>
      </c>
      <c r="D772" t="s">
        <v>611</v>
      </c>
      <c r="E772" t="s">
        <v>25</v>
      </c>
      <c r="F772" t="s">
        <v>77</v>
      </c>
      <c r="G772" t="s">
        <v>105</v>
      </c>
      <c r="H772">
        <v>5</v>
      </c>
      <c r="I772">
        <v>4495.92</v>
      </c>
      <c r="J772" t="s">
        <v>28</v>
      </c>
      <c r="K772" t="s">
        <v>36</v>
      </c>
      <c r="L772">
        <f t="shared" si="12"/>
        <v>22479.599999999999</v>
      </c>
    </row>
    <row r="773" spans="1:12" x14ac:dyDescent="0.3">
      <c r="A773" t="s">
        <v>2309</v>
      </c>
      <c r="B773" t="s">
        <v>238</v>
      </c>
      <c r="C773" t="s">
        <v>1937</v>
      </c>
      <c r="D773" t="s">
        <v>2274</v>
      </c>
      <c r="E773" t="s">
        <v>104</v>
      </c>
      <c r="F773" t="s">
        <v>17</v>
      </c>
      <c r="G773" t="s">
        <v>18</v>
      </c>
      <c r="H773">
        <v>1</v>
      </c>
      <c r="I773">
        <v>1905.34</v>
      </c>
      <c r="J773" t="s">
        <v>50</v>
      </c>
      <c r="K773" t="s">
        <v>51</v>
      </c>
      <c r="L773">
        <f t="shared" si="12"/>
        <v>1905.34</v>
      </c>
    </row>
    <row r="774" spans="1:12" x14ac:dyDescent="0.3">
      <c r="A774" t="s">
        <v>2310</v>
      </c>
      <c r="B774" t="s">
        <v>238</v>
      </c>
      <c r="C774" t="s">
        <v>2311</v>
      </c>
      <c r="D774" t="s">
        <v>2312</v>
      </c>
      <c r="E774" t="s">
        <v>25</v>
      </c>
      <c r="F774" t="s">
        <v>17</v>
      </c>
      <c r="G774" t="s">
        <v>68</v>
      </c>
      <c r="H774">
        <v>2</v>
      </c>
      <c r="I774">
        <v>3453.38</v>
      </c>
      <c r="J774" t="s">
        <v>19</v>
      </c>
      <c r="K774" t="s">
        <v>36</v>
      </c>
      <c r="L774">
        <f t="shared" si="12"/>
        <v>6906.76</v>
      </c>
    </row>
    <row r="775" spans="1:12" x14ac:dyDescent="0.3">
      <c r="A775" t="s">
        <v>2313</v>
      </c>
      <c r="B775" t="s">
        <v>1650</v>
      </c>
      <c r="C775" t="s">
        <v>760</v>
      </c>
      <c r="D775" t="s">
        <v>2314</v>
      </c>
      <c r="E775" t="s">
        <v>25</v>
      </c>
      <c r="F775" t="s">
        <v>48</v>
      </c>
      <c r="G775" t="s">
        <v>63</v>
      </c>
      <c r="H775">
        <v>3</v>
      </c>
      <c r="I775">
        <v>3845.89</v>
      </c>
      <c r="J775" t="s">
        <v>50</v>
      </c>
      <c r="K775" t="s">
        <v>36</v>
      </c>
      <c r="L775">
        <f t="shared" si="12"/>
        <v>11537.67</v>
      </c>
    </row>
    <row r="776" spans="1:12" x14ac:dyDescent="0.3">
      <c r="A776" t="s">
        <v>2315</v>
      </c>
      <c r="B776" t="s">
        <v>1860</v>
      </c>
      <c r="C776" t="s">
        <v>2316</v>
      </c>
      <c r="D776" t="s">
        <v>424</v>
      </c>
      <c r="E776" t="s">
        <v>62</v>
      </c>
      <c r="F776" t="s">
        <v>48</v>
      </c>
      <c r="G776" t="s">
        <v>179</v>
      </c>
      <c r="H776">
        <v>10</v>
      </c>
      <c r="I776">
        <v>3516.95</v>
      </c>
      <c r="J776" t="s">
        <v>42</v>
      </c>
      <c r="K776" t="s">
        <v>83</v>
      </c>
      <c r="L776">
        <f t="shared" si="12"/>
        <v>35169.5</v>
      </c>
    </row>
    <row r="777" spans="1:12" x14ac:dyDescent="0.3">
      <c r="A777" t="s">
        <v>2317</v>
      </c>
      <c r="B777" t="s">
        <v>1384</v>
      </c>
      <c r="C777" t="s">
        <v>1891</v>
      </c>
      <c r="D777" t="s">
        <v>875</v>
      </c>
      <c r="E777" t="s">
        <v>95</v>
      </c>
      <c r="F777" t="s">
        <v>26</v>
      </c>
      <c r="G777" t="s">
        <v>166</v>
      </c>
      <c r="H777">
        <v>3</v>
      </c>
      <c r="I777">
        <v>2439.08</v>
      </c>
      <c r="J777" t="s">
        <v>19</v>
      </c>
      <c r="K777" t="s">
        <v>83</v>
      </c>
      <c r="L777">
        <f t="shared" si="12"/>
        <v>7317.24</v>
      </c>
    </row>
    <row r="778" spans="1:12" x14ac:dyDescent="0.3">
      <c r="A778" t="s">
        <v>2318</v>
      </c>
      <c r="B778" t="s">
        <v>1826</v>
      </c>
      <c r="C778" t="s">
        <v>887</v>
      </c>
      <c r="D778" t="s">
        <v>1601</v>
      </c>
      <c r="E778" t="s">
        <v>62</v>
      </c>
      <c r="F778" t="s">
        <v>48</v>
      </c>
      <c r="G778" t="s">
        <v>110</v>
      </c>
      <c r="H778">
        <v>2</v>
      </c>
      <c r="I778">
        <v>1376.17</v>
      </c>
      <c r="J778" t="s">
        <v>19</v>
      </c>
      <c r="K778" t="s">
        <v>43</v>
      </c>
      <c r="L778">
        <f t="shared" si="12"/>
        <v>2752.34</v>
      </c>
    </row>
    <row r="779" spans="1:12" x14ac:dyDescent="0.3">
      <c r="A779" t="s">
        <v>2319</v>
      </c>
      <c r="B779" t="s">
        <v>2320</v>
      </c>
      <c r="C779" t="s">
        <v>2019</v>
      </c>
      <c r="D779" t="s">
        <v>311</v>
      </c>
      <c r="E779" t="s">
        <v>34</v>
      </c>
      <c r="F779" t="s">
        <v>17</v>
      </c>
      <c r="G779" t="s">
        <v>68</v>
      </c>
      <c r="H779">
        <v>10</v>
      </c>
      <c r="I779">
        <v>3260.82</v>
      </c>
      <c r="J779" t="s">
        <v>50</v>
      </c>
      <c r="K779" t="s">
        <v>51</v>
      </c>
      <c r="L779">
        <f t="shared" si="12"/>
        <v>32608.2</v>
      </c>
    </row>
    <row r="780" spans="1:12" x14ac:dyDescent="0.3">
      <c r="A780" t="s">
        <v>2321</v>
      </c>
      <c r="B780" t="s">
        <v>1373</v>
      </c>
      <c r="C780" t="s">
        <v>2322</v>
      </c>
      <c r="D780" t="s">
        <v>114</v>
      </c>
      <c r="E780" t="s">
        <v>62</v>
      </c>
      <c r="F780" t="s">
        <v>26</v>
      </c>
      <c r="G780" t="s">
        <v>27</v>
      </c>
      <c r="H780">
        <v>8</v>
      </c>
      <c r="I780">
        <v>2818.61</v>
      </c>
      <c r="J780" t="s">
        <v>50</v>
      </c>
      <c r="K780" t="s">
        <v>43</v>
      </c>
      <c r="L780">
        <f t="shared" si="12"/>
        <v>22548.880000000001</v>
      </c>
    </row>
    <row r="781" spans="1:12" x14ac:dyDescent="0.3">
      <c r="A781" t="s">
        <v>2323</v>
      </c>
      <c r="B781" t="s">
        <v>287</v>
      </c>
      <c r="C781" t="s">
        <v>2164</v>
      </c>
      <c r="D781" t="s">
        <v>2324</v>
      </c>
      <c r="E781" t="s">
        <v>104</v>
      </c>
      <c r="F781" t="s">
        <v>17</v>
      </c>
      <c r="G781" t="s">
        <v>35</v>
      </c>
      <c r="H781">
        <v>3</v>
      </c>
      <c r="I781">
        <v>462.48</v>
      </c>
      <c r="J781" t="s">
        <v>28</v>
      </c>
      <c r="K781" t="s">
        <v>51</v>
      </c>
      <c r="L781">
        <f t="shared" si="12"/>
        <v>1387.44</v>
      </c>
    </row>
    <row r="782" spans="1:12" x14ac:dyDescent="0.3">
      <c r="A782" t="s">
        <v>2325</v>
      </c>
      <c r="B782" t="s">
        <v>742</v>
      </c>
      <c r="C782" t="s">
        <v>2326</v>
      </c>
      <c r="D782" t="s">
        <v>1248</v>
      </c>
      <c r="E782" t="s">
        <v>16</v>
      </c>
      <c r="F782" t="s">
        <v>48</v>
      </c>
      <c r="G782" t="s">
        <v>110</v>
      </c>
      <c r="H782">
        <v>2</v>
      </c>
      <c r="I782">
        <v>369.48</v>
      </c>
      <c r="J782" t="s">
        <v>28</v>
      </c>
      <c r="K782" t="s">
        <v>83</v>
      </c>
      <c r="L782">
        <f t="shared" si="12"/>
        <v>738.96</v>
      </c>
    </row>
    <row r="783" spans="1:12" x14ac:dyDescent="0.3">
      <c r="A783" t="s">
        <v>2327</v>
      </c>
      <c r="B783" t="s">
        <v>672</v>
      </c>
      <c r="C783" t="s">
        <v>643</v>
      </c>
      <c r="D783" t="s">
        <v>1979</v>
      </c>
      <c r="E783" t="s">
        <v>16</v>
      </c>
      <c r="F783" t="s">
        <v>77</v>
      </c>
      <c r="G783" t="s">
        <v>105</v>
      </c>
      <c r="H783">
        <v>8</v>
      </c>
      <c r="I783">
        <v>4817.51</v>
      </c>
      <c r="J783" t="s">
        <v>19</v>
      </c>
      <c r="K783" t="s">
        <v>43</v>
      </c>
      <c r="L783">
        <f t="shared" si="12"/>
        <v>38540.080000000002</v>
      </c>
    </row>
    <row r="784" spans="1:12" x14ac:dyDescent="0.3">
      <c r="A784" t="s">
        <v>2328</v>
      </c>
      <c r="B784" t="s">
        <v>2329</v>
      </c>
      <c r="C784" t="s">
        <v>1492</v>
      </c>
      <c r="D784" t="s">
        <v>2184</v>
      </c>
      <c r="E784" t="s">
        <v>16</v>
      </c>
      <c r="F784" t="s">
        <v>48</v>
      </c>
      <c r="G784" t="s">
        <v>57</v>
      </c>
      <c r="H784">
        <v>1</v>
      </c>
      <c r="I784">
        <v>4387.54</v>
      </c>
      <c r="J784" t="s">
        <v>42</v>
      </c>
      <c r="K784" t="s">
        <v>29</v>
      </c>
      <c r="L784">
        <f t="shared" si="12"/>
        <v>4387.54</v>
      </c>
    </row>
    <row r="785" spans="1:12" x14ac:dyDescent="0.3">
      <c r="A785" t="s">
        <v>2330</v>
      </c>
      <c r="B785" t="s">
        <v>1660</v>
      </c>
      <c r="C785" t="s">
        <v>2331</v>
      </c>
      <c r="D785" t="s">
        <v>2332</v>
      </c>
      <c r="E785" t="s">
        <v>25</v>
      </c>
      <c r="F785" t="s">
        <v>48</v>
      </c>
      <c r="G785" t="s">
        <v>63</v>
      </c>
      <c r="H785">
        <v>6</v>
      </c>
      <c r="I785">
        <v>2367.65</v>
      </c>
      <c r="J785" t="s">
        <v>50</v>
      </c>
      <c r="K785" t="s">
        <v>83</v>
      </c>
      <c r="L785">
        <f t="shared" si="12"/>
        <v>14205.900000000001</v>
      </c>
    </row>
    <row r="786" spans="1:12" x14ac:dyDescent="0.3">
      <c r="A786" t="s">
        <v>2333</v>
      </c>
      <c r="B786" t="s">
        <v>2049</v>
      </c>
      <c r="C786" t="s">
        <v>1076</v>
      </c>
      <c r="D786" t="s">
        <v>2334</v>
      </c>
      <c r="E786" t="s">
        <v>34</v>
      </c>
      <c r="F786" t="s">
        <v>48</v>
      </c>
      <c r="G786" t="s">
        <v>49</v>
      </c>
      <c r="H786">
        <v>8</v>
      </c>
      <c r="I786">
        <v>1947.55</v>
      </c>
      <c r="J786" t="s">
        <v>50</v>
      </c>
      <c r="K786" t="s">
        <v>36</v>
      </c>
      <c r="L786">
        <f t="shared" si="12"/>
        <v>15580.4</v>
      </c>
    </row>
    <row r="787" spans="1:12" x14ac:dyDescent="0.3">
      <c r="A787" t="s">
        <v>2335</v>
      </c>
      <c r="B787" t="s">
        <v>2336</v>
      </c>
      <c r="C787" t="s">
        <v>2337</v>
      </c>
      <c r="D787" t="s">
        <v>1071</v>
      </c>
      <c r="E787" t="s">
        <v>16</v>
      </c>
      <c r="F787" t="s">
        <v>48</v>
      </c>
      <c r="G787" t="s">
        <v>110</v>
      </c>
      <c r="H787">
        <v>8</v>
      </c>
      <c r="I787">
        <v>4304.1000000000004</v>
      </c>
      <c r="J787" t="s">
        <v>50</v>
      </c>
      <c r="K787" t="s">
        <v>36</v>
      </c>
      <c r="L787">
        <f t="shared" si="12"/>
        <v>34432.800000000003</v>
      </c>
    </row>
    <row r="788" spans="1:12" x14ac:dyDescent="0.3">
      <c r="A788" t="s">
        <v>2338</v>
      </c>
      <c r="B788" t="s">
        <v>2339</v>
      </c>
      <c r="C788" t="s">
        <v>2340</v>
      </c>
      <c r="D788" t="s">
        <v>514</v>
      </c>
      <c r="E788" t="s">
        <v>25</v>
      </c>
      <c r="F788" t="s">
        <v>26</v>
      </c>
      <c r="G788" t="s">
        <v>115</v>
      </c>
      <c r="H788">
        <v>7</v>
      </c>
      <c r="I788">
        <v>1913.93</v>
      </c>
      <c r="J788" t="s">
        <v>19</v>
      </c>
      <c r="K788" t="s">
        <v>29</v>
      </c>
      <c r="L788">
        <f t="shared" si="12"/>
        <v>13397.51</v>
      </c>
    </row>
    <row r="789" spans="1:12" x14ac:dyDescent="0.3">
      <c r="A789" t="s">
        <v>2341</v>
      </c>
      <c r="B789" t="s">
        <v>1113</v>
      </c>
      <c r="C789" t="s">
        <v>1477</v>
      </c>
      <c r="D789" t="s">
        <v>2342</v>
      </c>
      <c r="E789" t="s">
        <v>104</v>
      </c>
      <c r="F789" t="s">
        <v>17</v>
      </c>
      <c r="G789" t="s">
        <v>188</v>
      </c>
      <c r="H789">
        <v>8</v>
      </c>
      <c r="I789">
        <v>868.12</v>
      </c>
      <c r="J789" t="s">
        <v>19</v>
      </c>
      <c r="K789" t="s">
        <v>36</v>
      </c>
      <c r="L789">
        <f t="shared" si="12"/>
        <v>6944.96</v>
      </c>
    </row>
    <row r="790" spans="1:12" x14ac:dyDescent="0.3">
      <c r="A790" t="s">
        <v>2343</v>
      </c>
      <c r="B790" t="s">
        <v>1392</v>
      </c>
      <c r="C790" t="s">
        <v>2344</v>
      </c>
      <c r="D790" t="s">
        <v>387</v>
      </c>
      <c r="E790" t="s">
        <v>25</v>
      </c>
      <c r="F790" t="s">
        <v>77</v>
      </c>
      <c r="G790" t="s">
        <v>171</v>
      </c>
      <c r="H790">
        <v>7</v>
      </c>
      <c r="I790">
        <v>3731.49</v>
      </c>
      <c r="J790" t="s">
        <v>42</v>
      </c>
      <c r="K790" t="s">
        <v>83</v>
      </c>
      <c r="L790">
        <f t="shared" si="12"/>
        <v>26120.43</v>
      </c>
    </row>
    <row r="791" spans="1:12" x14ac:dyDescent="0.3">
      <c r="A791" t="s">
        <v>2345</v>
      </c>
      <c r="B791" t="s">
        <v>2346</v>
      </c>
      <c r="C791" t="s">
        <v>2347</v>
      </c>
      <c r="D791" t="s">
        <v>1438</v>
      </c>
      <c r="E791" t="s">
        <v>34</v>
      </c>
      <c r="F791" t="s">
        <v>77</v>
      </c>
      <c r="G791" t="s">
        <v>265</v>
      </c>
      <c r="H791">
        <v>6</v>
      </c>
      <c r="I791">
        <v>2304.06</v>
      </c>
      <c r="J791" t="s">
        <v>19</v>
      </c>
      <c r="K791" t="s">
        <v>51</v>
      </c>
      <c r="L791">
        <f t="shared" si="12"/>
        <v>13824.36</v>
      </c>
    </row>
    <row r="792" spans="1:12" x14ac:dyDescent="0.3">
      <c r="A792" t="s">
        <v>2348</v>
      </c>
      <c r="B792" t="s">
        <v>557</v>
      </c>
      <c r="C792" t="s">
        <v>2349</v>
      </c>
      <c r="D792" t="s">
        <v>2350</v>
      </c>
      <c r="E792" t="s">
        <v>62</v>
      </c>
      <c r="F792" t="s">
        <v>26</v>
      </c>
      <c r="G792" t="s">
        <v>166</v>
      </c>
      <c r="H792">
        <v>2</v>
      </c>
      <c r="I792">
        <v>336.46</v>
      </c>
      <c r="J792" t="s">
        <v>28</v>
      </c>
      <c r="K792" t="s">
        <v>83</v>
      </c>
      <c r="L792">
        <f t="shared" si="12"/>
        <v>672.92</v>
      </c>
    </row>
    <row r="793" spans="1:12" x14ac:dyDescent="0.3">
      <c r="A793" t="s">
        <v>2351</v>
      </c>
      <c r="B793" t="s">
        <v>2352</v>
      </c>
      <c r="C793" t="s">
        <v>2353</v>
      </c>
      <c r="D793" t="s">
        <v>1071</v>
      </c>
      <c r="E793" t="s">
        <v>104</v>
      </c>
      <c r="F793" t="s">
        <v>26</v>
      </c>
      <c r="G793" t="s">
        <v>296</v>
      </c>
      <c r="H793">
        <v>2</v>
      </c>
      <c r="I793">
        <v>4532.24</v>
      </c>
      <c r="J793" t="s">
        <v>28</v>
      </c>
      <c r="K793" t="s">
        <v>51</v>
      </c>
      <c r="L793">
        <f t="shared" si="12"/>
        <v>9064.48</v>
      </c>
    </row>
    <row r="794" spans="1:12" x14ac:dyDescent="0.3">
      <c r="A794" t="s">
        <v>2354</v>
      </c>
      <c r="B794" t="s">
        <v>2355</v>
      </c>
      <c r="C794" t="s">
        <v>2356</v>
      </c>
      <c r="D794" t="s">
        <v>2357</v>
      </c>
      <c r="E794" t="s">
        <v>95</v>
      </c>
      <c r="F794" t="s">
        <v>48</v>
      </c>
      <c r="G794" t="s">
        <v>63</v>
      </c>
      <c r="H794">
        <v>7</v>
      </c>
      <c r="I794">
        <v>1358.68</v>
      </c>
      <c r="J794" t="s">
        <v>19</v>
      </c>
      <c r="K794" t="s">
        <v>36</v>
      </c>
      <c r="L794">
        <f t="shared" si="12"/>
        <v>9510.76</v>
      </c>
    </row>
    <row r="795" spans="1:12" x14ac:dyDescent="0.3">
      <c r="A795" t="s">
        <v>2358</v>
      </c>
      <c r="B795" t="s">
        <v>2359</v>
      </c>
      <c r="C795" t="s">
        <v>1742</v>
      </c>
      <c r="D795" t="s">
        <v>55</v>
      </c>
      <c r="E795" t="s">
        <v>62</v>
      </c>
      <c r="F795" t="s">
        <v>48</v>
      </c>
      <c r="G795" t="s">
        <v>110</v>
      </c>
      <c r="H795">
        <v>5</v>
      </c>
      <c r="I795">
        <v>4119.12</v>
      </c>
      <c r="J795" t="s">
        <v>42</v>
      </c>
      <c r="K795" t="s">
        <v>51</v>
      </c>
      <c r="L795">
        <f t="shared" si="12"/>
        <v>20595.599999999999</v>
      </c>
    </row>
    <row r="796" spans="1:12" x14ac:dyDescent="0.3">
      <c r="A796" t="s">
        <v>2360</v>
      </c>
      <c r="B796" t="s">
        <v>1234</v>
      </c>
      <c r="C796" t="s">
        <v>2145</v>
      </c>
      <c r="D796" t="s">
        <v>1998</v>
      </c>
      <c r="E796" t="s">
        <v>128</v>
      </c>
      <c r="F796" t="s">
        <v>26</v>
      </c>
      <c r="G796" t="s">
        <v>208</v>
      </c>
      <c r="H796">
        <v>3</v>
      </c>
      <c r="I796">
        <v>3458.95</v>
      </c>
      <c r="J796" t="s">
        <v>50</v>
      </c>
      <c r="K796" t="s">
        <v>43</v>
      </c>
      <c r="L796">
        <f t="shared" si="12"/>
        <v>10376.849999999999</v>
      </c>
    </row>
    <row r="797" spans="1:12" x14ac:dyDescent="0.3">
      <c r="A797" t="s">
        <v>2361</v>
      </c>
      <c r="B797" t="s">
        <v>1161</v>
      </c>
      <c r="C797" t="s">
        <v>1963</v>
      </c>
      <c r="D797" t="s">
        <v>573</v>
      </c>
      <c r="E797" t="s">
        <v>56</v>
      </c>
      <c r="F797" t="s">
        <v>26</v>
      </c>
      <c r="G797" t="s">
        <v>115</v>
      </c>
      <c r="H797">
        <v>4</v>
      </c>
      <c r="I797">
        <v>535.25</v>
      </c>
      <c r="J797" t="s">
        <v>28</v>
      </c>
      <c r="K797" t="s">
        <v>43</v>
      </c>
      <c r="L797">
        <f t="shared" si="12"/>
        <v>2141</v>
      </c>
    </row>
    <row r="798" spans="1:12" x14ac:dyDescent="0.3">
      <c r="A798" t="s">
        <v>2362</v>
      </c>
      <c r="B798" t="s">
        <v>1491</v>
      </c>
      <c r="C798" t="s">
        <v>2363</v>
      </c>
      <c r="D798" t="s">
        <v>2364</v>
      </c>
      <c r="E798" t="s">
        <v>128</v>
      </c>
      <c r="F798" t="s">
        <v>77</v>
      </c>
      <c r="G798" t="s">
        <v>105</v>
      </c>
      <c r="H798">
        <v>3</v>
      </c>
      <c r="I798">
        <v>2732.19</v>
      </c>
      <c r="J798" t="s">
        <v>28</v>
      </c>
      <c r="K798" t="s">
        <v>83</v>
      </c>
      <c r="L798">
        <f t="shared" si="12"/>
        <v>8196.57</v>
      </c>
    </row>
    <row r="799" spans="1:12" x14ac:dyDescent="0.3">
      <c r="A799" t="s">
        <v>2365</v>
      </c>
      <c r="B799" t="s">
        <v>477</v>
      </c>
      <c r="C799" t="s">
        <v>2366</v>
      </c>
      <c r="D799" t="s">
        <v>2367</v>
      </c>
      <c r="E799" t="s">
        <v>62</v>
      </c>
      <c r="F799" t="s">
        <v>77</v>
      </c>
      <c r="G799" t="s">
        <v>78</v>
      </c>
      <c r="H799">
        <v>1</v>
      </c>
      <c r="I799">
        <v>1541.32</v>
      </c>
      <c r="J799" t="s">
        <v>50</v>
      </c>
      <c r="K799" t="s">
        <v>51</v>
      </c>
      <c r="L799">
        <f t="shared" si="12"/>
        <v>1541.32</v>
      </c>
    </row>
    <row r="800" spans="1:12" x14ac:dyDescent="0.3">
      <c r="A800" t="s">
        <v>2368</v>
      </c>
      <c r="B800" t="s">
        <v>347</v>
      </c>
      <c r="C800" t="s">
        <v>2369</v>
      </c>
      <c r="D800" t="s">
        <v>1063</v>
      </c>
      <c r="E800" t="s">
        <v>95</v>
      </c>
      <c r="F800" t="s">
        <v>77</v>
      </c>
      <c r="G800" t="s">
        <v>265</v>
      </c>
      <c r="H800">
        <v>5</v>
      </c>
      <c r="I800">
        <v>3561.44</v>
      </c>
      <c r="J800" t="s">
        <v>50</v>
      </c>
      <c r="K800" t="s">
        <v>43</v>
      </c>
      <c r="L800">
        <f t="shared" si="12"/>
        <v>17807.2</v>
      </c>
    </row>
    <row r="801" spans="1:12" x14ac:dyDescent="0.3">
      <c r="A801" t="s">
        <v>2370</v>
      </c>
      <c r="B801" t="s">
        <v>483</v>
      </c>
      <c r="C801" t="s">
        <v>2371</v>
      </c>
      <c r="D801" t="s">
        <v>1348</v>
      </c>
      <c r="E801" t="s">
        <v>16</v>
      </c>
      <c r="F801" t="s">
        <v>17</v>
      </c>
      <c r="G801" t="s">
        <v>18</v>
      </c>
      <c r="H801">
        <v>5</v>
      </c>
      <c r="I801">
        <v>1781.38</v>
      </c>
      <c r="J801" t="s">
        <v>50</v>
      </c>
      <c r="K801" t="s">
        <v>20</v>
      </c>
      <c r="L801">
        <f t="shared" si="12"/>
        <v>8906.9000000000015</v>
      </c>
    </row>
    <row r="802" spans="1:12" x14ac:dyDescent="0.3">
      <c r="A802" t="s">
        <v>2372</v>
      </c>
      <c r="B802" t="s">
        <v>1565</v>
      </c>
      <c r="C802" t="s">
        <v>2373</v>
      </c>
      <c r="D802" t="s">
        <v>1905</v>
      </c>
      <c r="E802" t="s">
        <v>95</v>
      </c>
      <c r="F802" t="s">
        <v>77</v>
      </c>
      <c r="G802" t="s">
        <v>105</v>
      </c>
      <c r="H802">
        <v>9</v>
      </c>
      <c r="I802">
        <v>224.14</v>
      </c>
      <c r="J802" t="s">
        <v>42</v>
      </c>
      <c r="K802" t="s">
        <v>83</v>
      </c>
      <c r="L802">
        <f t="shared" si="12"/>
        <v>2017.2599999999998</v>
      </c>
    </row>
    <row r="803" spans="1:12" x14ac:dyDescent="0.3">
      <c r="A803" t="s">
        <v>2374</v>
      </c>
      <c r="B803" t="s">
        <v>283</v>
      </c>
      <c r="C803" t="s">
        <v>2375</v>
      </c>
      <c r="D803" t="s">
        <v>2376</v>
      </c>
      <c r="E803" t="s">
        <v>128</v>
      </c>
      <c r="F803" t="s">
        <v>77</v>
      </c>
      <c r="G803" t="s">
        <v>265</v>
      </c>
      <c r="H803">
        <v>9</v>
      </c>
      <c r="I803">
        <v>646.64</v>
      </c>
      <c r="J803" t="s">
        <v>19</v>
      </c>
      <c r="K803" t="s">
        <v>83</v>
      </c>
      <c r="L803">
        <f t="shared" si="12"/>
        <v>5819.76</v>
      </c>
    </row>
    <row r="804" spans="1:12" x14ac:dyDescent="0.3">
      <c r="A804" t="s">
        <v>2377</v>
      </c>
      <c r="B804" t="s">
        <v>2378</v>
      </c>
      <c r="C804" t="s">
        <v>2299</v>
      </c>
      <c r="D804" t="s">
        <v>2379</v>
      </c>
      <c r="E804" t="s">
        <v>16</v>
      </c>
      <c r="F804" t="s">
        <v>48</v>
      </c>
      <c r="G804" t="s">
        <v>179</v>
      </c>
      <c r="H804">
        <v>8</v>
      </c>
      <c r="I804">
        <v>2247.13</v>
      </c>
      <c r="J804" t="s">
        <v>42</v>
      </c>
      <c r="K804" t="s">
        <v>51</v>
      </c>
      <c r="L804">
        <f t="shared" si="12"/>
        <v>17977.04</v>
      </c>
    </row>
    <row r="805" spans="1:12" x14ac:dyDescent="0.3">
      <c r="A805" t="s">
        <v>2380</v>
      </c>
      <c r="B805" t="s">
        <v>911</v>
      </c>
      <c r="C805" t="s">
        <v>1557</v>
      </c>
      <c r="D805" t="s">
        <v>15</v>
      </c>
      <c r="E805" t="s">
        <v>25</v>
      </c>
      <c r="F805" t="s">
        <v>48</v>
      </c>
      <c r="G805" t="s">
        <v>63</v>
      </c>
      <c r="H805">
        <v>4</v>
      </c>
      <c r="I805">
        <v>1721.27</v>
      </c>
      <c r="J805" t="s">
        <v>50</v>
      </c>
      <c r="K805" t="s">
        <v>43</v>
      </c>
      <c r="L805">
        <f t="shared" si="12"/>
        <v>6885.08</v>
      </c>
    </row>
    <row r="806" spans="1:12" x14ac:dyDescent="0.3">
      <c r="A806" t="s">
        <v>2381</v>
      </c>
      <c r="B806" t="s">
        <v>2382</v>
      </c>
      <c r="C806" t="s">
        <v>2383</v>
      </c>
      <c r="D806" t="s">
        <v>2384</v>
      </c>
      <c r="E806" t="s">
        <v>34</v>
      </c>
      <c r="F806" t="s">
        <v>48</v>
      </c>
      <c r="G806" t="s">
        <v>110</v>
      </c>
      <c r="H806">
        <v>2</v>
      </c>
      <c r="I806">
        <v>390.61</v>
      </c>
      <c r="J806" t="s">
        <v>28</v>
      </c>
      <c r="K806" t="s">
        <v>29</v>
      </c>
      <c r="L806">
        <f t="shared" si="12"/>
        <v>781.22</v>
      </c>
    </row>
    <row r="807" spans="1:12" x14ac:dyDescent="0.3">
      <c r="A807" t="s">
        <v>2385</v>
      </c>
      <c r="B807" t="s">
        <v>426</v>
      </c>
      <c r="C807" t="s">
        <v>2386</v>
      </c>
      <c r="D807" t="s">
        <v>2387</v>
      </c>
      <c r="E807" t="s">
        <v>62</v>
      </c>
      <c r="F807" t="s">
        <v>77</v>
      </c>
      <c r="G807" t="s">
        <v>105</v>
      </c>
      <c r="H807">
        <v>9</v>
      </c>
      <c r="I807">
        <v>4442.3500000000004</v>
      </c>
      <c r="J807" t="s">
        <v>19</v>
      </c>
      <c r="K807" t="s">
        <v>83</v>
      </c>
      <c r="L807">
        <f t="shared" si="12"/>
        <v>39981.15</v>
      </c>
    </row>
    <row r="808" spans="1:12" x14ac:dyDescent="0.3">
      <c r="A808" t="s">
        <v>2388</v>
      </c>
      <c r="B808" t="s">
        <v>877</v>
      </c>
      <c r="C808" t="s">
        <v>206</v>
      </c>
      <c r="D808" t="s">
        <v>2389</v>
      </c>
      <c r="E808" t="s">
        <v>95</v>
      </c>
      <c r="F808" t="s">
        <v>26</v>
      </c>
      <c r="G808" t="s">
        <v>115</v>
      </c>
      <c r="H808">
        <v>10</v>
      </c>
      <c r="I808">
        <v>1783.6</v>
      </c>
      <c r="J808" t="s">
        <v>19</v>
      </c>
      <c r="K808" t="s">
        <v>83</v>
      </c>
      <c r="L808">
        <f t="shared" si="12"/>
        <v>17836</v>
      </c>
    </row>
    <row r="809" spans="1:12" x14ac:dyDescent="0.3">
      <c r="A809" t="s">
        <v>2390</v>
      </c>
      <c r="B809" t="s">
        <v>844</v>
      </c>
      <c r="C809" t="s">
        <v>651</v>
      </c>
      <c r="D809" t="s">
        <v>2391</v>
      </c>
      <c r="E809" t="s">
        <v>104</v>
      </c>
      <c r="F809" t="s">
        <v>77</v>
      </c>
      <c r="G809" t="s">
        <v>171</v>
      </c>
      <c r="H809">
        <v>1</v>
      </c>
      <c r="I809">
        <v>1677.72</v>
      </c>
      <c r="J809" t="s">
        <v>28</v>
      </c>
      <c r="K809" t="s">
        <v>43</v>
      </c>
      <c r="L809">
        <f t="shared" si="12"/>
        <v>1677.72</v>
      </c>
    </row>
    <row r="810" spans="1:12" x14ac:dyDescent="0.3">
      <c r="A810" t="s">
        <v>2392</v>
      </c>
      <c r="B810" t="s">
        <v>2252</v>
      </c>
      <c r="C810" t="s">
        <v>925</v>
      </c>
      <c r="D810" t="s">
        <v>2393</v>
      </c>
      <c r="E810" t="s">
        <v>34</v>
      </c>
      <c r="F810" t="s">
        <v>26</v>
      </c>
      <c r="G810" t="s">
        <v>27</v>
      </c>
      <c r="H810">
        <v>7</v>
      </c>
      <c r="I810">
        <v>487.8</v>
      </c>
      <c r="J810" t="s">
        <v>42</v>
      </c>
      <c r="K810" t="s">
        <v>83</v>
      </c>
      <c r="L810">
        <f t="shared" si="12"/>
        <v>3414.6</v>
      </c>
    </row>
    <row r="811" spans="1:12" x14ac:dyDescent="0.3">
      <c r="A811" t="s">
        <v>2394</v>
      </c>
      <c r="B811" t="s">
        <v>2395</v>
      </c>
      <c r="C811" t="s">
        <v>2396</v>
      </c>
      <c r="D811" t="s">
        <v>455</v>
      </c>
      <c r="E811" t="s">
        <v>95</v>
      </c>
      <c r="F811" t="s">
        <v>48</v>
      </c>
      <c r="G811" t="s">
        <v>179</v>
      </c>
      <c r="H811">
        <v>1</v>
      </c>
      <c r="I811">
        <v>4341.3500000000004</v>
      </c>
      <c r="J811" t="s">
        <v>28</v>
      </c>
      <c r="K811" t="s">
        <v>29</v>
      </c>
      <c r="L811">
        <f t="shared" si="12"/>
        <v>4341.3500000000004</v>
      </c>
    </row>
    <row r="812" spans="1:12" x14ac:dyDescent="0.3">
      <c r="A812" t="s">
        <v>2397</v>
      </c>
      <c r="B812" t="s">
        <v>1032</v>
      </c>
      <c r="C812" t="s">
        <v>259</v>
      </c>
      <c r="D812" t="s">
        <v>666</v>
      </c>
      <c r="E812" t="s">
        <v>25</v>
      </c>
      <c r="F812" t="s">
        <v>77</v>
      </c>
      <c r="G812" t="s">
        <v>78</v>
      </c>
      <c r="H812">
        <v>5</v>
      </c>
      <c r="I812">
        <v>4513.88</v>
      </c>
      <c r="J812" t="s">
        <v>42</v>
      </c>
      <c r="K812" t="s">
        <v>51</v>
      </c>
      <c r="L812">
        <f t="shared" si="12"/>
        <v>22569.4</v>
      </c>
    </row>
    <row r="813" spans="1:12" x14ac:dyDescent="0.3">
      <c r="A813" t="s">
        <v>2398</v>
      </c>
      <c r="B813" t="s">
        <v>1039</v>
      </c>
      <c r="C813" t="s">
        <v>2291</v>
      </c>
      <c r="D813" t="s">
        <v>2399</v>
      </c>
      <c r="E813" t="s">
        <v>56</v>
      </c>
      <c r="F813" t="s">
        <v>26</v>
      </c>
      <c r="G813" t="s">
        <v>208</v>
      </c>
      <c r="H813">
        <v>4</v>
      </c>
      <c r="I813">
        <v>4064</v>
      </c>
      <c r="J813" t="s">
        <v>19</v>
      </c>
      <c r="K813" t="s">
        <v>20</v>
      </c>
      <c r="L813">
        <f t="shared" si="12"/>
        <v>16256</v>
      </c>
    </row>
    <row r="814" spans="1:12" x14ac:dyDescent="0.3">
      <c r="A814" t="s">
        <v>2400</v>
      </c>
      <c r="B814" t="s">
        <v>2273</v>
      </c>
      <c r="C814" t="s">
        <v>2401</v>
      </c>
      <c r="D814" t="s">
        <v>2402</v>
      </c>
      <c r="E814" t="s">
        <v>128</v>
      </c>
      <c r="F814" t="s">
        <v>17</v>
      </c>
      <c r="G814" t="s">
        <v>18</v>
      </c>
      <c r="H814">
        <v>9</v>
      </c>
      <c r="I814">
        <v>690.4</v>
      </c>
      <c r="J814" t="s">
        <v>19</v>
      </c>
      <c r="K814" t="s">
        <v>20</v>
      </c>
      <c r="L814">
        <f t="shared" si="12"/>
        <v>6213.5999999999995</v>
      </c>
    </row>
    <row r="815" spans="1:12" x14ac:dyDescent="0.3">
      <c r="A815" t="s">
        <v>2403</v>
      </c>
      <c r="B815" t="s">
        <v>112</v>
      </c>
      <c r="C815" t="s">
        <v>2404</v>
      </c>
      <c r="D815" t="s">
        <v>2405</v>
      </c>
      <c r="E815" t="s">
        <v>62</v>
      </c>
      <c r="F815" t="s">
        <v>17</v>
      </c>
      <c r="G815" t="s">
        <v>35</v>
      </c>
      <c r="H815">
        <v>8</v>
      </c>
      <c r="I815">
        <v>3628.25</v>
      </c>
      <c r="J815" t="s">
        <v>19</v>
      </c>
      <c r="K815" t="s">
        <v>51</v>
      </c>
      <c r="L815">
        <f t="shared" si="12"/>
        <v>29026</v>
      </c>
    </row>
    <row r="816" spans="1:12" x14ac:dyDescent="0.3">
      <c r="A816" t="s">
        <v>2406</v>
      </c>
      <c r="B816" t="s">
        <v>101</v>
      </c>
      <c r="C816" t="s">
        <v>2407</v>
      </c>
      <c r="D816" t="s">
        <v>821</v>
      </c>
      <c r="E816" t="s">
        <v>16</v>
      </c>
      <c r="F816" t="s">
        <v>77</v>
      </c>
      <c r="G816" t="s">
        <v>265</v>
      </c>
      <c r="H816">
        <v>1</v>
      </c>
      <c r="I816">
        <v>354.72</v>
      </c>
      <c r="J816" t="s">
        <v>28</v>
      </c>
      <c r="K816" t="s">
        <v>83</v>
      </c>
      <c r="L816">
        <f t="shared" si="12"/>
        <v>354.72</v>
      </c>
    </row>
    <row r="817" spans="1:12" x14ac:dyDescent="0.3">
      <c r="A817" t="s">
        <v>2408</v>
      </c>
      <c r="B817" t="s">
        <v>1556</v>
      </c>
      <c r="C817" t="s">
        <v>2409</v>
      </c>
      <c r="D817" t="s">
        <v>2410</v>
      </c>
      <c r="E817" t="s">
        <v>34</v>
      </c>
      <c r="F817" t="s">
        <v>17</v>
      </c>
      <c r="G817" t="s">
        <v>18</v>
      </c>
      <c r="H817">
        <v>10</v>
      </c>
      <c r="I817">
        <v>3966.62</v>
      </c>
      <c r="J817" t="s">
        <v>19</v>
      </c>
      <c r="K817" t="s">
        <v>43</v>
      </c>
      <c r="L817">
        <f t="shared" si="12"/>
        <v>39666.199999999997</v>
      </c>
    </row>
    <row r="818" spans="1:12" x14ac:dyDescent="0.3">
      <c r="A818" t="s">
        <v>2411</v>
      </c>
      <c r="B818" t="s">
        <v>1165</v>
      </c>
      <c r="C818" t="s">
        <v>2412</v>
      </c>
      <c r="D818" t="s">
        <v>2199</v>
      </c>
      <c r="E818" t="s">
        <v>95</v>
      </c>
      <c r="F818" t="s">
        <v>77</v>
      </c>
      <c r="G818" t="s">
        <v>265</v>
      </c>
      <c r="H818">
        <v>6</v>
      </c>
      <c r="I818">
        <v>3418.97</v>
      </c>
      <c r="J818" t="s">
        <v>28</v>
      </c>
      <c r="K818" t="s">
        <v>36</v>
      </c>
      <c r="L818">
        <f t="shared" si="12"/>
        <v>20513.82</v>
      </c>
    </row>
    <row r="819" spans="1:12" x14ac:dyDescent="0.3">
      <c r="A819" t="s">
        <v>2413</v>
      </c>
      <c r="B819" t="s">
        <v>2414</v>
      </c>
      <c r="C819" t="s">
        <v>182</v>
      </c>
      <c r="D819" t="s">
        <v>2415</v>
      </c>
      <c r="E819" t="s">
        <v>128</v>
      </c>
      <c r="F819" t="s">
        <v>48</v>
      </c>
      <c r="G819" t="s">
        <v>179</v>
      </c>
      <c r="H819">
        <v>3</v>
      </c>
      <c r="I819">
        <v>965.89</v>
      </c>
      <c r="J819" t="s">
        <v>50</v>
      </c>
      <c r="K819" t="s">
        <v>36</v>
      </c>
      <c r="L819">
        <f t="shared" si="12"/>
        <v>2897.67</v>
      </c>
    </row>
    <row r="820" spans="1:12" x14ac:dyDescent="0.3">
      <c r="A820" t="s">
        <v>2416</v>
      </c>
      <c r="B820" t="s">
        <v>728</v>
      </c>
      <c r="C820" t="s">
        <v>1184</v>
      </c>
      <c r="D820" t="s">
        <v>40</v>
      </c>
      <c r="E820" t="s">
        <v>95</v>
      </c>
      <c r="F820" t="s">
        <v>77</v>
      </c>
      <c r="G820" t="s">
        <v>123</v>
      </c>
      <c r="H820">
        <v>9</v>
      </c>
      <c r="I820">
        <v>1753.58</v>
      </c>
      <c r="J820" t="s">
        <v>28</v>
      </c>
      <c r="K820" t="s">
        <v>20</v>
      </c>
      <c r="L820">
        <f t="shared" si="12"/>
        <v>15782.22</v>
      </c>
    </row>
    <row r="821" spans="1:12" x14ac:dyDescent="0.3">
      <c r="A821" t="s">
        <v>2417</v>
      </c>
      <c r="B821" t="s">
        <v>1079</v>
      </c>
      <c r="C821" t="s">
        <v>2418</v>
      </c>
      <c r="D821" t="s">
        <v>1698</v>
      </c>
      <c r="E821" t="s">
        <v>16</v>
      </c>
      <c r="F821" t="s">
        <v>77</v>
      </c>
      <c r="G821" t="s">
        <v>171</v>
      </c>
      <c r="H821">
        <v>1</v>
      </c>
      <c r="I821">
        <v>4622.6499999999996</v>
      </c>
      <c r="J821" t="s">
        <v>42</v>
      </c>
      <c r="K821" t="s">
        <v>83</v>
      </c>
      <c r="L821">
        <f t="shared" si="12"/>
        <v>4622.6499999999996</v>
      </c>
    </row>
    <row r="822" spans="1:12" x14ac:dyDescent="0.3">
      <c r="A822" t="s">
        <v>2419</v>
      </c>
      <c r="B822" t="s">
        <v>639</v>
      </c>
      <c r="C822" t="s">
        <v>2420</v>
      </c>
      <c r="D822" t="s">
        <v>2421</v>
      </c>
      <c r="E822" t="s">
        <v>25</v>
      </c>
      <c r="F822" t="s">
        <v>26</v>
      </c>
      <c r="G822" t="s">
        <v>166</v>
      </c>
      <c r="H822">
        <v>5</v>
      </c>
      <c r="I822">
        <v>2583.02</v>
      </c>
      <c r="J822" t="s">
        <v>50</v>
      </c>
      <c r="K822" t="s">
        <v>36</v>
      </c>
      <c r="L822">
        <f t="shared" si="12"/>
        <v>12915.1</v>
      </c>
    </row>
    <row r="823" spans="1:12" x14ac:dyDescent="0.3">
      <c r="A823" t="s">
        <v>2422</v>
      </c>
      <c r="B823" t="s">
        <v>2423</v>
      </c>
      <c r="C823" t="s">
        <v>1808</v>
      </c>
      <c r="D823" t="s">
        <v>2424</v>
      </c>
      <c r="E823" t="s">
        <v>128</v>
      </c>
      <c r="F823" t="s">
        <v>48</v>
      </c>
      <c r="G823" t="s">
        <v>49</v>
      </c>
      <c r="H823">
        <v>1</v>
      </c>
      <c r="I823">
        <v>2756.33</v>
      </c>
      <c r="J823" t="s">
        <v>50</v>
      </c>
      <c r="K823" t="s">
        <v>36</v>
      </c>
      <c r="L823">
        <f t="shared" si="12"/>
        <v>2756.33</v>
      </c>
    </row>
    <row r="824" spans="1:12" x14ac:dyDescent="0.3">
      <c r="A824" t="s">
        <v>2425</v>
      </c>
      <c r="B824" t="s">
        <v>1759</v>
      </c>
      <c r="C824" t="s">
        <v>2426</v>
      </c>
      <c r="D824" t="s">
        <v>2289</v>
      </c>
      <c r="E824" t="s">
        <v>34</v>
      </c>
      <c r="F824" t="s">
        <v>17</v>
      </c>
      <c r="G824" t="s">
        <v>35</v>
      </c>
      <c r="H824">
        <v>7</v>
      </c>
      <c r="I824">
        <v>932.6</v>
      </c>
      <c r="J824" t="s">
        <v>19</v>
      </c>
      <c r="K824" t="s">
        <v>36</v>
      </c>
      <c r="L824">
        <f t="shared" si="12"/>
        <v>6528.2</v>
      </c>
    </row>
    <row r="825" spans="1:12" x14ac:dyDescent="0.3">
      <c r="A825" t="s">
        <v>2427</v>
      </c>
      <c r="B825" t="s">
        <v>1334</v>
      </c>
      <c r="C825" t="s">
        <v>223</v>
      </c>
      <c r="D825" t="s">
        <v>303</v>
      </c>
      <c r="E825" t="s">
        <v>25</v>
      </c>
      <c r="F825" t="s">
        <v>48</v>
      </c>
      <c r="G825" t="s">
        <v>110</v>
      </c>
      <c r="H825">
        <v>8</v>
      </c>
      <c r="I825">
        <v>664.82</v>
      </c>
      <c r="J825" t="s">
        <v>19</v>
      </c>
      <c r="K825" t="s">
        <v>29</v>
      </c>
      <c r="L825">
        <f t="shared" si="12"/>
        <v>5318.56</v>
      </c>
    </row>
    <row r="826" spans="1:12" x14ac:dyDescent="0.3">
      <c r="A826" t="s">
        <v>2428</v>
      </c>
      <c r="B826" t="s">
        <v>1209</v>
      </c>
      <c r="C826" t="s">
        <v>558</v>
      </c>
      <c r="D826" t="s">
        <v>2429</v>
      </c>
      <c r="E826" t="s">
        <v>56</v>
      </c>
      <c r="F826" t="s">
        <v>26</v>
      </c>
      <c r="G826" t="s">
        <v>296</v>
      </c>
      <c r="H826">
        <v>8</v>
      </c>
      <c r="I826">
        <v>4872.67</v>
      </c>
      <c r="J826" t="s">
        <v>42</v>
      </c>
      <c r="K826" t="s">
        <v>43</v>
      </c>
      <c r="L826">
        <f t="shared" si="12"/>
        <v>38981.360000000001</v>
      </c>
    </row>
    <row r="827" spans="1:12" x14ac:dyDescent="0.3">
      <c r="A827" t="s">
        <v>2430</v>
      </c>
      <c r="B827" t="s">
        <v>2155</v>
      </c>
      <c r="C827" t="s">
        <v>1395</v>
      </c>
      <c r="D827" t="s">
        <v>2278</v>
      </c>
      <c r="E827" t="s">
        <v>62</v>
      </c>
      <c r="F827" t="s">
        <v>17</v>
      </c>
      <c r="G827" t="s">
        <v>188</v>
      </c>
      <c r="H827">
        <v>5</v>
      </c>
      <c r="I827">
        <v>621</v>
      </c>
      <c r="J827" t="s">
        <v>42</v>
      </c>
      <c r="K827" t="s">
        <v>29</v>
      </c>
      <c r="L827">
        <f t="shared" si="12"/>
        <v>3105</v>
      </c>
    </row>
    <row r="828" spans="1:12" x14ac:dyDescent="0.3">
      <c r="A828" t="s">
        <v>2431</v>
      </c>
      <c r="B828" t="s">
        <v>218</v>
      </c>
      <c r="C828" t="s">
        <v>321</v>
      </c>
      <c r="D828" t="s">
        <v>252</v>
      </c>
      <c r="E828" t="s">
        <v>128</v>
      </c>
      <c r="F828" t="s">
        <v>17</v>
      </c>
      <c r="G828" t="s">
        <v>68</v>
      </c>
      <c r="H828">
        <v>7</v>
      </c>
      <c r="I828">
        <v>3388.81</v>
      </c>
      <c r="J828" t="s">
        <v>42</v>
      </c>
      <c r="K828" t="s">
        <v>36</v>
      </c>
      <c r="L828">
        <f t="shared" si="12"/>
        <v>23721.67</v>
      </c>
    </row>
    <row r="829" spans="1:12" x14ac:dyDescent="0.3">
      <c r="A829" t="s">
        <v>2432</v>
      </c>
      <c r="B829" t="s">
        <v>2433</v>
      </c>
      <c r="C829" t="s">
        <v>356</v>
      </c>
      <c r="D829" t="s">
        <v>2434</v>
      </c>
      <c r="E829" t="s">
        <v>16</v>
      </c>
      <c r="F829" t="s">
        <v>17</v>
      </c>
      <c r="G829" t="s">
        <v>41</v>
      </c>
      <c r="H829">
        <v>3</v>
      </c>
      <c r="I829">
        <v>2349.42</v>
      </c>
      <c r="J829" t="s">
        <v>28</v>
      </c>
      <c r="K829" t="s">
        <v>43</v>
      </c>
      <c r="L829">
        <f t="shared" si="12"/>
        <v>7048.26</v>
      </c>
    </row>
    <row r="830" spans="1:12" x14ac:dyDescent="0.3">
      <c r="A830" t="s">
        <v>2435</v>
      </c>
      <c r="B830" t="s">
        <v>2296</v>
      </c>
      <c r="C830" t="s">
        <v>2436</v>
      </c>
      <c r="D830" t="s">
        <v>806</v>
      </c>
      <c r="E830" t="s">
        <v>25</v>
      </c>
      <c r="F830" t="s">
        <v>17</v>
      </c>
      <c r="G830" t="s">
        <v>35</v>
      </c>
      <c r="H830">
        <v>1</v>
      </c>
      <c r="I830">
        <v>819.16</v>
      </c>
      <c r="J830" t="s">
        <v>42</v>
      </c>
      <c r="K830" t="s">
        <v>51</v>
      </c>
      <c r="L830">
        <f t="shared" si="12"/>
        <v>819.16</v>
      </c>
    </row>
    <row r="831" spans="1:12" x14ac:dyDescent="0.3">
      <c r="A831" t="s">
        <v>2437</v>
      </c>
      <c r="B831" t="s">
        <v>2298</v>
      </c>
      <c r="C831" t="s">
        <v>2438</v>
      </c>
      <c r="D831" t="s">
        <v>2439</v>
      </c>
      <c r="E831" t="s">
        <v>95</v>
      </c>
      <c r="F831" t="s">
        <v>77</v>
      </c>
      <c r="G831" t="s">
        <v>105</v>
      </c>
      <c r="H831">
        <v>6</v>
      </c>
      <c r="I831">
        <v>2999.74</v>
      </c>
      <c r="J831" t="s">
        <v>28</v>
      </c>
      <c r="K831" t="s">
        <v>83</v>
      </c>
      <c r="L831">
        <f t="shared" si="12"/>
        <v>17998.439999999999</v>
      </c>
    </row>
    <row r="832" spans="1:12" x14ac:dyDescent="0.3">
      <c r="A832" t="s">
        <v>2440</v>
      </c>
      <c r="B832" t="s">
        <v>2441</v>
      </c>
      <c r="C832" t="s">
        <v>2442</v>
      </c>
      <c r="D832" t="s">
        <v>2443</v>
      </c>
      <c r="E832" t="s">
        <v>25</v>
      </c>
      <c r="F832" t="s">
        <v>26</v>
      </c>
      <c r="G832" t="s">
        <v>296</v>
      </c>
      <c r="H832">
        <v>2</v>
      </c>
      <c r="I832">
        <v>3353.22</v>
      </c>
      <c r="J832" t="s">
        <v>42</v>
      </c>
      <c r="K832" t="s">
        <v>20</v>
      </c>
      <c r="L832">
        <f t="shared" si="12"/>
        <v>6706.44</v>
      </c>
    </row>
    <row r="833" spans="1:12" x14ac:dyDescent="0.3">
      <c r="A833" t="s">
        <v>2444</v>
      </c>
      <c r="B833" t="s">
        <v>2445</v>
      </c>
      <c r="C833" t="s">
        <v>423</v>
      </c>
      <c r="D833" t="s">
        <v>2446</v>
      </c>
      <c r="E833" t="s">
        <v>16</v>
      </c>
      <c r="F833" t="s">
        <v>26</v>
      </c>
      <c r="G833" t="s">
        <v>296</v>
      </c>
      <c r="H833">
        <v>1</v>
      </c>
      <c r="I833">
        <v>4309.3999999999996</v>
      </c>
      <c r="J833" t="s">
        <v>50</v>
      </c>
      <c r="K833" t="s">
        <v>43</v>
      </c>
      <c r="L833">
        <f t="shared" si="12"/>
        <v>4309.3999999999996</v>
      </c>
    </row>
    <row r="834" spans="1:12" x14ac:dyDescent="0.3">
      <c r="A834" t="s">
        <v>2447</v>
      </c>
      <c r="B834" t="s">
        <v>2448</v>
      </c>
      <c r="C834" t="s">
        <v>2253</v>
      </c>
      <c r="D834" t="s">
        <v>2393</v>
      </c>
      <c r="E834" t="s">
        <v>56</v>
      </c>
      <c r="F834" t="s">
        <v>48</v>
      </c>
      <c r="G834" t="s">
        <v>57</v>
      </c>
      <c r="H834">
        <v>3</v>
      </c>
      <c r="I834">
        <v>4359.1899999999996</v>
      </c>
      <c r="J834" t="s">
        <v>28</v>
      </c>
      <c r="K834" t="s">
        <v>51</v>
      </c>
      <c r="L834">
        <f t="shared" si="12"/>
        <v>13077.57</v>
      </c>
    </row>
    <row r="835" spans="1:12" x14ac:dyDescent="0.3">
      <c r="A835" t="s">
        <v>2449</v>
      </c>
      <c r="B835" t="s">
        <v>226</v>
      </c>
      <c r="C835" t="s">
        <v>2450</v>
      </c>
      <c r="D835" t="s">
        <v>2451</v>
      </c>
      <c r="E835" t="s">
        <v>128</v>
      </c>
      <c r="F835" t="s">
        <v>26</v>
      </c>
      <c r="G835" t="s">
        <v>296</v>
      </c>
      <c r="H835">
        <v>8</v>
      </c>
      <c r="I835">
        <v>2077.02</v>
      </c>
      <c r="J835" t="s">
        <v>19</v>
      </c>
      <c r="K835" t="s">
        <v>36</v>
      </c>
      <c r="L835">
        <f t="shared" ref="L835:L898" si="13">H835*I835</f>
        <v>16616.16</v>
      </c>
    </row>
    <row r="836" spans="1:12" x14ac:dyDescent="0.3">
      <c r="A836" t="s">
        <v>2452</v>
      </c>
      <c r="B836" t="s">
        <v>1113</v>
      </c>
      <c r="C836" t="s">
        <v>2453</v>
      </c>
      <c r="D836" t="s">
        <v>2454</v>
      </c>
      <c r="E836" t="s">
        <v>25</v>
      </c>
      <c r="F836" t="s">
        <v>77</v>
      </c>
      <c r="G836" t="s">
        <v>78</v>
      </c>
      <c r="H836">
        <v>1</v>
      </c>
      <c r="I836">
        <v>2615.48</v>
      </c>
      <c r="J836" t="s">
        <v>19</v>
      </c>
      <c r="K836" t="s">
        <v>43</v>
      </c>
      <c r="L836">
        <f t="shared" si="13"/>
        <v>2615.48</v>
      </c>
    </row>
    <row r="837" spans="1:12" x14ac:dyDescent="0.3">
      <c r="A837" t="s">
        <v>2455</v>
      </c>
      <c r="B837" t="s">
        <v>401</v>
      </c>
      <c r="C837" t="s">
        <v>1742</v>
      </c>
      <c r="D837" t="s">
        <v>2456</v>
      </c>
      <c r="E837" t="s">
        <v>128</v>
      </c>
      <c r="F837" t="s">
        <v>77</v>
      </c>
      <c r="G837" t="s">
        <v>171</v>
      </c>
      <c r="H837">
        <v>6</v>
      </c>
      <c r="I837">
        <v>4254.71</v>
      </c>
      <c r="J837" t="s">
        <v>28</v>
      </c>
      <c r="K837" t="s">
        <v>83</v>
      </c>
      <c r="L837">
        <f t="shared" si="13"/>
        <v>25528.260000000002</v>
      </c>
    </row>
    <row r="838" spans="1:12" x14ac:dyDescent="0.3">
      <c r="A838" t="s">
        <v>2457</v>
      </c>
      <c r="B838" t="s">
        <v>2458</v>
      </c>
      <c r="C838" t="s">
        <v>427</v>
      </c>
      <c r="D838" t="s">
        <v>341</v>
      </c>
      <c r="E838" t="s">
        <v>62</v>
      </c>
      <c r="F838" t="s">
        <v>17</v>
      </c>
      <c r="G838" t="s">
        <v>188</v>
      </c>
      <c r="H838">
        <v>5</v>
      </c>
      <c r="I838">
        <v>2028.6</v>
      </c>
      <c r="J838" t="s">
        <v>50</v>
      </c>
      <c r="K838" t="s">
        <v>20</v>
      </c>
      <c r="L838">
        <f t="shared" si="13"/>
        <v>10143</v>
      </c>
    </row>
    <row r="839" spans="1:12" x14ac:dyDescent="0.3">
      <c r="A839" t="s">
        <v>2459</v>
      </c>
      <c r="B839" t="s">
        <v>2460</v>
      </c>
      <c r="C839" t="s">
        <v>2248</v>
      </c>
      <c r="D839" t="s">
        <v>2461</v>
      </c>
      <c r="E839" t="s">
        <v>34</v>
      </c>
      <c r="F839" t="s">
        <v>17</v>
      </c>
      <c r="G839" t="s">
        <v>35</v>
      </c>
      <c r="H839">
        <v>2</v>
      </c>
      <c r="I839">
        <v>2187.27</v>
      </c>
      <c r="J839" t="s">
        <v>50</v>
      </c>
      <c r="K839" t="s">
        <v>83</v>
      </c>
      <c r="L839">
        <f t="shared" si="13"/>
        <v>4374.54</v>
      </c>
    </row>
    <row r="840" spans="1:12" x14ac:dyDescent="0.3">
      <c r="A840" t="s">
        <v>2462</v>
      </c>
      <c r="B840" t="s">
        <v>2463</v>
      </c>
      <c r="C840" t="s">
        <v>2464</v>
      </c>
      <c r="D840" t="s">
        <v>2465</v>
      </c>
      <c r="E840" t="s">
        <v>16</v>
      </c>
      <c r="F840" t="s">
        <v>77</v>
      </c>
      <c r="G840" t="s">
        <v>78</v>
      </c>
      <c r="H840">
        <v>2</v>
      </c>
      <c r="I840">
        <v>943.37</v>
      </c>
      <c r="J840" t="s">
        <v>19</v>
      </c>
      <c r="K840" t="s">
        <v>43</v>
      </c>
      <c r="L840">
        <f t="shared" si="13"/>
        <v>1886.74</v>
      </c>
    </row>
    <row r="841" spans="1:12" x14ac:dyDescent="0.3">
      <c r="A841" t="s">
        <v>2466</v>
      </c>
      <c r="B841" t="s">
        <v>946</v>
      </c>
      <c r="C841" t="s">
        <v>1661</v>
      </c>
      <c r="D841" t="s">
        <v>2467</v>
      </c>
      <c r="E841" t="s">
        <v>56</v>
      </c>
      <c r="F841" t="s">
        <v>48</v>
      </c>
      <c r="G841" t="s">
        <v>57</v>
      </c>
      <c r="H841">
        <v>1</v>
      </c>
      <c r="I841">
        <v>1750.03</v>
      </c>
      <c r="J841" t="s">
        <v>28</v>
      </c>
      <c r="K841" t="s">
        <v>43</v>
      </c>
      <c r="L841">
        <f t="shared" si="13"/>
        <v>1750.03</v>
      </c>
    </row>
    <row r="842" spans="1:12" x14ac:dyDescent="0.3">
      <c r="A842" t="s">
        <v>2468</v>
      </c>
      <c r="B842" t="s">
        <v>1147</v>
      </c>
      <c r="C842" t="s">
        <v>1431</v>
      </c>
      <c r="D842" t="s">
        <v>2402</v>
      </c>
      <c r="E842" t="s">
        <v>56</v>
      </c>
      <c r="F842" t="s">
        <v>48</v>
      </c>
      <c r="G842" t="s">
        <v>57</v>
      </c>
      <c r="H842">
        <v>1</v>
      </c>
      <c r="I842">
        <v>4185.99</v>
      </c>
      <c r="J842" t="s">
        <v>19</v>
      </c>
      <c r="K842" t="s">
        <v>51</v>
      </c>
      <c r="L842">
        <f t="shared" si="13"/>
        <v>4185.99</v>
      </c>
    </row>
    <row r="843" spans="1:12" x14ac:dyDescent="0.3">
      <c r="A843" t="s">
        <v>2469</v>
      </c>
      <c r="B843" t="s">
        <v>433</v>
      </c>
      <c r="C843" t="s">
        <v>2470</v>
      </c>
      <c r="D843" t="s">
        <v>2334</v>
      </c>
      <c r="E843" t="s">
        <v>104</v>
      </c>
      <c r="F843" t="s">
        <v>48</v>
      </c>
      <c r="G843" t="s">
        <v>63</v>
      </c>
      <c r="H843">
        <v>8</v>
      </c>
      <c r="I843">
        <v>4018.37</v>
      </c>
      <c r="J843" t="s">
        <v>19</v>
      </c>
      <c r="K843" t="s">
        <v>51</v>
      </c>
      <c r="L843">
        <f t="shared" si="13"/>
        <v>32146.959999999999</v>
      </c>
    </row>
    <row r="844" spans="1:12" x14ac:dyDescent="0.3">
      <c r="A844" t="s">
        <v>2471</v>
      </c>
      <c r="B844" t="s">
        <v>1867</v>
      </c>
      <c r="C844" t="s">
        <v>2472</v>
      </c>
      <c r="D844" t="s">
        <v>299</v>
      </c>
      <c r="E844" t="s">
        <v>34</v>
      </c>
      <c r="F844" t="s">
        <v>77</v>
      </c>
      <c r="G844" t="s">
        <v>171</v>
      </c>
      <c r="H844">
        <v>3</v>
      </c>
      <c r="I844">
        <v>1406.18</v>
      </c>
      <c r="J844" t="s">
        <v>50</v>
      </c>
      <c r="K844" t="s">
        <v>43</v>
      </c>
      <c r="L844">
        <f t="shared" si="13"/>
        <v>4218.54</v>
      </c>
    </row>
    <row r="845" spans="1:12" x14ac:dyDescent="0.3">
      <c r="A845" t="s">
        <v>2473</v>
      </c>
      <c r="B845" t="s">
        <v>2052</v>
      </c>
      <c r="C845" t="s">
        <v>1389</v>
      </c>
      <c r="D845" t="s">
        <v>2474</v>
      </c>
      <c r="E845" t="s">
        <v>34</v>
      </c>
      <c r="F845" t="s">
        <v>26</v>
      </c>
      <c r="G845" t="s">
        <v>166</v>
      </c>
      <c r="H845">
        <v>10</v>
      </c>
      <c r="I845">
        <v>3034.68</v>
      </c>
      <c r="J845" t="s">
        <v>50</v>
      </c>
      <c r="K845" t="s">
        <v>83</v>
      </c>
      <c r="L845">
        <f t="shared" si="13"/>
        <v>30346.799999999999</v>
      </c>
    </row>
    <row r="846" spans="1:12" x14ac:dyDescent="0.3">
      <c r="A846" t="s">
        <v>2475</v>
      </c>
      <c r="B846" t="s">
        <v>181</v>
      </c>
      <c r="C846" t="s">
        <v>1223</v>
      </c>
      <c r="D846" t="s">
        <v>2476</v>
      </c>
      <c r="E846" t="s">
        <v>25</v>
      </c>
      <c r="F846" t="s">
        <v>48</v>
      </c>
      <c r="G846" t="s">
        <v>63</v>
      </c>
      <c r="H846">
        <v>5</v>
      </c>
      <c r="I846">
        <v>4039.15</v>
      </c>
      <c r="J846" t="s">
        <v>42</v>
      </c>
      <c r="K846" t="s">
        <v>29</v>
      </c>
      <c r="L846">
        <f t="shared" si="13"/>
        <v>20195.75</v>
      </c>
    </row>
    <row r="847" spans="1:12" x14ac:dyDescent="0.3">
      <c r="A847" t="s">
        <v>2477</v>
      </c>
      <c r="B847" t="s">
        <v>1462</v>
      </c>
      <c r="C847" t="s">
        <v>831</v>
      </c>
      <c r="D847" t="s">
        <v>2021</v>
      </c>
      <c r="E847" t="s">
        <v>16</v>
      </c>
      <c r="F847" t="s">
        <v>17</v>
      </c>
      <c r="G847" t="s">
        <v>188</v>
      </c>
      <c r="H847">
        <v>8</v>
      </c>
      <c r="I847">
        <v>1679.17</v>
      </c>
      <c r="J847" t="s">
        <v>28</v>
      </c>
      <c r="K847" t="s">
        <v>51</v>
      </c>
      <c r="L847">
        <f t="shared" si="13"/>
        <v>13433.36</v>
      </c>
    </row>
    <row r="848" spans="1:12" x14ac:dyDescent="0.3">
      <c r="A848" t="s">
        <v>2478</v>
      </c>
      <c r="B848" t="s">
        <v>2355</v>
      </c>
      <c r="C848" t="s">
        <v>2479</v>
      </c>
      <c r="D848" t="s">
        <v>2480</v>
      </c>
      <c r="E848" t="s">
        <v>16</v>
      </c>
      <c r="F848" t="s">
        <v>77</v>
      </c>
      <c r="G848" t="s">
        <v>265</v>
      </c>
      <c r="H848">
        <v>6</v>
      </c>
      <c r="I848">
        <v>3413.23</v>
      </c>
      <c r="J848" t="s">
        <v>19</v>
      </c>
      <c r="K848" t="s">
        <v>36</v>
      </c>
      <c r="L848">
        <f t="shared" si="13"/>
        <v>20479.38</v>
      </c>
    </row>
    <row r="849" spans="1:12" x14ac:dyDescent="0.3">
      <c r="A849" t="s">
        <v>2481</v>
      </c>
      <c r="B849" t="s">
        <v>134</v>
      </c>
      <c r="C849" t="s">
        <v>2482</v>
      </c>
      <c r="D849" t="s">
        <v>1129</v>
      </c>
      <c r="E849" t="s">
        <v>62</v>
      </c>
      <c r="F849" t="s">
        <v>77</v>
      </c>
      <c r="G849" t="s">
        <v>265</v>
      </c>
      <c r="H849">
        <v>1</v>
      </c>
      <c r="I849">
        <v>645.19000000000005</v>
      </c>
      <c r="J849" t="s">
        <v>19</v>
      </c>
      <c r="K849" t="s">
        <v>51</v>
      </c>
      <c r="L849">
        <f t="shared" si="13"/>
        <v>645.19000000000005</v>
      </c>
    </row>
    <row r="850" spans="1:12" x14ac:dyDescent="0.3">
      <c r="A850" t="s">
        <v>2483</v>
      </c>
      <c r="B850" t="s">
        <v>854</v>
      </c>
      <c r="C850" t="s">
        <v>2484</v>
      </c>
      <c r="D850" t="s">
        <v>838</v>
      </c>
      <c r="E850" t="s">
        <v>95</v>
      </c>
      <c r="F850" t="s">
        <v>26</v>
      </c>
      <c r="G850" t="s">
        <v>296</v>
      </c>
      <c r="H850">
        <v>8</v>
      </c>
      <c r="I850">
        <v>1669.81</v>
      </c>
      <c r="J850" t="s">
        <v>42</v>
      </c>
      <c r="K850" t="s">
        <v>43</v>
      </c>
      <c r="L850">
        <f t="shared" si="13"/>
        <v>13358.48</v>
      </c>
    </row>
    <row r="851" spans="1:12" x14ac:dyDescent="0.3">
      <c r="A851" t="s">
        <v>2485</v>
      </c>
      <c r="B851" t="s">
        <v>2486</v>
      </c>
      <c r="C851" t="s">
        <v>2487</v>
      </c>
      <c r="D851" t="s">
        <v>2173</v>
      </c>
      <c r="E851" t="s">
        <v>25</v>
      </c>
      <c r="F851" t="s">
        <v>26</v>
      </c>
      <c r="G851" t="s">
        <v>166</v>
      </c>
      <c r="H851">
        <v>9</v>
      </c>
      <c r="I851">
        <v>4137.8</v>
      </c>
      <c r="J851" t="s">
        <v>42</v>
      </c>
      <c r="K851" t="s">
        <v>83</v>
      </c>
      <c r="L851">
        <f t="shared" si="13"/>
        <v>37240.200000000004</v>
      </c>
    </row>
    <row r="852" spans="1:12" x14ac:dyDescent="0.3">
      <c r="A852" t="s">
        <v>2488</v>
      </c>
      <c r="B852" t="s">
        <v>2489</v>
      </c>
      <c r="C852" t="s">
        <v>23</v>
      </c>
      <c r="D852" t="s">
        <v>2490</v>
      </c>
      <c r="E852" t="s">
        <v>104</v>
      </c>
      <c r="F852" t="s">
        <v>48</v>
      </c>
      <c r="G852" t="s">
        <v>110</v>
      </c>
      <c r="H852">
        <v>1</v>
      </c>
      <c r="I852">
        <v>4067.74</v>
      </c>
      <c r="J852" t="s">
        <v>50</v>
      </c>
      <c r="K852" t="s">
        <v>29</v>
      </c>
      <c r="L852">
        <f t="shared" si="13"/>
        <v>4067.74</v>
      </c>
    </row>
    <row r="853" spans="1:12" x14ac:dyDescent="0.3">
      <c r="A853" t="s">
        <v>2491</v>
      </c>
      <c r="B853" t="s">
        <v>1169</v>
      </c>
      <c r="C853" t="s">
        <v>329</v>
      </c>
      <c r="D853" t="s">
        <v>666</v>
      </c>
      <c r="E853" t="s">
        <v>62</v>
      </c>
      <c r="F853" t="s">
        <v>26</v>
      </c>
      <c r="G853" t="s">
        <v>115</v>
      </c>
      <c r="H853">
        <v>1</v>
      </c>
      <c r="I853">
        <v>1761.33</v>
      </c>
      <c r="J853" t="s">
        <v>50</v>
      </c>
      <c r="K853" t="s">
        <v>43</v>
      </c>
      <c r="L853">
        <f t="shared" si="13"/>
        <v>1761.33</v>
      </c>
    </row>
    <row r="854" spans="1:12" x14ac:dyDescent="0.3">
      <c r="A854" t="s">
        <v>2492</v>
      </c>
      <c r="B854" t="s">
        <v>2493</v>
      </c>
      <c r="C854" t="s">
        <v>1327</v>
      </c>
      <c r="D854" t="s">
        <v>2332</v>
      </c>
      <c r="E854" t="s">
        <v>34</v>
      </c>
      <c r="F854" t="s">
        <v>77</v>
      </c>
      <c r="G854" t="s">
        <v>265</v>
      </c>
      <c r="H854">
        <v>1</v>
      </c>
      <c r="I854">
        <v>2112.69</v>
      </c>
      <c r="J854" t="s">
        <v>19</v>
      </c>
      <c r="K854" t="s">
        <v>51</v>
      </c>
      <c r="L854">
        <f t="shared" si="13"/>
        <v>2112.69</v>
      </c>
    </row>
    <row r="855" spans="1:12" x14ac:dyDescent="0.3">
      <c r="A855" t="s">
        <v>2494</v>
      </c>
      <c r="B855" t="s">
        <v>1153</v>
      </c>
      <c r="C855" t="s">
        <v>710</v>
      </c>
      <c r="D855" t="s">
        <v>2495</v>
      </c>
      <c r="E855" t="s">
        <v>62</v>
      </c>
      <c r="F855" t="s">
        <v>77</v>
      </c>
      <c r="G855" t="s">
        <v>105</v>
      </c>
      <c r="H855">
        <v>5</v>
      </c>
      <c r="I855">
        <v>2685.71</v>
      </c>
      <c r="J855" t="s">
        <v>50</v>
      </c>
      <c r="K855" t="s">
        <v>51</v>
      </c>
      <c r="L855">
        <f t="shared" si="13"/>
        <v>13428.55</v>
      </c>
    </row>
    <row r="856" spans="1:12" x14ac:dyDescent="0.3">
      <c r="A856" t="s">
        <v>2496</v>
      </c>
      <c r="B856" t="s">
        <v>1684</v>
      </c>
      <c r="C856" t="s">
        <v>2497</v>
      </c>
      <c r="D856" t="s">
        <v>888</v>
      </c>
      <c r="E856" t="s">
        <v>56</v>
      </c>
      <c r="F856" t="s">
        <v>26</v>
      </c>
      <c r="G856" t="s">
        <v>166</v>
      </c>
      <c r="H856">
        <v>7</v>
      </c>
      <c r="I856">
        <v>3379.38</v>
      </c>
      <c r="J856" t="s">
        <v>28</v>
      </c>
      <c r="K856" t="s">
        <v>43</v>
      </c>
      <c r="L856">
        <f t="shared" si="13"/>
        <v>23655.66</v>
      </c>
    </row>
    <row r="857" spans="1:12" x14ac:dyDescent="0.3">
      <c r="A857" t="s">
        <v>2498</v>
      </c>
      <c r="B857" t="s">
        <v>2026</v>
      </c>
      <c r="C857" t="s">
        <v>2499</v>
      </c>
      <c r="D857" t="s">
        <v>2500</v>
      </c>
      <c r="E857" t="s">
        <v>128</v>
      </c>
      <c r="F857" t="s">
        <v>77</v>
      </c>
      <c r="G857" t="s">
        <v>105</v>
      </c>
      <c r="H857">
        <v>5</v>
      </c>
      <c r="I857">
        <v>2455.94</v>
      </c>
      <c r="J857" t="s">
        <v>19</v>
      </c>
      <c r="K857" t="s">
        <v>51</v>
      </c>
      <c r="L857">
        <f t="shared" si="13"/>
        <v>12279.7</v>
      </c>
    </row>
    <row r="858" spans="1:12" x14ac:dyDescent="0.3">
      <c r="A858" t="s">
        <v>2501</v>
      </c>
      <c r="B858" t="s">
        <v>405</v>
      </c>
      <c r="C858" t="s">
        <v>787</v>
      </c>
      <c r="D858" t="s">
        <v>2391</v>
      </c>
      <c r="E858" t="s">
        <v>56</v>
      </c>
      <c r="F858" t="s">
        <v>77</v>
      </c>
      <c r="G858" t="s">
        <v>78</v>
      </c>
      <c r="H858">
        <v>9</v>
      </c>
      <c r="I858">
        <v>169.44</v>
      </c>
      <c r="J858" t="s">
        <v>19</v>
      </c>
      <c r="K858" t="s">
        <v>51</v>
      </c>
      <c r="L858">
        <f t="shared" si="13"/>
        <v>1524.96</v>
      </c>
    </row>
    <row r="859" spans="1:12" x14ac:dyDescent="0.3">
      <c r="A859" t="s">
        <v>2502</v>
      </c>
      <c r="B859" t="s">
        <v>445</v>
      </c>
      <c r="C859" t="s">
        <v>2503</v>
      </c>
      <c r="D859" t="s">
        <v>2504</v>
      </c>
      <c r="E859" t="s">
        <v>34</v>
      </c>
      <c r="F859" t="s">
        <v>77</v>
      </c>
      <c r="G859" t="s">
        <v>265</v>
      </c>
      <c r="H859">
        <v>3</v>
      </c>
      <c r="I859">
        <v>2525.38</v>
      </c>
      <c r="J859" t="s">
        <v>50</v>
      </c>
      <c r="K859" t="s">
        <v>83</v>
      </c>
      <c r="L859">
        <f t="shared" si="13"/>
        <v>7576.14</v>
      </c>
    </row>
    <row r="860" spans="1:12" x14ac:dyDescent="0.3">
      <c r="A860" t="s">
        <v>2505</v>
      </c>
      <c r="B860" t="s">
        <v>13</v>
      </c>
      <c r="C860" t="s">
        <v>2506</v>
      </c>
      <c r="D860" t="s">
        <v>2278</v>
      </c>
      <c r="E860" t="s">
        <v>128</v>
      </c>
      <c r="F860" t="s">
        <v>77</v>
      </c>
      <c r="G860" t="s">
        <v>78</v>
      </c>
      <c r="H860">
        <v>6</v>
      </c>
      <c r="I860">
        <v>3564.39</v>
      </c>
      <c r="J860" t="s">
        <v>19</v>
      </c>
      <c r="K860" t="s">
        <v>83</v>
      </c>
      <c r="L860">
        <f t="shared" si="13"/>
        <v>21386.34</v>
      </c>
    </row>
    <row r="861" spans="1:12" x14ac:dyDescent="0.3">
      <c r="A861" t="s">
        <v>2507</v>
      </c>
      <c r="B861" t="s">
        <v>505</v>
      </c>
      <c r="C861" t="s">
        <v>1791</v>
      </c>
      <c r="D861" t="s">
        <v>1411</v>
      </c>
      <c r="E861" t="s">
        <v>104</v>
      </c>
      <c r="F861" t="s">
        <v>77</v>
      </c>
      <c r="G861" t="s">
        <v>171</v>
      </c>
      <c r="H861">
        <v>5</v>
      </c>
      <c r="I861">
        <v>487.8</v>
      </c>
      <c r="J861" t="s">
        <v>42</v>
      </c>
      <c r="K861" t="s">
        <v>20</v>
      </c>
      <c r="L861">
        <f t="shared" si="13"/>
        <v>2439</v>
      </c>
    </row>
    <row r="862" spans="1:12" x14ac:dyDescent="0.3">
      <c r="A862" t="s">
        <v>2508</v>
      </c>
      <c r="B862" t="s">
        <v>1952</v>
      </c>
      <c r="C862" t="s">
        <v>1291</v>
      </c>
      <c r="D862" t="s">
        <v>857</v>
      </c>
      <c r="E862" t="s">
        <v>56</v>
      </c>
      <c r="F862" t="s">
        <v>48</v>
      </c>
      <c r="G862" t="s">
        <v>110</v>
      </c>
      <c r="H862">
        <v>6</v>
      </c>
      <c r="I862">
        <v>301.35000000000002</v>
      </c>
      <c r="J862" t="s">
        <v>50</v>
      </c>
      <c r="K862" t="s">
        <v>51</v>
      </c>
      <c r="L862">
        <f t="shared" si="13"/>
        <v>1808.1000000000001</v>
      </c>
    </row>
    <row r="863" spans="1:12" x14ac:dyDescent="0.3">
      <c r="A863" t="s">
        <v>2509</v>
      </c>
      <c r="B863" t="s">
        <v>2510</v>
      </c>
      <c r="C863" t="s">
        <v>2511</v>
      </c>
      <c r="D863" t="s">
        <v>2512</v>
      </c>
      <c r="E863" t="s">
        <v>34</v>
      </c>
      <c r="F863" t="s">
        <v>26</v>
      </c>
      <c r="G863" t="s">
        <v>27</v>
      </c>
      <c r="H863">
        <v>10</v>
      </c>
      <c r="I863">
        <v>2294.81</v>
      </c>
      <c r="J863" t="s">
        <v>42</v>
      </c>
      <c r="K863" t="s">
        <v>43</v>
      </c>
      <c r="L863">
        <f t="shared" si="13"/>
        <v>22948.1</v>
      </c>
    </row>
    <row r="864" spans="1:12" x14ac:dyDescent="0.3">
      <c r="A864" t="s">
        <v>2513</v>
      </c>
      <c r="B864" t="s">
        <v>1965</v>
      </c>
      <c r="C864" t="s">
        <v>684</v>
      </c>
      <c r="D864" t="s">
        <v>2514</v>
      </c>
      <c r="E864" t="s">
        <v>25</v>
      </c>
      <c r="F864" t="s">
        <v>17</v>
      </c>
      <c r="G864" t="s">
        <v>41</v>
      </c>
      <c r="H864">
        <v>2</v>
      </c>
      <c r="I864">
        <v>2754.08</v>
      </c>
      <c r="J864" t="s">
        <v>42</v>
      </c>
      <c r="K864" t="s">
        <v>20</v>
      </c>
      <c r="L864">
        <f t="shared" si="13"/>
        <v>5508.16</v>
      </c>
    </row>
    <row r="865" spans="1:12" x14ac:dyDescent="0.3">
      <c r="A865" t="s">
        <v>2515</v>
      </c>
      <c r="B865" t="s">
        <v>1617</v>
      </c>
      <c r="C865" t="s">
        <v>2436</v>
      </c>
      <c r="D865" t="s">
        <v>1475</v>
      </c>
      <c r="E865" t="s">
        <v>62</v>
      </c>
      <c r="F865" t="s">
        <v>77</v>
      </c>
      <c r="G865" t="s">
        <v>171</v>
      </c>
      <c r="H865">
        <v>1</v>
      </c>
      <c r="I865">
        <v>3832.51</v>
      </c>
      <c r="J865" t="s">
        <v>50</v>
      </c>
      <c r="K865" t="s">
        <v>29</v>
      </c>
      <c r="L865">
        <f t="shared" si="13"/>
        <v>3832.51</v>
      </c>
    </row>
    <row r="866" spans="1:12" x14ac:dyDescent="0.3">
      <c r="A866" t="s">
        <v>2516</v>
      </c>
      <c r="B866" t="s">
        <v>1451</v>
      </c>
      <c r="C866" t="s">
        <v>186</v>
      </c>
      <c r="D866" t="s">
        <v>1266</v>
      </c>
      <c r="E866" t="s">
        <v>104</v>
      </c>
      <c r="F866" t="s">
        <v>17</v>
      </c>
      <c r="G866" t="s">
        <v>35</v>
      </c>
      <c r="H866">
        <v>1</v>
      </c>
      <c r="I866">
        <v>4737.3500000000004</v>
      </c>
      <c r="J866" t="s">
        <v>42</v>
      </c>
      <c r="K866" t="s">
        <v>36</v>
      </c>
      <c r="L866">
        <f t="shared" si="13"/>
        <v>4737.3500000000004</v>
      </c>
    </row>
    <row r="867" spans="1:12" x14ac:dyDescent="0.3">
      <c r="A867" t="s">
        <v>2517</v>
      </c>
      <c r="B867" t="s">
        <v>1807</v>
      </c>
      <c r="C867" t="s">
        <v>1710</v>
      </c>
      <c r="D867" t="s">
        <v>2518</v>
      </c>
      <c r="E867" t="s">
        <v>95</v>
      </c>
      <c r="F867" t="s">
        <v>26</v>
      </c>
      <c r="G867" t="s">
        <v>296</v>
      </c>
      <c r="H867">
        <v>2</v>
      </c>
      <c r="I867">
        <v>4153.57</v>
      </c>
      <c r="J867" t="s">
        <v>28</v>
      </c>
      <c r="K867" t="s">
        <v>83</v>
      </c>
      <c r="L867">
        <f t="shared" si="13"/>
        <v>8307.14</v>
      </c>
    </row>
    <row r="868" spans="1:12" x14ac:dyDescent="0.3">
      <c r="A868" t="s">
        <v>2519</v>
      </c>
      <c r="B868" t="s">
        <v>904</v>
      </c>
      <c r="C868" t="s">
        <v>1953</v>
      </c>
      <c r="D868" t="s">
        <v>2520</v>
      </c>
      <c r="E868" t="s">
        <v>62</v>
      </c>
      <c r="F868" t="s">
        <v>48</v>
      </c>
      <c r="G868" t="s">
        <v>110</v>
      </c>
      <c r="H868">
        <v>9</v>
      </c>
      <c r="I868">
        <v>594.88</v>
      </c>
      <c r="J868" t="s">
        <v>28</v>
      </c>
      <c r="K868" t="s">
        <v>20</v>
      </c>
      <c r="L868">
        <f t="shared" si="13"/>
        <v>5353.92</v>
      </c>
    </row>
    <row r="869" spans="1:12" x14ac:dyDescent="0.3">
      <c r="A869" t="s">
        <v>2521</v>
      </c>
      <c r="B869" t="s">
        <v>2522</v>
      </c>
      <c r="C869" t="s">
        <v>2349</v>
      </c>
      <c r="D869" t="s">
        <v>2523</v>
      </c>
      <c r="E869" t="s">
        <v>16</v>
      </c>
      <c r="F869" t="s">
        <v>17</v>
      </c>
      <c r="G869" t="s">
        <v>188</v>
      </c>
      <c r="H869">
        <v>4</v>
      </c>
      <c r="I869">
        <v>3761.64</v>
      </c>
      <c r="J869" t="s">
        <v>28</v>
      </c>
      <c r="K869" t="s">
        <v>43</v>
      </c>
      <c r="L869">
        <f t="shared" si="13"/>
        <v>15046.56</v>
      </c>
    </row>
    <row r="870" spans="1:12" x14ac:dyDescent="0.3">
      <c r="A870" t="s">
        <v>2524</v>
      </c>
      <c r="B870" t="s">
        <v>2525</v>
      </c>
      <c r="C870" t="s">
        <v>2526</v>
      </c>
      <c r="D870" t="s">
        <v>2527</v>
      </c>
      <c r="E870" t="s">
        <v>62</v>
      </c>
      <c r="F870" t="s">
        <v>48</v>
      </c>
      <c r="G870" t="s">
        <v>49</v>
      </c>
      <c r="H870">
        <v>1</v>
      </c>
      <c r="I870">
        <v>383.38</v>
      </c>
      <c r="J870" t="s">
        <v>42</v>
      </c>
      <c r="K870" t="s">
        <v>83</v>
      </c>
      <c r="L870">
        <f t="shared" si="13"/>
        <v>383.38</v>
      </c>
    </row>
    <row r="871" spans="1:12" x14ac:dyDescent="0.3">
      <c r="A871" t="s">
        <v>2528</v>
      </c>
      <c r="B871" t="s">
        <v>2529</v>
      </c>
      <c r="C871" t="s">
        <v>710</v>
      </c>
      <c r="D871" t="s">
        <v>1155</v>
      </c>
      <c r="E871" t="s">
        <v>128</v>
      </c>
      <c r="F871" t="s">
        <v>26</v>
      </c>
      <c r="G871" t="s">
        <v>296</v>
      </c>
      <c r="H871">
        <v>5</v>
      </c>
      <c r="I871">
        <v>4621.08</v>
      </c>
      <c r="J871" t="s">
        <v>50</v>
      </c>
      <c r="K871" t="s">
        <v>29</v>
      </c>
      <c r="L871">
        <f t="shared" si="13"/>
        <v>23105.4</v>
      </c>
    </row>
    <row r="872" spans="1:12" x14ac:dyDescent="0.3">
      <c r="A872" t="s">
        <v>2530</v>
      </c>
      <c r="B872" t="s">
        <v>1677</v>
      </c>
      <c r="C872" t="s">
        <v>2531</v>
      </c>
      <c r="D872" t="s">
        <v>2532</v>
      </c>
      <c r="E872" t="s">
        <v>128</v>
      </c>
      <c r="F872" t="s">
        <v>26</v>
      </c>
      <c r="G872" t="s">
        <v>27</v>
      </c>
      <c r="H872">
        <v>1</v>
      </c>
      <c r="I872">
        <v>2593.41</v>
      </c>
      <c r="J872" t="s">
        <v>19</v>
      </c>
      <c r="K872" t="s">
        <v>83</v>
      </c>
      <c r="L872">
        <f t="shared" si="13"/>
        <v>2593.41</v>
      </c>
    </row>
    <row r="873" spans="1:12" x14ac:dyDescent="0.3">
      <c r="A873" t="s">
        <v>2533</v>
      </c>
      <c r="B873" t="s">
        <v>324</v>
      </c>
      <c r="C873" t="s">
        <v>2534</v>
      </c>
      <c r="D873" t="s">
        <v>2535</v>
      </c>
      <c r="E873" t="s">
        <v>104</v>
      </c>
      <c r="F873" t="s">
        <v>48</v>
      </c>
      <c r="G873" t="s">
        <v>57</v>
      </c>
      <c r="H873">
        <v>3</v>
      </c>
      <c r="I873">
        <v>3903.05</v>
      </c>
      <c r="J873" t="s">
        <v>42</v>
      </c>
      <c r="K873" t="s">
        <v>36</v>
      </c>
      <c r="L873">
        <f t="shared" si="13"/>
        <v>11709.150000000001</v>
      </c>
    </row>
    <row r="874" spans="1:12" x14ac:dyDescent="0.3">
      <c r="A874" t="s">
        <v>2536</v>
      </c>
      <c r="B874" t="s">
        <v>2336</v>
      </c>
      <c r="C874" t="s">
        <v>98</v>
      </c>
      <c r="D874" t="s">
        <v>1099</v>
      </c>
      <c r="E874" t="s">
        <v>62</v>
      </c>
      <c r="F874" t="s">
        <v>48</v>
      </c>
      <c r="G874" t="s">
        <v>179</v>
      </c>
      <c r="H874">
        <v>2</v>
      </c>
      <c r="I874">
        <v>4643.03</v>
      </c>
      <c r="J874" t="s">
        <v>42</v>
      </c>
      <c r="K874" t="s">
        <v>20</v>
      </c>
      <c r="L874">
        <f t="shared" si="13"/>
        <v>9286.06</v>
      </c>
    </row>
    <row r="875" spans="1:12" x14ac:dyDescent="0.3">
      <c r="A875" t="s">
        <v>2537</v>
      </c>
      <c r="B875" t="s">
        <v>1334</v>
      </c>
      <c r="C875" t="s">
        <v>635</v>
      </c>
      <c r="D875" t="s">
        <v>888</v>
      </c>
      <c r="E875" t="s">
        <v>25</v>
      </c>
      <c r="F875" t="s">
        <v>77</v>
      </c>
      <c r="G875" t="s">
        <v>78</v>
      </c>
      <c r="H875">
        <v>6</v>
      </c>
      <c r="I875">
        <v>2234.13</v>
      </c>
      <c r="J875" t="s">
        <v>42</v>
      </c>
      <c r="K875" t="s">
        <v>51</v>
      </c>
      <c r="L875">
        <f t="shared" si="13"/>
        <v>13404.78</v>
      </c>
    </row>
    <row r="876" spans="1:12" x14ac:dyDescent="0.3">
      <c r="A876" t="s">
        <v>2538</v>
      </c>
      <c r="B876" t="s">
        <v>2539</v>
      </c>
      <c r="C876" t="s">
        <v>2540</v>
      </c>
      <c r="D876" t="s">
        <v>2541</v>
      </c>
      <c r="E876" t="s">
        <v>95</v>
      </c>
      <c r="F876" t="s">
        <v>77</v>
      </c>
      <c r="G876" t="s">
        <v>171</v>
      </c>
      <c r="H876">
        <v>5</v>
      </c>
      <c r="I876">
        <v>3650.8</v>
      </c>
      <c r="J876" t="s">
        <v>28</v>
      </c>
      <c r="K876" t="s">
        <v>36</v>
      </c>
      <c r="L876">
        <f t="shared" si="13"/>
        <v>18254</v>
      </c>
    </row>
    <row r="877" spans="1:12" x14ac:dyDescent="0.3">
      <c r="A877" t="s">
        <v>2542</v>
      </c>
      <c r="B877" t="s">
        <v>1280</v>
      </c>
      <c r="C877" t="s">
        <v>2543</v>
      </c>
      <c r="D877" t="s">
        <v>170</v>
      </c>
      <c r="E877" t="s">
        <v>56</v>
      </c>
      <c r="F877" t="s">
        <v>77</v>
      </c>
      <c r="G877" t="s">
        <v>105</v>
      </c>
      <c r="H877">
        <v>2</v>
      </c>
      <c r="I877">
        <v>4430.51</v>
      </c>
      <c r="J877" t="s">
        <v>50</v>
      </c>
      <c r="K877" t="s">
        <v>36</v>
      </c>
      <c r="L877">
        <f t="shared" si="13"/>
        <v>8861.02</v>
      </c>
    </row>
    <row r="878" spans="1:12" x14ac:dyDescent="0.3">
      <c r="A878" t="s">
        <v>2544</v>
      </c>
      <c r="B878" t="s">
        <v>1240</v>
      </c>
      <c r="C878" t="s">
        <v>2545</v>
      </c>
      <c r="D878" t="s">
        <v>936</v>
      </c>
      <c r="E878" t="s">
        <v>104</v>
      </c>
      <c r="F878" t="s">
        <v>26</v>
      </c>
      <c r="G878" t="s">
        <v>166</v>
      </c>
      <c r="H878">
        <v>4</v>
      </c>
      <c r="I878">
        <v>1650.39</v>
      </c>
      <c r="J878" t="s">
        <v>19</v>
      </c>
      <c r="K878" t="s">
        <v>43</v>
      </c>
      <c r="L878">
        <f t="shared" si="13"/>
        <v>6601.56</v>
      </c>
    </row>
    <row r="879" spans="1:12" x14ac:dyDescent="0.3">
      <c r="A879" t="s">
        <v>2546</v>
      </c>
      <c r="B879" t="s">
        <v>2547</v>
      </c>
      <c r="C879" t="s">
        <v>2277</v>
      </c>
      <c r="D879" t="s">
        <v>1238</v>
      </c>
      <c r="E879" t="s">
        <v>128</v>
      </c>
      <c r="F879" t="s">
        <v>26</v>
      </c>
      <c r="G879" t="s">
        <v>208</v>
      </c>
      <c r="H879">
        <v>3</v>
      </c>
      <c r="I879">
        <v>2419.11</v>
      </c>
      <c r="J879" t="s">
        <v>28</v>
      </c>
      <c r="K879" t="s">
        <v>20</v>
      </c>
      <c r="L879">
        <f t="shared" si="13"/>
        <v>7257.33</v>
      </c>
    </row>
    <row r="880" spans="1:12" x14ac:dyDescent="0.3">
      <c r="A880" t="s">
        <v>2548</v>
      </c>
      <c r="B880" t="s">
        <v>1712</v>
      </c>
      <c r="C880" t="s">
        <v>2549</v>
      </c>
      <c r="D880" t="s">
        <v>2429</v>
      </c>
      <c r="E880" t="s">
        <v>62</v>
      </c>
      <c r="F880" t="s">
        <v>48</v>
      </c>
      <c r="G880" t="s">
        <v>63</v>
      </c>
      <c r="H880">
        <v>4</v>
      </c>
      <c r="I880">
        <v>121.14</v>
      </c>
      <c r="J880" t="s">
        <v>50</v>
      </c>
      <c r="K880" t="s">
        <v>29</v>
      </c>
      <c r="L880">
        <f t="shared" si="13"/>
        <v>484.56</v>
      </c>
    </row>
    <row r="881" spans="1:12" x14ac:dyDescent="0.3">
      <c r="A881" t="s">
        <v>2550</v>
      </c>
      <c r="B881" t="s">
        <v>1392</v>
      </c>
      <c r="C881" t="s">
        <v>2180</v>
      </c>
      <c r="D881" t="s">
        <v>2551</v>
      </c>
      <c r="E881" t="s">
        <v>62</v>
      </c>
      <c r="F881" t="s">
        <v>26</v>
      </c>
      <c r="G881" t="s">
        <v>166</v>
      </c>
      <c r="H881">
        <v>6</v>
      </c>
      <c r="I881">
        <v>1999.74</v>
      </c>
      <c r="J881" t="s">
        <v>19</v>
      </c>
      <c r="K881" t="s">
        <v>29</v>
      </c>
      <c r="L881">
        <f t="shared" si="13"/>
        <v>11998.44</v>
      </c>
    </row>
    <row r="882" spans="1:12" x14ac:dyDescent="0.3">
      <c r="A882" t="s">
        <v>2552</v>
      </c>
      <c r="B882" t="s">
        <v>2553</v>
      </c>
      <c r="C882" t="s">
        <v>1101</v>
      </c>
      <c r="D882" t="s">
        <v>2324</v>
      </c>
      <c r="E882" t="s">
        <v>25</v>
      </c>
      <c r="F882" t="s">
        <v>17</v>
      </c>
      <c r="G882" t="s">
        <v>68</v>
      </c>
      <c r="H882">
        <v>8</v>
      </c>
      <c r="I882">
        <v>2373.44</v>
      </c>
      <c r="J882" t="s">
        <v>28</v>
      </c>
      <c r="K882" t="s">
        <v>43</v>
      </c>
      <c r="L882">
        <f t="shared" si="13"/>
        <v>18987.52</v>
      </c>
    </row>
    <row r="883" spans="1:12" x14ac:dyDescent="0.3">
      <c r="A883" t="s">
        <v>2554</v>
      </c>
      <c r="B883" t="s">
        <v>1822</v>
      </c>
      <c r="C883" t="s">
        <v>2555</v>
      </c>
      <c r="D883" t="s">
        <v>1889</v>
      </c>
      <c r="E883" t="s">
        <v>34</v>
      </c>
      <c r="F883" t="s">
        <v>77</v>
      </c>
      <c r="G883" t="s">
        <v>78</v>
      </c>
      <c r="H883">
        <v>7</v>
      </c>
      <c r="I883">
        <v>2511.46</v>
      </c>
      <c r="J883" t="s">
        <v>42</v>
      </c>
      <c r="K883" t="s">
        <v>20</v>
      </c>
      <c r="L883">
        <f t="shared" si="13"/>
        <v>17580.22</v>
      </c>
    </row>
    <row r="884" spans="1:12" x14ac:dyDescent="0.3">
      <c r="A884" t="s">
        <v>2556</v>
      </c>
      <c r="B884" t="s">
        <v>328</v>
      </c>
      <c r="C884" t="s">
        <v>2464</v>
      </c>
      <c r="D884" t="s">
        <v>2557</v>
      </c>
      <c r="E884" t="s">
        <v>128</v>
      </c>
      <c r="F884" t="s">
        <v>48</v>
      </c>
      <c r="G884" t="s">
        <v>49</v>
      </c>
      <c r="H884">
        <v>3</v>
      </c>
      <c r="I884">
        <v>494.23</v>
      </c>
      <c r="J884" t="s">
        <v>19</v>
      </c>
      <c r="K884" t="s">
        <v>36</v>
      </c>
      <c r="L884">
        <f t="shared" si="13"/>
        <v>1482.69</v>
      </c>
    </row>
    <row r="885" spans="1:12" x14ac:dyDescent="0.3">
      <c r="A885" t="s">
        <v>2558</v>
      </c>
      <c r="B885" t="s">
        <v>1660</v>
      </c>
      <c r="C885" t="s">
        <v>2305</v>
      </c>
      <c r="D885" t="s">
        <v>1533</v>
      </c>
      <c r="E885" t="s">
        <v>95</v>
      </c>
      <c r="F885" t="s">
        <v>26</v>
      </c>
      <c r="G885" t="s">
        <v>115</v>
      </c>
      <c r="H885">
        <v>5</v>
      </c>
      <c r="I885">
        <v>1500.27</v>
      </c>
      <c r="J885" t="s">
        <v>19</v>
      </c>
      <c r="K885" t="s">
        <v>29</v>
      </c>
      <c r="L885">
        <f t="shared" si="13"/>
        <v>7501.35</v>
      </c>
    </row>
    <row r="886" spans="1:12" x14ac:dyDescent="0.3">
      <c r="A886" t="s">
        <v>2559</v>
      </c>
      <c r="B886" t="s">
        <v>1730</v>
      </c>
      <c r="C886" t="s">
        <v>2086</v>
      </c>
      <c r="D886" t="s">
        <v>1998</v>
      </c>
      <c r="E886" t="s">
        <v>25</v>
      </c>
      <c r="F886" t="s">
        <v>48</v>
      </c>
      <c r="G886" t="s">
        <v>63</v>
      </c>
      <c r="H886">
        <v>7</v>
      </c>
      <c r="I886">
        <v>2573.8000000000002</v>
      </c>
      <c r="J886" t="s">
        <v>28</v>
      </c>
      <c r="K886" t="s">
        <v>20</v>
      </c>
      <c r="L886">
        <f t="shared" si="13"/>
        <v>18016.600000000002</v>
      </c>
    </row>
    <row r="887" spans="1:12" x14ac:dyDescent="0.3">
      <c r="A887" t="s">
        <v>2560</v>
      </c>
      <c r="B887" t="s">
        <v>1301</v>
      </c>
      <c r="C887" t="s">
        <v>2561</v>
      </c>
      <c r="D887" t="s">
        <v>2562</v>
      </c>
      <c r="E887" t="s">
        <v>128</v>
      </c>
      <c r="F887" t="s">
        <v>26</v>
      </c>
      <c r="G887" t="s">
        <v>27</v>
      </c>
      <c r="H887">
        <v>9</v>
      </c>
      <c r="I887">
        <v>1895.85</v>
      </c>
      <c r="J887" t="s">
        <v>28</v>
      </c>
      <c r="K887" t="s">
        <v>36</v>
      </c>
      <c r="L887">
        <f t="shared" si="13"/>
        <v>17062.649999999998</v>
      </c>
    </row>
    <row r="888" spans="1:12" x14ac:dyDescent="0.3">
      <c r="A888" t="s">
        <v>2563</v>
      </c>
      <c r="B888" t="s">
        <v>664</v>
      </c>
      <c r="C888" t="s">
        <v>1614</v>
      </c>
      <c r="D888" t="s">
        <v>2564</v>
      </c>
      <c r="E888" t="s">
        <v>34</v>
      </c>
      <c r="F888" t="s">
        <v>17</v>
      </c>
      <c r="G888" t="s">
        <v>18</v>
      </c>
      <c r="H888">
        <v>7</v>
      </c>
      <c r="I888">
        <v>2082.17</v>
      </c>
      <c r="J888" t="s">
        <v>19</v>
      </c>
      <c r="K888" t="s">
        <v>83</v>
      </c>
      <c r="L888">
        <f t="shared" si="13"/>
        <v>14575.19</v>
      </c>
    </row>
    <row r="889" spans="1:12" x14ac:dyDescent="0.3">
      <c r="A889" t="s">
        <v>2565</v>
      </c>
      <c r="B889" t="s">
        <v>1362</v>
      </c>
      <c r="C889" t="s">
        <v>1941</v>
      </c>
      <c r="D889" t="s">
        <v>2566</v>
      </c>
      <c r="E889" t="s">
        <v>34</v>
      </c>
      <c r="F889" t="s">
        <v>26</v>
      </c>
      <c r="G889" t="s">
        <v>115</v>
      </c>
      <c r="H889">
        <v>2</v>
      </c>
      <c r="I889">
        <v>4431.1899999999996</v>
      </c>
      <c r="J889" t="s">
        <v>50</v>
      </c>
      <c r="K889" t="s">
        <v>29</v>
      </c>
      <c r="L889">
        <f t="shared" si="13"/>
        <v>8862.3799999999992</v>
      </c>
    </row>
    <row r="890" spans="1:12" x14ac:dyDescent="0.3">
      <c r="A890" t="s">
        <v>2567</v>
      </c>
      <c r="B890" t="s">
        <v>768</v>
      </c>
      <c r="C890" t="s">
        <v>434</v>
      </c>
      <c r="D890" t="s">
        <v>2568</v>
      </c>
      <c r="E890" t="s">
        <v>25</v>
      </c>
      <c r="F890" t="s">
        <v>77</v>
      </c>
      <c r="G890" t="s">
        <v>123</v>
      </c>
      <c r="H890">
        <v>10</v>
      </c>
      <c r="I890">
        <v>2982.89</v>
      </c>
      <c r="J890" t="s">
        <v>42</v>
      </c>
      <c r="K890" t="s">
        <v>43</v>
      </c>
      <c r="L890">
        <f t="shared" si="13"/>
        <v>29828.899999999998</v>
      </c>
    </row>
    <row r="891" spans="1:12" x14ac:dyDescent="0.3">
      <c r="A891" t="s">
        <v>2569</v>
      </c>
      <c r="B891" t="s">
        <v>89</v>
      </c>
      <c r="C891" t="s">
        <v>2248</v>
      </c>
      <c r="D891" t="s">
        <v>2570</v>
      </c>
      <c r="E891" t="s">
        <v>62</v>
      </c>
      <c r="F891" t="s">
        <v>26</v>
      </c>
      <c r="G891" t="s">
        <v>166</v>
      </c>
      <c r="H891">
        <v>9</v>
      </c>
      <c r="I891">
        <v>888.28</v>
      </c>
      <c r="J891" t="s">
        <v>19</v>
      </c>
      <c r="K891" t="s">
        <v>36</v>
      </c>
      <c r="L891">
        <f t="shared" si="13"/>
        <v>7994.5199999999995</v>
      </c>
    </row>
    <row r="892" spans="1:12" x14ac:dyDescent="0.3">
      <c r="A892" t="s">
        <v>2571</v>
      </c>
      <c r="B892" t="s">
        <v>1587</v>
      </c>
      <c r="C892" t="s">
        <v>32</v>
      </c>
      <c r="D892" t="s">
        <v>2572</v>
      </c>
      <c r="E892" t="s">
        <v>62</v>
      </c>
      <c r="F892" t="s">
        <v>77</v>
      </c>
      <c r="G892" t="s">
        <v>105</v>
      </c>
      <c r="H892">
        <v>2</v>
      </c>
      <c r="I892">
        <v>4075.83</v>
      </c>
      <c r="J892" t="s">
        <v>19</v>
      </c>
      <c r="K892" t="s">
        <v>20</v>
      </c>
      <c r="L892">
        <f t="shared" si="13"/>
        <v>8151.66</v>
      </c>
    </row>
    <row r="893" spans="1:12" x14ac:dyDescent="0.3">
      <c r="A893" t="s">
        <v>2573</v>
      </c>
      <c r="B893" t="s">
        <v>1578</v>
      </c>
      <c r="C893" t="s">
        <v>1738</v>
      </c>
      <c r="D893" t="s">
        <v>714</v>
      </c>
      <c r="E893" t="s">
        <v>104</v>
      </c>
      <c r="F893" t="s">
        <v>77</v>
      </c>
      <c r="G893" t="s">
        <v>265</v>
      </c>
      <c r="H893">
        <v>5</v>
      </c>
      <c r="I893">
        <v>643.28</v>
      </c>
      <c r="J893" t="s">
        <v>28</v>
      </c>
      <c r="K893" t="s">
        <v>83</v>
      </c>
      <c r="L893">
        <f t="shared" si="13"/>
        <v>3216.3999999999996</v>
      </c>
    </row>
    <row r="894" spans="1:12" x14ac:dyDescent="0.3">
      <c r="A894" t="s">
        <v>2574</v>
      </c>
      <c r="B894" t="s">
        <v>1204</v>
      </c>
      <c r="C894" t="s">
        <v>416</v>
      </c>
      <c r="D894" t="s">
        <v>806</v>
      </c>
      <c r="E894" t="s">
        <v>25</v>
      </c>
      <c r="F894" t="s">
        <v>48</v>
      </c>
      <c r="G894" t="s">
        <v>49</v>
      </c>
      <c r="H894">
        <v>9</v>
      </c>
      <c r="I894">
        <v>1259.29</v>
      </c>
      <c r="J894" t="s">
        <v>19</v>
      </c>
      <c r="K894" t="s">
        <v>29</v>
      </c>
      <c r="L894">
        <f t="shared" si="13"/>
        <v>11333.61</v>
      </c>
    </row>
    <row r="895" spans="1:12" x14ac:dyDescent="0.3">
      <c r="A895" t="s">
        <v>2575</v>
      </c>
      <c r="B895" t="s">
        <v>1650</v>
      </c>
      <c r="C895" t="s">
        <v>1566</v>
      </c>
      <c r="D895" t="s">
        <v>153</v>
      </c>
      <c r="E895" t="s">
        <v>34</v>
      </c>
      <c r="F895" t="s">
        <v>17</v>
      </c>
      <c r="G895" t="s">
        <v>188</v>
      </c>
      <c r="H895">
        <v>7</v>
      </c>
      <c r="I895">
        <v>1375.47</v>
      </c>
      <c r="J895" t="s">
        <v>19</v>
      </c>
      <c r="K895" t="s">
        <v>43</v>
      </c>
      <c r="L895">
        <f t="shared" si="13"/>
        <v>9628.2900000000009</v>
      </c>
    </row>
    <row r="896" spans="1:12" x14ac:dyDescent="0.3">
      <c r="A896" t="s">
        <v>2576</v>
      </c>
      <c r="B896" t="s">
        <v>1488</v>
      </c>
      <c r="C896" t="s">
        <v>539</v>
      </c>
      <c r="D896" t="s">
        <v>431</v>
      </c>
      <c r="E896" t="s">
        <v>34</v>
      </c>
      <c r="F896" t="s">
        <v>48</v>
      </c>
      <c r="G896" t="s">
        <v>57</v>
      </c>
      <c r="H896">
        <v>5</v>
      </c>
      <c r="I896">
        <v>1412.93</v>
      </c>
      <c r="J896" t="s">
        <v>42</v>
      </c>
      <c r="K896" t="s">
        <v>29</v>
      </c>
      <c r="L896">
        <f t="shared" si="13"/>
        <v>7064.6500000000005</v>
      </c>
    </row>
    <row r="897" spans="1:12" x14ac:dyDescent="0.3">
      <c r="A897" t="s">
        <v>2577</v>
      </c>
      <c r="B897" t="s">
        <v>2578</v>
      </c>
      <c r="C897" t="s">
        <v>2095</v>
      </c>
      <c r="D897" t="s">
        <v>2579</v>
      </c>
      <c r="E897" t="s">
        <v>25</v>
      </c>
      <c r="F897" t="s">
        <v>77</v>
      </c>
      <c r="G897" t="s">
        <v>123</v>
      </c>
      <c r="H897">
        <v>7</v>
      </c>
      <c r="I897">
        <v>1865.32</v>
      </c>
      <c r="J897" t="s">
        <v>42</v>
      </c>
      <c r="K897" t="s">
        <v>29</v>
      </c>
      <c r="L897">
        <f t="shared" si="13"/>
        <v>13057.24</v>
      </c>
    </row>
    <row r="898" spans="1:12" x14ac:dyDescent="0.3">
      <c r="A898" t="s">
        <v>2580</v>
      </c>
      <c r="B898" t="s">
        <v>589</v>
      </c>
      <c r="C898" t="s">
        <v>984</v>
      </c>
      <c r="D898" t="s">
        <v>514</v>
      </c>
      <c r="E898" t="s">
        <v>34</v>
      </c>
      <c r="F898" t="s">
        <v>26</v>
      </c>
      <c r="G898" t="s">
        <v>166</v>
      </c>
      <c r="H898">
        <v>6</v>
      </c>
      <c r="I898">
        <v>2257.69</v>
      </c>
      <c r="J898" t="s">
        <v>19</v>
      </c>
      <c r="K898" t="s">
        <v>51</v>
      </c>
      <c r="L898">
        <f t="shared" si="13"/>
        <v>13546.14</v>
      </c>
    </row>
    <row r="899" spans="1:12" x14ac:dyDescent="0.3">
      <c r="A899" t="s">
        <v>2581</v>
      </c>
      <c r="B899" t="s">
        <v>2582</v>
      </c>
      <c r="C899" t="s">
        <v>1498</v>
      </c>
      <c r="D899" t="s">
        <v>2583</v>
      </c>
      <c r="E899" t="s">
        <v>62</v>
      </c>
      <c r="F899" t="s">
        <v>17</v>
      </c>
      <c r="G899" t="s">
        <v>188</v>
      </c>
      <c r="H899">
        <v>1</v>
      </c>
      <c r="I899">
        <v>4704.32</v>
      </c>
      <c r="J899" t="s">
        <v>42</v>
      </c>
      <c r="K899" t="s">
        <v>51</v>
      </c>
      <c r="L899">
        <f t="shared" ref="L899:L962" si="14">H899*I899</f>
        <v>4704.32</v>
      </c>
    </row>
    <row r="900" spans="1:12" x14ac:dyDescent="0.3">
      <c r="A900" t="s">
        <v>2584</v>
      </c>
      <c r="B900" t="s">
        <v>1317</v>
      </c>
      <c r="C900" t="s">
        <v>2585</v>
      </c>
      <c r="D900" t="s">
        <v>2586</v>
      </c>
      <c r="E900" t="s">
        <v>56</v>
      </c>
      <c r="F900" t="s">
        <v>26</v>
      </c>
      <c r="G900" t="s">
        <v>27</v>
      </c>
      <c r="H900">
        <v>6</v>
      </c>
      <c r="I900">
        <v>2347.48</v>
      </c>
      <c r="J900" t="s">
        <v>19</v>
      </c>
      <c r="K900" t="s">
        <v>29</v>
      </c>
      <c r="L900">
        <f t="shared" si="14"/>
        <v>14084.880000000001</v>
      </c>
    </row>
    <row r="901" spans="1:12" x14ac:dyDescent="0.3">
      <c r="A901" t="s">
        <v>2587</v>
      </c>
      <c r="B901" t="s">
        <v>433</v>
      </c>
      <c r="C901" t="s">
        <v>2068</v>
      </c>
      <c r="D901" t="s">
        <v>548</v>
      </c>
      <c r="E901" t="s">
        <v>34</v>
      </c>
      <c r="F901" t="s">
        <v>77</v>
      </c>
      <c r="G901" t="s">
        <v>171</v>
      </c>
      <c r="H901">
        <v>4</v>
      </c>
      <c r="I901">
        <v>2971.74</v>
      </c>
      <c r="J901" t="s">
        <v>28</v>
      </c>
      <c r="K901" t="s">
        <v>51</v>
      </c>
      <c r="L901">
        <f t="shared" si="14"/>
        <v>11886.96</v>
      </c>
    </row>
    <row r="902" spans="1:12" x14ac:dyDescent="0.3">
      <c r="A902" t="s">
        <v>2588</v>
      </c>
      <c r="B902" t="s">
        <v>218</v>
      </c>
      <c r="C902" t="s">
        <v>1265</v>
      </c>
      <c r="D902" t="s">
        <v>1355</v>
      </c>
      <c r="E902" t="s">
        <v>25</v>
      </c>
      <c r="F902" t="s">
        <v>77</v>
      </c>
      <c r="G902" t="s">
        <v>171</v>
      </c>
      <c r="H902">
        <v>7</v>
      </c>
      <c r="I902">
        <v>2980.92</v>
      </c>
      <c r="J902" t="s">
        <v>19</v>
      </c>
      <c r="K902" t="s">
        <v>51</v>
      </c>
      <c r="L902">
        <f t="shared" si="14"/>
        <v>20866.440000000002</v>
      </c>
    </row>
    <row r="903" spans="1:12" x14ac:dyDescent="0.3">
      <c r="A903" t="s">
        <v>2589</v>
      </c>
      <c r="B903" t="s">
        <v>2590</v>
      </c>
      <c r="C903" t="s">
        <v>690</v>
      </c>
      <c r="D903" t="s">
        <v>2591</v>
      </c>
      <c r="E903" t="s">
        <v>56</v>
      </c>
      <c r="F903" t="s">
        <v>48</v>
      </c>
      <c r="G903" t="s">
        <v>179</v>
      </c>
      <c r="H903">
        <v>7</v>
      </c>
      <c r="I903">
        <v>1952.69</v>
      </c>
      <c r="J903" t="s">
        <v>28</v>
      </c>
      <c r="K903" t="s">
        <v>29</v>
      </c>
      <c r="L903">
        <f t="shared" si="14"/>
        <v>13668.83</v>
      </c>
    </row>
    <row r="904" spans="1:12" x14ac:dyDescent="0.3">
      <c r="A904" t="s">
        <v>2592</v>
      </c>
      <c r="B904" t="s">
        <v>1952</v>
      </c>
      <c r="C904" t="s">
        <v>2593</v>
      </c>
      <c r="D904" t="s">
        <v>1992</v>
      </c>
      <c r="E904" t="s">
        <v>104</v>
      </c>
      <c r="F904" t="s">
        <v>17</v>
      </c>
      <c r="G904" t="s">
        <v>41</v>
      </c>
      <c r="H904">
        <v>5</v>
      </c>
      <c r="I904">
        <v>122.68</v>
      </c>
      <c r="J904" t="s">
        <v>50</v>
      </c>
      <c r="K904" t="s">
        <v>43</v>
      </c>
      <c r="L904">
        <f t="shared" si="14"/>
        <v>613.40000000000009</v>
      </c>
    </row>
    <row r="905" spans="1:12" x14ac:dyDescent="0.3">
      <c r="A905" t="s">
        <v>2594</v>
      </c>
      <c r="B905" t="s">
        <v>2595</v>
      </c>
      <c r="C905" t="s">
        <v>1318</v>
      </c>
      <c r="D905" t="s">
        <v>2596</v>
      </c>
      <c r="E905" t="s">
        <v>62</v>
      </c>
      <c r="F905" t="s">
        <v>26</v>
      </c>
      <c r="G905" t="s">
        <v>208</v>
      </c>
      <c r="H905">
        <v>5</v>
      </c>
      <c r="I905">
        <v>2728.51</v>
      </c>
      <c r="J905" t="s">
        <v>28</v>
      </c>
      <c r="K905" t="s">
        <v>36</v>
      </c>
      <c r="L905">
        <f t="shared" si="14"/>
        <v>13642.550000000001</v>
      </c>
    </row>
    <row r="906" spans="1:12" x14ac:dyDescent="0.3">
      <c r="A906" t="s">
        <v>2597</v>
      </c>
      <c r="B906" t="s">
        <v>193</v>
      </c>
      <c r="C906" t="s">
        <v>2598</v>
      </c>
      <c r="D906" t="s">
        <v>2599</v>
      </c>
      <c r="E906" t="s">
        <v>56</v>
      </c>
      <c r="F906" t="s">
        <v>26</v>
      </c>
      <c r="G906" t="s">
        <v>296</v>
      </c>
      <c r="H906">
        <v>7</v>
      </c>
      <c r="I906">
        <v>4131.7700000000004</v>
      </c>
      <c r="J906" t="s">
        <v>50</v>
      </c>
      <c r="K906" t="s">
        <v>43</v>
      </c>
      <c r="L906">
        <f t="shared" si="14"/>
        <v>28922.390000000003</v>
      </c>
    </row>
    <row r="907" spans="1:12" x14ac:dyDescent="0.3">
      <c r="A907" t="s">
        <v>2600</v>
      </c>
      <c r="B907" t="s">
        <v>586</v>
      </c>
      <c r="C907" t="s">
        <v>2601</v>
      </c>
      <c r="D907" t="s">
        <v>1188</v>
      </c>
      <c r="E907" t="s">
        <v>25</v>
      </c>
      <c r="F907" t="s">
        <v>26</v>
      </c>
      <c r="G907" t="s">
        <v>115</v>
      </c>
      <c r="H907">
        <v>4</v>
      </c>
      <c r="I907">
        <v>4160.3999999999996</v>
      </c>
      <c r="J907" t="s">
        <v>28</v>
      </c>
      <c r="K907" t="s">
        <v>29</v>
      </c>
      <c r="L907">
        <f t="shared" si="14"/>
        <v>16641.599999999999</v>
      </c>
    </row>
    <row r="908" spans="1:12" x14ac:dyDescent="0.3">
      <c r="A908" t="s">
        <v>2602</v>
      </c>
      <c r="B908" t="s">
        <v>865</v>
      </c>
      <c r="C908" t="s">
        <v>1978</v>
      </c>
      <c r="D908" t="s">
        <v>1524</v>
      </c>
      <c r="E908" t="s">
        <v>56</v>
      </c>
      <c r="F908" t="s">
        <v>26</v>
      </c>
      <c r="G908" t="s">
        <v>208</v>
      </c>
      <c r="H908">
        <v>7</v>
      </c>
      <c r="I908">
        <v>2288.41</v>
      </c>
      <c r="J908" t="s">
        <v>19</v>
      </c>
      <c r="K908" t="s">
        <v>43</v>
      </c>
      <c r="L908">
        <f t="shared" si="14"/>
        <v>16018.869999999999</v>
      </c>
    </row>
    <row r="909" spans="1:12" x14ac:dyDescent="0.3">
      <c r="A909" t="s">
        <v>2603</v>
      </c>
      <c r="B909" t="s">
        <v>877</v>
      </c>
      <c r="C909" t="s">
        <v>2604</v>
      </c>
      <c r="D909" t="s">
        <v>281</v>
      </c>
      <c r="E909" t="s">
        <v>16</v>
      </c>
      <c r="F909" t="s">
        <v>26</v>
      </c>
      <c r="G909" t="s">
        <v>166</v>
      </c>
      <c r="H909">
        <v>4</v>
      </c>
      <c r="I909">
        <v>3745.52</v>
      </c>
      <c r="J909" t="s">
        <v>50</v>
      </c>
      <c r="K909" t="s">
        <v>51</v>
      </c>
      <c r="L909">
        <f t="shared" si="14"/>
        <v>14982.08</v>
      </c>
    </row>
    <row r="910" spans="1:12" x14ac:dyDescent="0.3">
      <c r="A910" t="s">
        <v>2605</v>
      </c>
      <c r="B910" t="s">
        <v>738</v>
      </c>
      <c r="C910" t="s">
        <v>2606</v>
      </c>
      <c r="D910" t="s">
        <v>1724</v>
      </c>
      <c r="E910" t="s">
        <v>34</v>
      </c>
      <c r="F910" t="s">
        <v>26</v>
      </c>
      <c r="G910" t="s">
        <v>296</v>
      </c>
      <c r="H910">
        <v>3</v>
      </c>
      <c r="I910">
        <v>3462.75</v>
      </c>
      <c r="J910" t="s">
        <v>42</v>
      </c>
      <c r="K910" t="s">
        <v>20</v>
      </c>
      <c r="L910">
        <f t="shared" si="14"/>
        <v>10388.25</v>
      </c>
    </row>
    <row r="911" spans="1:12" x14ac:dyDescent="0.3">
      <c r="A911" t="s">
        <v>2607</v>
      </c>
      <c r="B911" t="s">
        <v>869</v>
      </c>
      <c r="C911" t="s">
        <v>1481</v>
      </c>
      <c r="D911" t="s">
        <v>232</v>
      </c>
      <c r="E911" t="s">
        <v>104</v>
      </c>
      <c r="F911" t="s">
        <v>17</v>
      </c>
      <c r="G911" t="s">
        <v>68</v>
      </c>
      <c r="H911">
        <v>1</v>
      </c>
      <c r="I911">
        <v>2442.37</v>
      </c>
      <c r="J911" t="s">
        <v>28</v>
      </c>
      <c r="K911" t="s">
        <v>20</v>
      </c>
      <c r="L911">
        <f t="shared" si="14"/>
        <v>2442.37</v>
      </c>
    </row>
    <row r="912" spans="1:12" x14ac:dyDescent="0.3">
      <c r="A912" t="s">
        <v>2608</v>
      </c>
      <c r="B912" t="s">
        <v>1638</v>
      </c>
      <c r="C912" t="s">
        <v>2487</v>
      </c>
      <c r="D912" t="s">
        <v>1864</v>
      </c>
      <c r="E912" t="s">
        <v>56</v>
      </c>
      <c r="F912" t="s">
        <v>26</v>
      </c>
      <c r="G912" t="s">
        <v>296</v>
      </c>
      <c r="H912">
        <v>8</v>
      </c>
      <c r="I912">
        <v>3205.88</v>
      </c>
      <c r="J912" t="s">
        <v>42</v>
      </c>
      <c r="K912" t="s">
        <v>20</v>
      </c>
      <c r="L912">
        <f t="shared" si="14"/>
        <v>25647.040000000001</v>
      </c>
    </row>
    <row r="913" spans="1:12" x14ac:dyDescent="0.3">
      <c r="A913" t="s">
        <v>2609</v>
      </c>
      <c r="B913" t="s">
        <v>1484</v>
      </c>
      <c r="C913" t="s">
        <v>2610</v>
      </c>
      <c r="D913" t="s">
        <v>2611</v>
      </c>
      <c r="E913" t="s">
        <v>95</v>
      </c>
      <c r="F913" t="s">
        <v>48</v>
      </c>
      <c r="G913" t="s">
        <v>57</v>
      </c>
      <c r="H913">
        <v>4</v>
      </c>
      <c r="I913">
        <v>835.81</v>
      </c>
      <c r="J913" t="s">
        <v>19</v>
      </c>
      <c r="K913" t="s">
        <v>29</v>
      </c>
      <c r="L913">
        <f t="shared" si="14"/>
        <v>3343.24</v>
      </c>
    </row>
    <row r="914" spans="1:12" x14ac:dyDescent="0.3">
      <c r="A914" t="s">
        <v>2612</v>
      </c>
      <c r="B914" t="s">
        <v>1194</v>
      </c>
      <c r="C914" t="s">
        <v>1994</v>
      </c>
      <c r="D914" t="s">
        <v>334</v>
      </c>
      <c r="E914" t="s">
        <v>104</v>
      </c>
      <c r="F914" t="s">
        <v>48</v>
      </c>
      <c r="G914" t="s">
        <v>63</v>
      </c>
      <c r="H914">
        <v>4</v>
      </c>
      <c r="I914">
        <v>2472.67</v>
      </c>
      <c r="J914" t="s">
        <v>50</v>
      </c>
      <c r="K914" t="s">
        <v>29</v>
      </c>
      <c r="L914">
        <f t="shared" si="14"/>
        <v>9890.68</v>
      </c>
    </row>
    <row r="915" spans="1:12" x14ac:dyDescent="0.3">
      <c r="A915" t="s">
        <v>2613</v>
      </c>
      <c r="B915" t="s">
        <v>437</v>
      </c>
      <c r="C915" t="s">
        <v>2614</v>
      </c>
      <c r="D915" t="s">
        <v>912</v>
      </c>
      <c r="E915" t="s">
        <v>104</v>
      </c>
      <c r="F915" t="s">
        <v>17</v>
      </c>
      <c r="G915" t="s">
        <v>18</v>
      </c>
      <c r="H915">
        <v>1</v>
      </c>
      <c r="I915">
        <v>3151.59</v>
      </c>
      <c r="J915" t="s">
        <v>19</v>
      </c>
      <c r="K915" t="s">
        <v>20</v>
      </c>
      <c r="L915">
        <f t="shared" si="14"/>
        <v>3151.59</v>
      </c>
    </row>
    <row r="916" spans="1:12" x14ac:dyDescent="0.3">
      <c r="A916" t="s">
        <v>2615</v>
      </c>
      <c r="B916" t="s">
        <v>1633</v>
      </c>
      <c r="C916" t="s">
        <v>2616</v>
      </c>
      <c r="D916" t="s">
        <v>912</v>
      </c>
      <c r="E916" t="s">
        <v>16</v>
      </c>
      <c r="F916" t="s">
        <v>26</v>
      </c>
      <c r="G916" t="s">
        <v>208</v>
      </c>
      <c r="H916">
        <v>5</v>
      </c>
      <c r="I916">
        <v>1420.25</v>
      </c>
      <c r="J916" t="s">
        <v>42</v>
      </c>
      <c r="K916" t="s">
        <v>29</v>
      </c>
      <c r="L916">
        <f t="shared" si="14"/>
        <v>7101.25</v>
      </c>
    </row>
    <row r="917" spans="1:12" x14ac:dyDescent="0.3">
      <c r="A917" t="s">
        <v>2617</v>
      </c>
      <c r="B917" t="s">
        <v>2378</v>
      </c>
      <c r="C917" t="s">
        <v>1745</v>
      </c>
      <c r="D917" t="s">
        <v>1382</v>
      </c>
      <c r="E917" t="s">
        <v>62</v>
      </c>
      <c r="F917" t="s">
        <v>26</v>
      </c>
      <c r="G917" t="s">
        <v>296</v>
      </c>
      <c r="H917">
        <v>2</v>
      </c>
      <c r="I917">
        <v>1516.91</v>
      </c>
      <c r="J917" t="s">
        <v>28</v>
      </c>
      <c r="K917" t="s">
        <v>43</v>
      </c>
      <c r="L917">
        <f t="shared" si="14"/>
        <v>3033.82</v>
      </c>
    </row>
    <row r="918" spans="1:12" x14ac:dyDescent="0.3">
      <c r="A918" t="s">
        <v>2618</v>
      </c>
      <c r="B918" t="s">
        <v>254</v>
      </c>
      <c r="C918" t="s">
        <v>118</v>
      </c>
      <c r="D918" t="s">
        <v>2619</v>
      </c>
      <c r="E918" t="s">
        <v>128</v>
      </c>
      <c r="F918" t="s">
        <v>17</v>
      </c>
      <c r="G918" t="s">
        <v>188</v>
      </c>
      <c r="H918">
        <v>7</v>
      </c>
      <c r="I918">
        <v>3419.49</v>
      </c>
      <c r="J918" t="s">
        <v>42</v>
      </c>
      <c r="K918" t="s">
        <v>43</v>
      </c>
      <c r="L918">
        <f t="shared" si="14"/>
        <v>23936.43</v>
      </c>
    </row>
    <row r="919" spans="1:12" x14ac:dyDescent="0.3">
      <c r="A919" t="s">
        <v>2620</v>
      </c>
      <c r="B919" t="s">
        <v>2621</v>
      </c>
      <c r="C919" t="s">
        <v>2622</v>
      </c>
      <c r="D919" t="s">
        <v>2623</v>
      </c>
      <c r="E919" t="s">
        <v>16</v>
      </c>
      <c r="F919" t="s">
        <v>26</v>
      </c>
      <c r="G919" t="s">
        <v>208</v>
      </c>
      <c r="H919">
        <v>5</v>
      </c>
      <c r="I919">
        <v>3421.65</v>
      </c>
      <c r="J919" t="s">
        <v>19</v>
      </c>
      <c r="K919" t="s">
        <v>43</v>
      </c>
      <c r="L919">
        <f t="shared" si="14"/>
        <v>17108.25</v>
      </c>
    </row>
    <row r="920" spans="1:12" x14ac:dyDescent="0.3">
      <c r="A920" t="s">
        <v>2624</v>
      </c>
      <c r="B920" t="s">
        <v>2625</v>
      </c>
      <c r="C920" t="s">
        <v>909</v>
      </c>
      <c r="D920" t="s">
        <v>1411</v>
      </c>
      <c r="E920" t="s">
        <v>16</v>
      </c>
      <c r="F920" t="s">
        <v>77</v>
      </c>
      <c r="G920" t="s">
        <v>123</v>
      </c>
      <c r="H920">
        <v>3</v>
      </c>
      <c r="I920">
        <v>735.67</v>
      </c>
      <c r="J920" t="s">
        <v>28</v>
      </c>
      <c r="K920" t="s">
        <v>51</v>
      </c>
      <c r="L920">
        <f t="shared" si="14"/>
        <v>2207.0099999999998</v>
      </c>
    </row>
    <row r="921" spans="1:12" x14ac:dyDescent="0.3">
      <c r="A921" t="s">
        <v>2626</v>
      </c>
      <c r="B921" t="s">
        <v>542</v>
      </c>
      <c r="C921" t="s">
        <v>1799</v>
      </c>
      <c r="D921" t="s">
        <v>2421</v>
      </c>
      <c r="E921" t="s">
        <v>128</v>
      </c>
      <c r="F921" t="s">
        <v>77</v>
      </c>
      <c r="G921" t="s">
        <v>78</v>
      </c>
      <c r="H921">
        <v>5</v>
      </c>
      <c r="I921">
        <v>3313.24</v>
      </c>
      <c r="J921" t="s">
        <v>50</v>
      </c>
      <c r="K921" t="s">
        <v>20</v>
      </c>
      <c r="L921">
        <f t="shared" si="14"/>
        <v>16566.199999999997</v>
      </c>
    </row>
    <row r="922" spans="1:12" x14ac:dyDescent="0.3">
      <c r="A922" t="s">
        <v>2627</v>
      </c>
      <c r="B922" t="s">
        <v>2628</v>
      </c>
      <c r="C922" t="s">
        <v>1474</v>
      </c>
      <c r="D922" t="s">
        <v>2629</v>
      </c>
      <c r="E922" t="s">
        <v>25</v>
      </c>
      <c r="F922" t="s">
        <v>77</v>
      </c>
      <c r="G922" t="s">
        <v>123</v>
      </c>
      <c r="H922">
        <v>10</v>
      </c>
      <c r="I922">
        <v>1006.66</v>
      </c>
      <c r="J922" t="s">
        <v>19</v>
      </c>
      <c r="K922" t="s">
        <v>43</v>
      </c>
      <c r="L922">
        <f t="shared" si="14"/>
        <v>10066.6</v>
      </c>
    </row>
    <row r="923" spans="1:12" x14ac:dyDescent="0.3">
      <c r="A923" t="s">
        <v>2630</v>
      </c>
      <c r="B923" t="s">
        <v>823</v>
      </c>
      <c r="C923" t="s">
        <v>2014</v>
      </c>
      <c r="D923" t="s">
        <v>475</v>
      </c>
      <c r="E923" t="s">
        <v>25</v>
      </c>
      <c r="F923" t="s">
        <v>26</v>
      </c>
      <c r="G923" t="s">
        <v>166</v>
      </c>
      <c r="H923">
        <v>10</v>
      </c>
      <c r="I923">
        <v>2749.85</v>
      </c>
      <c r="J923" t="s">
        <v>19</v>
      </c>
      <c r="K923" t="s">
        <v>36</v>
      </c>
      <c r="L923">
        <f t="shared" si="14"/>
        <v>27498.5</v>
      </c>
    </row>
    <row r="924" spans="1:12" x14ac:dyDescent="0.3">
      <c r="A924" t="s">
        <v>2631</v>
      </c>
      <c r="B924" t="s">
        <v>654</v>
      </c>
      <c r="C924" t="s">
        <v>71</v>
      </c>
      <c r="D924" t="s">
        <v>2282</v>
      </c>
      <c r="E924" t="s">
        <v>128</v>
      </c>
      <c r="F924" t="s">
        <v>26</v>
      </c>
      <c r="G924" t="s">
        <v>166</v>
      </c>
      <c r="H924">
        <v>3</v>
      </c>
      <c r="I924">
        <v>4589.26</v>
      </c>
      <c r="J924" t="s">
        <v>50</v>
      </c>
      <c r="K924" t="s">
        <v>36</v>
      </c>
      <c r="L924">
        <f t="shared" si="14"/>
        <v>13767.78</v>
      </c>
    </row>
    <row r="925" spans="1:12" x14ac:dyDescent="0.3">
      <c r="A925" t="s">
        <v>2632</v>
      </c>
      <c r="B925" t="s">
        <v>1231</v>
      </c>
      <c r="C925" t="s">
        <v>1933</v>
      </c>
      <c r="D925" t="s">
        <v>2633</v>
      </c>
      <c r="E925" t="s">
        <v>16</v>
      </c>
      <c r="F925" t="s">
        <v>48</v>
      </c>
      <c r="G925" t="s">
        <v>57</v>
      </c>
      <c r="H925">
        <v>10</v>
      </c>
      <c r="I925">
        <v>4855.05</v>
      </c>
      <c r="J925" t="s">
        <v>19</v>
      </c>
      <c r="K925" t="s">
        <v>20</v>
      </c>
      <c r="L925">
        <f t="shared" si="14"/>
        <v>48550.5</v>
      </c>
    </row>
    <row r="926" spans="1:12" x14ac:dyDescent="0.3">
      <c r="A926" t="s">
        <v>2634</v>
      </c>
      <c r="B926" t="s">
        <v>1097</v>
      </c>
      <c r="C926" t="s">
        <v>1046</v>
      </c>
      <c r="D926" t="s">
        <v>2282</v>
      </c>
      <c r="E926" t="s">
        <v>25</v>
      </c>
      <c r="F926" t="s">
        <v>17</v>
      </c>
      <c r="G926" t="s">
        <v>41</v>
      </c>
      <c r="H926">
        <v>8</v>
      </c>
      <c r="I926">
        <v>3676.11</v>
      </c>
      <c r="J926" t="s">
        <v>42</v>
      </c>
      <c r="K926" t="s">
        <v>36</v>
      </c>
      <c r="L926">
        <f t="shared" si="14"/>
        <v>29408.880000000001</v>
      </c>
    </row>
    <row r="927" spans="1:12" x14ac:dyDescent="0.3">
      <c r="A927" t="s">
        <v>2635</v>
      </c>
      <c r="B927" t="s">
        <v>2261</v>
      </c>
      <c r="C927" t="s">
        <v>2636</v>
      </c>
      <c r="D927" t="s">
        <v>2637</v>
      </c>
      <c r="E927" t="s">
        <v>95</v>
      </c>
      <c r="F927" t="s">
        <v>17</v>
      </c>
      <c r="G927" t="s">
        <v>18</v>
      </c>
      <c r="H927">
        <v>7</v>
      </c>
      <c r="I927">
        <v>3700.34</v>
      </c>
      <c r="J927" t="s">
        <v>28</v>
      </c>
      <c r="K927" t="s">
        <v>51</v>
      </c>
      <c r="L927">
        <f t="shared" si="14"/>
        <v>25902.38</v>
      </c>
    </row>
    <row r="928" spans="1:12" x14ac:dyDescent="0.3">
      <c r="A928" t="s">
        <v>2638</v>
      </c>
      <c r="B928" t="s">
        <v>2525</v>
      </c>
      <c r="C928" t="s">
        <v>268</v>
      </c>
      <c r="D928" t="s">
        <v>55</v>
      </c>
      <c r="E928" t="s">
        <v>25</v>
      </c>
      <c r="F928" t="s">
        <v>48</v>
      </c>
      <c r="G928" t="s">
        <v>110</v>
      </c>
      <c r="H928">
        <v>5</v>
      </c>
      <c r="I928">
        <v>368.99</v>
      </c>
      <c r="J928" t="s">
        <v>42</v>
      </c>
      <c r="K928" t="s">
        <v>29</v>
      </c>
      <c r="L928">
        <f t="shared" si="14"/>
        <v>1844.95</v>
      </c>
    </row>
    <row r="929" spans="1:12" x14ac:dyDescent="0.3">
      <c r="A929" t="s">
        <v>2639</v>
      </c>
      <c r="B929" t="s">
        <v>336</v>
      </c>
      <c r="C929" t="s">
        <v>2484</v>
      </c>
      <c r="D929" t="s">
        <v>157</v>
      </c>
      <c r="E929" t="s">
        <v>62</v>
      </c>
      <c r="F929" t="s">
        <v>48</v>
      </c>
      <c r="G929" t="s">
        <v>57</v>
      </c>
      <c r="H929">
        <v>8</v>
      </c>
      <c r="I929">
        <v>332.71</v>
      </c>
      <c r="J929" t="s">
        <v>19</v>
      </c>
      <c r="K929" t="s">
        <v>36</v>
      </c>
      <c r="L929">
        <f t="shared" si="14"/>
        <v>2661.68</v>
      </c>
    </row>
    <row r="930" spans="1:12" x14ac:dyDescent="0.3">
      <c r="A930" t="s">
        <v>2640</v>
      </c>
      <c r="B930" t="s">
        <v>949</v>
      </c>
      <c r="C930" t="s">
        <v>554</v>
      </c>
      <c r="D930" t="s">
        <v>2641</v>
      </c>
      <c r="E930" t="s">
        <v>34</v>
      </c>
      <c r="F930" t="s">
        <v>48</v>
      </c>
      <c r="G930" t="s">
        <v>179</v>
      </c>
      <c r="H930">
        <v>3</v>
      </c>
      <c r="I930">
        <v>3380.12</v>
      </c>
      <c r="J930" t="s">
        <v>42</v>
      </c>
      <c r="K930" t="s">
        <v>36</v>
      </c>
      <c r="L930">
        <f t="shared" si="14"/>
        <v>10140.36</v>
      </c>
    </row>
    <row r="931" spans="1:12" x14ac:dyDescent="0.3">
      <c r="A931" t="s">
        <v>2642</v>
      </c>
      <c r="B931" t="s">
        <v>988</v>
      </c>
      <c r="C931" t="s">
        <v>1191</v>
      </c>
      <c r="D931" t="s">
        <v>228</v>
      </c>
      <c r="E931" t="s">
        <v>56</v>
      </c>
      <c r="F931" t="s">
        <v>17</v>
      </c>
      <c r="G931" t="s">
        <v>188</v>
      </c>
      <c r="H931">
        <v>5</v>
      </c>
      <c r="I931">
        <v>4093.59</v>
      </c>
      <c r="J931" t="s">
        <v>28</v>
      </c>
      <c r="K931" t="s">
        <v>36</v>
      </c>
      <c r="L931">
        <f t="shared" si="14"/>
        <v>20467.95</v>
      </c>
    </row>
    <row r="932" spans="1:12" x14ac:dyDescent="0.3">
      <c r="A932" t="s">
        <v>2643</v>
      </c>
      <c r="B932" t="s">
        <v>125</v>
      </c>
      <c r="C932" t="s">
        <v>2644</v>
      </c>
      <c r="D932" t="s">
        <v>1588</v>
      </c>
      <c r="E932" t="s">
        <v>62</v>
      </c>
      <c r="F932" t="s">
        <v>77</v>
      </c>
      <c r="G932" t="s">
        <v>123</v>
      </c>
      <c r="H932">
        <v>4</v>
      </c>
      <c r="I932">
        <v>2975.44</v>
      </c>
      <c r="J932" t="s">
        <v>19</v>
      </c>
      <c r="K932" t="s">
        <v>36</v>
      </c>
      <c r="L932">
        <f t="shared" si="14"/>
        <v>11901.76</v>
      </c>
    </row>
    <row r="933" spans="1:12" x14ac:dyDescent="0.3">
      <c r="A933" t="s">
        <v>2645</v>
      </c>
      <c r="B933" t="s">
        <v>1680</v>
      </c>
      <c r="C933" t="s">
        <v>2593</v>
      </c>
      <c r="D933" t="s">
        <v>2243</v>
      </c>
      <c r="E933" t="s">
        <v>95</v>
      </c>
      <c r="F933" t="s">
        <v>77</v>
      </c>
      <c r="G933" t="s">
        <v>171</v>
      </c>
      <c r="H933">
        <v>10</v>
      </c>
      <c r="I933">
        <v>2195.6</v>
      </c>
      <c r="J933" t="s">
        <v>19</v>
      </c>
      <c r="K933" t="s">
        <v>43</v>
      </c>
      <c r="L933">
        <f t="shared" si="14"/>
        <v>21956</v>
      </c>
    </row>
    <row r="934" spans="1:12" x14ac:dyDescent="0.3">
      <c r="A934" t="s">
        <v>2646</v>
      </c>
      <c r="B934" t="s">
        <v>1375</v>
      </c>
      <c r="C934" t="s">
        <v>890</v>
      </c>
      <c r="D934" t="s">
        <v>2647</v>
      </c>
      <c r="E934" t="s">
        <v>62</v>
      </c>
      <c r="F934" t="s">
        <v>17</v>
      </c>
      <c r="G934" t="s">
        <v>68</v>
      </c>
      <c r="H934">
        <v>7</v>
      </c>
      <c r="I934">
        <v>1754.21</v>
      </c>
      <c r="J934" t="s">
        <v>19</v>
      </c>
      <c r="K934" t="s">
        <v>36</v>
      </c>
      <c r="L934">
        <f t="shared" si="14"/>
        <v>12279.470000000001</v>
      </c>
    </row>
    <row r="935" spans="1:12" x14ac:dyDescent="0.3">
      <c r="A935" t="s">
        <v>2648</v>
      </c>
      <c r="B935" t="s">
        <v>1110</v>
      </c>
      <c r="C935" t="s">
        <v>2649</v>
      </c>
      <c r="D935" t="s">
        <v>1942</v>
      </c>
      <c r="E935" t="s">
        <v>56</v>
      </c>
      <c r="F935" t="s">
        <v>77</v>
      </c>
      <c r="G935" t="s">
        <v>171</v>
      </c>
      <c r="H935">
        <v>4</v>
      </c>
      <c r="I935">
        <v>4188.05</v>
      </c>
      <c r="J935" t="s">
        <v>50</v>
      </c>
      <c r="K935" t="s">
        <v>43</v>
      </c>
      <c r="L935">
        <f t="shared" si="14"/>
        <v>16752.2</v>
      </c>
    </row>
    <row r="936" spans="1:12" x14ac:dyDescent="0.3">
      <c r="A936" t="s">
        <v>2650</v>
      </c>
      <c r="B936" t="s">
        <v>1975</v>
      </c>
      <c r="C936" t="s">
        <v>2651</v>
      </c>
      <c r="D936" t="s">
        <v>1339</v>
      </c>
      <c r="E936" t="s">
        <v>25</v>
      </c>
      <c r="F936" t="s">
        <v>26</v>
      </c>
      <c r="G936" t="s">
        <v>296</v>
      </c>
      <c r="H936">
        <v>5</v>
      </c>
      <c r="I936">
        <v>2398.06</v>
      </c>
      <c r="J936" t="s">
        <v>50</v>
      </c>
      <c r="K936" t="s">
        <v>29</v>
      </c>
      <c r="L936">
        <f t="shared" si="14"/>
        <v>11990.3</v>
      </c>
    </row>
    <row r="937" spans="1:12" x14ac:dyDescent="0.3">
      <c r="A937" t="s">
        <v>2652</v>
      </c>
      <c r="B937" t="s">
        <v>1451</v>
      </c>
      <c r="C937" t="s">
        <v>1098</v>
      </c>
      <c r="D937" t="s">
        <v>315</v>
      </c>
      <c r="E937" t="s">
        <v>16</v>
      </c>
      <c r="F937" t="s">
        <v>17</v>
      </c>
      <c r="G937" t="s">
        <v>18</v>
      </c>
      <c r="H937">
        <v>5</v>
      </c>
      <c r="I937">
        <v>4782.3500000000004</v>
      </c>
      <c r="J937" t="s">
        <v>28</v>
      </c>
      <c r="K937" t="s">
        <v>36</v>
      </c>
      <c r="L937">
        <f t="shared" si="14"/>
        <v>23911.75</v>
      </c>
    </row>
    <row r="938" spans="1:12" x14ac:dyDescent="0.3">
      <c r="A938" t="s">
        <v>2653</v>
      </c>
      <c r="B938" t="s">
        <v>2654</v>
      </c>
      <c r="C938" t="s">
        <v>2655</v>
      </c>
      <c r="D938" t="s">
        <v>1924</v>
      </c>
      <c r="E938" t="s">
        <v>16</v>
      </c>
      <c r="F938" t="s">
        <v>26</v>
      </c>
      <c r="G938" t="s">
        <v>27</v>
      </c>
      <c r="H938">
        <v>9</v>
      </c>
      <c r="I938">
        <v>2719.07</v>
      </c>
      <c r="J938" t="s">
        <v>19</v>
      </c>
      <c r="K938" t="s">
        <v>20</v>
      </c>
      <c r="L938">
        <f t="shared" si="14"/>
        <v>24471.63</v>
      </c>
    </row>
    <row r="939" spans="1:12" x14ac:dyDescent="0.3">
      <c r="A939" t="s">
        <v>2656</v>
      </c>
      <c r="B939" t="s">
        <v>1234</v>
      </c>
      <c r="C939" t="s">
        <v>2585</v>
      </c>
      <c r="D939" t="s">
        <v>375</v>
      </c>
      <c r="E939" t="s">
        <v>25</v>
      </c>
      <c r="F939" t="s">
        <v>17</v>
      </c>
      <c r="G939" t="s">
        <v>35</v>
      </c>
      <c r="H939">
        <v>3</v>
      </c>
      <c r="I939">
        <v>2821.51</v>
      </c>
      <c r="J939" t="s">
        <v>42</v>
      </c>
      <c r="K939" t="s">
        <v>20</v>
      </c>
      <c r="L939">
        <f t="shared" si="14"/>
        <v>8464.5300000000007</v>
      </c>
    </row>
    <row r="940" spans="1:12" x14ac:dyDescent="0.3">
      <c r="A940" t="s">
        <v>2657</v>
      </c>
      <c r="B940" t="s">
        <v>2460</v>
      </c>
      <c r="C940" t="s">
        <v>1991</v>
      </c>
      <c r="D940" t="s">
        <v>1050</v>
      </c>
      <c r="E940" t="s">
        <v>56</v>
      </c>
      <c r="F940" t="s">
        <v>48</v>
      </c>
      <c r="G940" t="s">
        <v>49</v>
      </c>
      <c r="H940">
        <v>2</v>
      </c>
      <c r="I940">
        <v>4470.8</v>
      </c>
      <c r="J940" t="s">
        <v>50</v>
      </c>
      <c r="K940" t="s">
        <v>51</v>
      </c>
      <c r="L940">
        <f t="shared" si="14"/>
        <v>8941.6</v>
      </c>
    </row>
    <row r="941" spans="1:12" x14ac:dyDescent="0.3">
      <c r="A941" t="s">
        <v>2658</v>
      </c>
      <c r="B941" t="s">
        <v>2525</v>
      </c>
      <c r="C941" t="s">
        <v>1354</v>
      </c>
      <c r="D941" t="s">
        <v>224</v>
      </c>
      <c r="E941" t="s">
        <v>62</v>
      </c>
      <c r="F941" t="s">
        <v>48</v>
      </c>
      <c r="G941" t="s">
        <v>49</v>
      </c>
      <c r="H941">
        <v>8</v>
      </c>
      <c r="I941">
        <v>4483.8100000000004</v>
      </c>
      <c r="J941" t="s">
        <v>19</v>
      </c>
      <c r="K941" t="s">
        <v>83</v>
      </c>
      <c r="L941">
        <f t="shared" si="14"/>
        <v>35870.480000000003</v>
      </c>
    </row>
    <row r="942" spans="1:12" x14ac:dyDescent="0.3">
      <c r="A942" t="s">
        <v>2659</v>
      </c>
      <c r="B942" t="s">
        <v>1280</v>
      </c>
      <c r="C942" t="s">
        <v>1154</v>
      </c>
      <c r="D942" t="s">
        <v>2660</v>
      </c>
      <c r="E942" t="s">
        <v>34</v>
      </c>
      <c r="F942" t="s">
        <v>17</v>
      </c>
      <c r="G942" t="s">
        <v>41</v>
      </c>
      <c r="H942">
        <v>9</v>
      </c>
      <c r="I942">
        <v>4994.53</v>
      </c>
      <c r="J942" t="s">
        <v>42</v>
      </c>
      <c r="K942" t="s">
        <v>20</v>
      </c>
      <c r="L942">
        <f t="shared" si="14"/>
        <v>44950.77</v>
      </c>
    </row>
    <row r="943" spans="1:12" x14ac:dyDescent="0.3">
      <c r="A943" t="s">
        <v>2661</v>
      </c>
      <c r="B943" t="s">
        <v>794</v>
      </c>
      <c r="C943" t="s">
        <v>1664</v>
      </c>
      <c r="D943" t="s">
        <v>2389</v>
      </c>
      <c r="E943" t="s">
        <v>16</v>
      </c>
      <c r="F943" t="s">
        <v>26</v>
      </c>
      <c r="G943" t="s">
        <v>166</v>
      </c>
      <c r="H943">
        <v>1</v>
      </c>
      <c r="I943">
        <v>4264.5600000000004</v>
      </c>
      <c r="J943" t="s">
        <v>50</v>
      </c>
      <c r="K943" t="s">
        <v>36</v>
      </c>
      <c r="L943">
        <f t="shared" si="14"/>
        <v>4264.5600000000004</v>
      </c>
    </row>
    <row r="944" spans="1:12" x14ac:dyDescent="0.3">
      <c r="A944" t="s">
        <v>2662</v>
      </c>
      <c r="B944" t="s">
        <v>254</v>
      </c>
      <c r="C944" t="s">
        <v>348</v>
      </c>
      <c r="D944" t="s">
        <v>1992</v>
      </c>
      <c r="E944" t="s">
        <v>128</v>
      </c>
      <c r="F944" t="s">
        <v>77</v>
      </c>
      <c r="G944" t="s">
        <v>78</v>
      </c>
      <c r="H944">
        <v>3</v>
      </c>
      <c r="I944">
        <v>4592.92</v>
      </c>
      <c r="J944" t="s">
        <v>50</v>
      </c>
      <c r="K944" t="s">
        <v>83</v>
      </c>
      <c r="L944">
        <f t="shared" si="14"/>
        <v>13778.76</v>
      </c>
    </row>
    <row r="945" spans="1:12" x14ac:dyDescent="0.3">
      <c r="A945" t="s">
        <v>2663</v>
      </c>
      <c r="B945" t="s">
        <v>1645</v>
      </c>
      <c r="C945" t="s">
        <v>2229</v>
      </c>
      <c r="D945" t="s">
        <v>2237</v>
      </c>
      <c r="E945" t="s">
        <v>128</v>
      </c>
      <c r="F945" t="s">
        <v>26</v>
      </c>
      <c r="G945" t="s">
        <v>166</v>
      </c>
      <c r="H945">
        <v>8</v>
      </c>
      <c r="I945">
        <v>1248.24</v>
      </c>
      <c r="J945" t="s">
        <v>50</v>
      </c>
      <c r="K945" t="s">
        <v>43</v>
      </c>
      <c r="L945">
        <f t="shared" si="14"/>
        <v>9985.92</v>
      </c>
    </row>
    <row r="946" spans="1:12" x14ac:dyDescent="0.3">
      <c r="A946" t="s">
        <v>2664</v>
      </c>
      <c r="B946" t="s">
        <v>2665</v>
      </c>
      <c r="C946" t="s">
        <v>2666</v>
      </c>
      <c r="D946" t="s">
        <v>399</v>
      </c>
      <c r="E946" t="s">
        <v>16</v>
      </c>
      <c r="F946" t="s">
        <v>77</v>
      </c>
      <c r="G946" t="s">
        <v>171</v>
      </c>
      <c r="H946">
        <v>8</v>
      </c>
      <c r="I946">
        <v>4627.26</v>
      </c>
      <c r="J946" t="s">
        <v>50</v>
      </c>
      <c r="K946" t="s">
        <v>83</v>
      </c>
      <c r="L946">
        <f t="shared" si="14"/>
        <v>37018.080000000002</v>
      </c>
    </row>
    <row r="947" spans="1:12" x14ac:dyDescent="0.3">
      <c r="A947" t="s">
        <v>2667</v>
      </c>
      <c r="B947" t="s">
        <v>1222</v>
      </c>
      <c r="C947" t="s">
        <v>2668</v>
      </c>
      <c r="D947" t="s">
        <v>2669</v>
      </c>
      <c r="E947" t="s">
        <v>25</v>
      </c>
      <c r="F947" t="s">
        <v>77</v>
      </c>
      <c r="G947" t="s">
        <v>265</v>
      </c>
      <c r="H947">
        <v>3</v>
      </c>
      <c r="I947">
        <v>1975.56</v>
      </c>
      <c r="J947" t="s">
        <v>19</v>
      </c>
      <c r="K947" t="s">
        <v>83</v>
      </c>
      <c r="L947">
        <f t="shared" si="14"/>
        <v>5926.68</v>
      </c>
    </row>
    <row r="948" spans="1:12" x14ac:dyDescent="0.3">
      <c r="A948" t="s">
        <v>2670</v>
      </c>
      <c r="B948" t="s">
        <v>1626</v>
      </c>
      <c r="C948" t="s">
        <v>2450</v>
      </c>
      <c r="D948" t="s">
        <v>1496</v>
      </c>
      <c r="E948" t="s">
        <v>95</v>
      </c>
      <c r="F948" t="s">
        <v>26</v>
      </c>
      <c r="G948" t="s">
        <v>296</v>
      </c>
      <c r="H948">
        <v>4</v>
      </c>
      <c r="I948">
        <v>3588.63</v>
      </c>
      <c r="J948" t="s">
        <v>50</v>
      </c>
      <c r="K948" t="s">
        <v>20</v>
      </c>
      <c r="L948">
        <f t="shared" si="14"/>
        <v>14354.52</v>
      </c>
    </row>
    <row r="949" spans="1:12" x14ac:dyDescent="0.3">
      <c r="A949" t="s">
        <v>2671</v>
      </c>
      <c r="B949" t="s">
        <v>1981</v>
      </c>
      <c r="C949" t="s">
        <v>2033</v>
      </c>
      <c r="D949" t="s">
        <v>1595</v>
      </c>
      <c r="E949" t="s">
        <v>56</v>
      </c>
      <c r="F949" t="s">
        <v>48</v>
      </c>
      <c r="G949" t="s">
        <v>57</v>
      </c>
      <c r="H949">
        <v>9</v>
      </c>
      <c r="I949">
        <v>600.04</v>
      </c>
      <c r="J949" t="s">
        <v>42</v>
      </c>
      <c r="K949" t="s">
        <v>36</v>
      </c>
      <c r="L949">
        <f t="shared" si="14"/>
        <v>5400.36</v>
      </c>
    </row>
    <row r="950" spans="1:12" x14ac:dyDescent="0.3">
      <c r="A950" t="s">
        <v>2672</v>
      </c>
      <c r="B950" t="s">
        <v>59</v>
      </c>
      <c r="C950" t="s">
        <v>943</v>
      </c>
      <c r="D950" t="s">
        <v>1263</v>
      </c>
      <c r="E950" t="s">
        <v>25</v>
      </c>
      <c r="F950" t="s">
        <v>17</v>
      </c>
      <c r="G950" t="s">
        <v>188</v>
      </c>
      <c r="H950">
        <v>7</v>
      </c>
      <c r="I950">
        <v>3817.26</v>
      </c>
      <c r="J950" t="s">
        <v>42</v>
      </c>
      <c r="K950" t="s">
        <v>29</v>
      </c>
      <c r="L950">
        <f t="shared" si="14"/>
        <v>26720.82</v>
      </c>
    </row>
    <row r="951" spans="1:12" x14ac:dyDescent="0.3">
      <c r="A951" t="s">
        <v>2673</v>
      </c>
      <c r="B951" t="s">
        <v>1384</v>
      </c>
      <c r="C951" t="s">
        <v>1399</v>
      </c>
      <c r="D951" t="s">
        <v>2476</v>
      </c>
      <c r="E951" t="s">
        <v>62</v>
      </c>
      <c r="F951" t="s">
        <v>77</v>
      </c>
      <c r="G951" t="s">
        <v>123</v>
      </c>
      <c r="H951">
        <v>10</v>
      </c>
      <c r="I951">
        <v>1678.64</v>
      </c>
      <c r="J951" t="s">
        <v>19</v>
      </c>
      <c r="K951" t="s">
        <v>83</v>
      </c>
      <c r="L951">
        <f t="shared" si="14"/>
        <v>16786.400000000001</v>
      </c>
    </row>
    <row r="952" spans="1:12" x14ac:dyDescent="0.3">
      <c r="A952" t="s">
        <v>2674</v>
      </c>
      <c r="B952" t="s">
        <v>568</v>
      </c>
      <c r="C952" t="s">
        <v>2675</v>
      </c>
      <c r="D952" t="s">
        <v>1693</v>
      </c>
      <c r="E952" t="s">
        <v>104</v>
      </c>
      <c r="F952" t="s">
        <v>48</v>
      </c>
      <c r="G952" t="s">
        <v>49</v>
      </c>
      <c r="H952">
        <v>8</v>
      </c>
      <c r="I952">
        <v>3362.96</v>
      </c>
      <c r="J952" t="s">
        <v>42</v>
      </c>
      <c r="K952" t="s">
        <v>29</v>
      </c>
      <c r="L952">
        <f t="shared" si="14"/>
        <v>26903.68</v>
      </c>
    </row>
    <row r="953" spans="1:12" x14ac:dyDescent="0.3">
      <c r="A953" t="s">
        <v>2676</v>
      </c>
      <c r="B953" t="s">
        <v>1653</v>
      </c>
      <c r="C953" t="s">
        <v>2223</v>
      </c>
      <c r="D953" t="s">
        <v>906</v>
      </c>
      <c r="E953" t="s">
        <v>62</v>
      </c>
      <c r="F953" t="s">
        <v>48</v>
      </c>
      <c r="G953" t="s">
        <v>49</v>
      </c>
      <c r="H953">
        <v>3</v>
      </c>
      <c r="I953">
        <v>350.93</v>
      </c>
      <c r="J953" t="s">
        <v>50</v>
      </c>
      <c r="K953" t="s">
        <v>36</v>
      </c>
      <c r="L953">
        <f t="shared" si="14"/>
        <v>1052.79</v>
      </c>
    </row>
    <row r="954" spans="1:12" x14ac:dyDescent="0.3">
      <c r="A954" t="s">
        <v>2677</v>
      </c>
      <c r="B954" t="s">
        <v>738</v>
      </c>
      <c r="C954" t="s">
        <v>1154</v>
      </c>
      <c r="D954" t="s">
        <v>2007</v>
      </c>
      <c r="E954" t="s">
        <v>16</v>
      </c>
      <c r="F954" t="s">
        <v>48</v>
      </c>
      <c r="G954" t="s">
        <v>179</v>
      </c>
      <c r="H954">
        <v>3</v>
      </c>
      <c r="I954">
        <v>3916.21</v>
      </c>
      <c r="J954" t="s">
        <v>28</v>
      </c>
      <c r="K954" t="s">
        <v>43</v>
      </c>
      <c r="L954">
        <f t="shared" si="14"/>
        <v>11748.630000000001</v>
      </c>
    </row>
    <row r="955" spans="1:12" x14ac:dyDescent="0.3">
      <c r="A955" t="s">
        <v>2678</v>
      </c>
      <c r="B955" t="s">
        <v>1097</v>
      </c>
      <c r="C955" t="s">
        <v>2679</v>
      </c>
      <c r="D955" t="s">
        <v>573</v>
      </c>
      <c r="E955" t="s">
        <v>16</v>
      </c>
      <c r="F955" t="s">
        <v>26</v>
      </c>
      <c r="G955" t="s">
        <v>27</v>
      </c>
      <c r="H955">
        <v>4</v>
      </c>
      <c r="I955">
        <v>312.57</v>
      </c>
      <c r="J955" t="s">
        <v>19</v>
      </c>
      <c r="K955" t="s">
        <v>36</v>
      </c>
      <c r="L955">
        <f t="shared" si="14"/>
        <v>1250.28</v>
      </c>
    </row>
    <row r="956" spans="1:12" x14ac:dyDescent="0.3">
      <c r="A956" t="s">
        <v>2680</v>
      </c>
      <c r="B956" t="s">
        <v>1650</v>
      </c>
      <c r="C956" t="s">
        <v>2681</v>
      </c>
      <c r="D956" t="s">
        <v>922</v>
      </c>
      <c r="E956" t="s">
        <v>25</v>
      </c>
      <c r="F956" t="s">
        <v>17</v>
      </c>
      <c r="G956" t="s">
        <v>35</v>
      </c>
      <c r="H956">
        <v>2</v>
      </c>
      <c r="I956">
        <v>1612.02</v>
      </c>
      <c r="J956" t="s">
        <v>50</v>
      </c>
      <c r="K956" t="s">
        <v>36</v>
      </c>
      <c r="L956">
        <f t="shared" si="14"/>
        <v>3224.04</v>
      </c>
    </row>
    <row r="957" spans="1:12" x14ac:dyDescent="0.3">
      <c r="A957" t="s">
        <v>2682</v>
      </c>
      <c r="B957" t="s">
        <v>1759</v>
      </c>
      <c r="C957" t="s">
        <v>215</v>
      </c>
      <c r="D957" t="s">
        <v>766</v>
      </c>
      <c r="E957" t="s">
        <v>62</v>
      </c>
      <c r="F957" t="s">
        <v>48</v>
      </c>
      <c r="G957" t="s">
        <v>49</v>
      </c>
      <c r="H957">
        <v>3</v>
      </c>
      <c r="I957">
        <v>2169.9699999999998</v>
      </c>
      <c r="J957" t="s">
        <v>28</v>
      </c>
      <c r="K957" t="s">
        <v>36</v>
      </c>
      <c r="L957">
        <f t="shared" si="14"/>
        <v>6509.91</v>
      </c>
    </row>
    <row r="958" spans="1:12" x14ac:dyDescent="0.3">
      <c r="A958" t="s">
        <v>2683</v>
      </c>
      <c r="B958" t="s">
        <v>2486</v>
      </c>
      <c r="C958" t="s">
        <v>1787</v>
      </c>
      <c r="D958" t="s">
        <v>1827</v>
      </c>
      <c r="E958" t="s">
        <v>104</v>
      </c>
      <c r="F958" t="s">
        <v>26</v>
      </c>
      <c r="G958" t="s">
        <v>27</v>
      </c>
      <c r="H958">
        <v>7</v>
      </c>
      <c r="I958">
        <v>2649.27</v>
      </c>
      <c r="J958" t="s">
        <v>19</v>
      </c>
      <c r="K958" t="s">
        <v>36</v>
      </c>
      <c r="L958">
        <f t="shared" si="14"/>
        <v>18544.89</v>
      </c>
    </row>
    <row r="959" spans="1:12" x14ac:dyDescent="0.3">
      <c r="A959" t="s">
        <v>2684</v>
      </c>
      <c r="B959" t="s">
        <v>2685</v>
      </c>
      <c r="C959" t="s">
        <v>2686</v>
      </c>
      <c r="D959" t="s">
        <v>2687</v>
      </c>
      <c r="E959" t="s">
        <v>56</v>
      </c>
      <c r="F959" t="s">
        <v>26</v>
      </c>
      <c r="G959" t="s">
        <v>27</v>
      </c>
      <c r="H959">
        <v>2</v>
      </c>
      <c r="I959">
        <v>1543.26</v>
      </c>
      <c r="J959" t="s">
        <v>28</v>
      </c>
      <c r="K959" t="s">
        <v>36</v>
      </c>
      <c r="L959">
        <f t="shared" si="14"/>
        <v>3086.52</v>
      </c>
    </row>
    <row r="960" spans="1:12" x14ac:dyDescent="0.3">
      <c r="A960" t="s">
        <v>2688</v>
      </c>
      <c r="B960" t="s">
        <v>1093</v>
      </c>
      <c r="C960" t="s">
        <v>1542</v>
      </c>
      <c r="D960" t="s">
        <v>2689</v>
      </c>
      <c r="E960" t="s">
        <v>104</v>
      </c>
      <c r="F960" t="s">
        <v>48</v>
      </c>
      <c r="G960" t="s">
        <v>179</v>
      </c>
      <c r="H960">
        <v>7</v>
      </c>
      <c r="I960">
        <v>185.18</v>
      </c>
      <c r="J960" t="s">
        <v>50</v>
      </c>
      <c r="K960" t="s">
        <v>51</v>
      </c>
      <c r="L960">
        <f t="shared" si="14"/>
        <v>1296.26</v>
      </c>
    </row>
    <row r="961" spans="1:12" x14ac:dyDescent="0.3">
      <c r="A961" t="s">
        <v>2690</v>
      </c>
      <c r="B961" t="s">
        <v>2595</v>
      </c>
      <c r="C961" t="s">
        <v>2691</v>
      </c>
      <c r="D961" t="s">
        <v>2692</v>
      </c>
      <c r="E961" t="s">
        <v>104</v>
      </c>
      <c r="F961" t="s">
        <v>77</v>
      </c>
      <c r="G961" t="s">
        <v>105</v>
      </c>
      <c r="H961">
        <v>10</v>
      </c>
      <c r="I961">
        <v>4997.75</v>
      </c>
      <c r="J961" t="s">
        <v>19</v>
      </c>
      <c r="K961" t="s">
        <v>36</v>
      </c>
      <c r="L961">
        <f t="shared" si="14"/>
        <v>49977.5</v>
      </c>
    </row>
    <row r="962" spans="1:12" x14ac:dyDescent="0.3">
      <c r="A962" t="s">
        <v>2693</v>
      </c>
      <c r="B962" t="s">
        <v>1730</v>
      </c>
      <c r="C962" t="s">
        <v>1324</v>
      </c>
      <c r="D962" t="s">
        <v>2689</v>
      </c>
      <c r="E962" t="s">
        <v>56</v>
      </c>
      <c r="F962" t="s">
        <v>17</v>
      </c>
      <c r="G962" t="s">
        <v>18</v>
      </c>
      <c r="H962">
        <v>8</v>
      </c>
      <c r="I962">
        <v>1185.81</v>
      </c>
      <c r="J962" t="s">
        <v>19</v>
      </c>
      <c r="K962" t="s">
        <v>83</v>
      </c>
      <c r="L962">
        <f t="shared" si="14"/>
        <v>9486.48</v>
      </c>
    </row>
    <row r="963" spans="1:12" x14ac:dyDescent="0.3">
      <c r="A963" t="s">
        <v>2694</v>
      </c>
      <c r="B963" t="s">
        <v>117</v>
      </c>
      <c r="C963" t="s">
        <v>837</v>
      </c>
      <c r="D963" t="s">
        <v>2015</v>
      </c>
      <c r="E963" t="s">
        <v>16</v>
      </c>
      <c r="F963" t="s">
        <v>48</v>
      </c>
      <c r="G963" t="s">
        <v>179</v>
      </c>
      <c r="H963">
        <v>9</v>
      </c>
      <c r="I963">
        <v>2503.25</v>
      </c>
      <c r="J963" t="s">
        <v>50</v>
      </c>
      <c r="K963" t="s">
        <v>29</v>
      </c>
      <c r="L963">
        <f t="shared" ref="L963:L1001" si="15">H963*I963</f>
        <v>22529.25</v>
      </c>
    </row>
    <row r="964" spans="1:12" x14ac:dyDescent="0.3">
      <c r="A964" t="s">
        <v>2695</v>
      </c>
      <c r="B964" t="s">
        <v>2696</v>
      </c>
      <c r="C964" t="s">
        <v>2420</v>
      </c>
      <c r="D964" t="s">
        <v>2697</v>
      </c>
      <c r="E964" t="s">
        <v>95</v>
      </c>
      <c r="F964" t="s">
        <v>77</v>
      </c>
      <c r="G964" t="s">
        <v>78</v>
      </c>
      <c r="H964">
        <v>8</v>
      </c>
      <c r="I964">
        <v>2562.5500000000002</v>
      </c>
      <c r="J964" t="s">
        <v>42</v>
      </c>
      <c r="K964" t="s">
        <v>51</v>
      </c>
      <c r="L964">
        <f t="shared" si="15"/>
        <v>20500.400000000001</v>
      </c>
    </row>
    <row r="965" spans="1:12" x14ac:dyDescent="0.3">
      <c r="A965" t="s">
        <v>2698</v>
      </c>
      <c r="B965" t="s">
        <v>630</v>
      </c>
      <c r="C965" t="s">
        <v>2699</v>
      </c>
      <c r="D965" t="s">
        <v>345</v>
      </c>
      <c r="E965" t="s">
        <v>104</v>
      </c>
      <c r="F965" t="s">
        <v>17</v>
      </c>
      <c r="G965" t="s">
        <v>68</v>
      </c>
      <c r="H965">
        <v>8</v>
      </c>
      <c r="I965">
        <v>4245.08</v>
      </c>
      <c r="J965" t="s">
        <v>42</v>
      </c>
      <c r="K965" t="s">
        <v>51</v>
      </c>
      <c r="L965">
        <f t="shared" si="15"/>
        <v>33960.639999999999</v>
      </c>
    </row>
    <row r="966" spans="1:12" x14ac:dyDescent="0.3">
      <c r="A966" t="s">
        <v>2700</v>
      </c>
      <c r="B966" t="s">
        <v>197</v>
      </c>
      <c r="C966" t="s">
        <v>2701</v>
      </c>
      <c r="D966" t="s">
        <v>2702</v>
      </c>
      <c r="E966" t="s">
        <v>25</v>
      </c>
      <c r="F966" t="s">
        <v>17</v>
      </c>
      <c r="G966" t="s">
        <v>18</v>
      </c>
      <c r="H966">
        <v>1</v>
      </c>
      <c r="I966">
        <v>3538.36</v>
      </c>
      <c r="J966" t="s">
        <v>19</v>
      </c>
      <c r="K966" t="s">
        <v>51</v>
      </c>
      <c r="L966">
        <f t="shared" si="15"/>
        <v>3538.36</v>
      </c>
    </row>
    <row r="967" spans="1:12" x14ac:dyDescent="0.3">
      <c r="A967" t="s">
        <v>2703</v>
      </c>
      <c r="B967" t="s">
        <v>1437</v>
      </c>
      <c r="C967" t="s">
        <v>1598</v>
      </c>
      <c r="D967" t="s">
        <v>2704</v>
      </c>
      <c r="E967" t="s">
        <v>25</v>
      </c>
      <c r="F967" t="s">
        <v>77</v>
      </c>
      <c r="G967" t="s">
        <v>265</v>
      </c>
      <c r="H967">
        <v>9</v>
      </c>
      <c r="I967">
        <v>4621.58</v>
      </c>
      <c r="J967" t="s">
        <v>19</v>
      </c>
      <c r="K967" t="s">
        <v>29</v>
      </c>
      <c r="L967">
        <f t="shared" si="15"/>
        <v>41594.22</v>
      </c>
    </row>
    <row r="968" spans="1:12" x14ac:dyDescent="0.3">
      <c r="A968" t="s">
        <v>2705</v>
      </c>
      <c r="B968" t="s">
        <v>1552</v>
      </c>
      <c r="C968" t="s">
        <v>2061</v>
      </c>
      <c r="D968" t="s">
        <v>1145</v>
      </c>
      <c r="E968" t="s">
        <v>25</v>
      </c>
      <c r="F968" t="s">
        <v>77</v>
      </c>
      <c r="G968" t="s">
        <v>265</v>
      </c>
      <c r="H968">
        <v>10</v>
      </c>
      <c r="I968">
        <v>1544.53</v>
      </c>
      <c r="J968" t="s">
        <v>28</v>
      </c>
      <c r="K968" t="s">
        <v>29</v>
      </c>
      <c r="L968">
        <f t="shared" si="15"/>
        <v>15445.3</v>
      </c>
    </row>
    <row r="969" spans="1:12" x14ac:dyDescent="0.3">
      <c r="A969" t="s">
        <v>2706</v>
      </c>
      <c r="B969" t="s">
        <v>313</v>
      </c>
      <c r="C969" t="s">
        <v>2707</v>
      </c>
      <c r="D969" t="s">
        <v>1124</v>
      </c>
      <c r="E969" t="s">
        <v>104</v>
      </c>
      <c r="F969" t="s">
        <v>48</v>
      </c>
      <c r="G969" t="s">
        <v>49</v>
      </c>
      <c r="H969">
        <v>9</v>
      </c>
      <c r="I969">
        <v>4009.54</v>
      </c>
      <c r="J969" t="s">
        <v>42</v>
      </c>
      <c r="K969" t="s">
        <v>51</v>
      </c>
      <c r="L969">
        <f t="shared" si="15"/>
        <v>36085.86</v>
      </c>
    </row>
    <row r="970" spans="1:12" x14ac:dyDescent="0.3">
      <c r="A970" t="s">
        <v>2708</v>
      </c>
      <c r="B970" t="s">
        <v>1790</v>
      </c>
      <c r="C970" t="s">
        <v>2709</v>
      </c>
      <c r="D970" t="s">
        <v>1658</v>
      </c>
      <c r="E970" t="s">
        <v>95</v>
      </c>
      <c r="F970" t="s">
        <v>77</v>
      </c>
      <c r="G970" t="s">
        <v>78</v>
      </c>
      <c r="H970">
        <v>5</v>
      </c>
      <c r="I970">
        <v>3759.55</v>
      </c>
      <c r="J970" t="s">
        <v>50</v>
      </c>
      <c r="K970" t="s">
        <v>20</v>
      </c>
      <c r="L970">
        <f t="shared" si="15"/>
        <v>18797.75</v>
      </c>
    </row>
    <row r="971" spans="1:12" x14ac:dyDescent="0.3">
      <c r="A971" t="s">
        <v>2710</v>
      </c>
      <c r="B971" t="s">
        <v>893</v>
      </c>
      <c r="C971" t="s">
        <v>1111</v>
      </c>
      <c r="D971" t="s">
        <v>2711</v>
      </c>
      <c r="E971" t="s">
        <v>62</v>
      </c>
      <c r="F971" t="s">
        <v>26</v>
      </c>
      <c r="G971" t="s">
        <v>27</v>
      </c>
      <c r="H971">
        <v>7</v>
      </c>
      <c r="I971">
        <v>3506.08</v>
      </c>
      <c r="J971" t="s">
        <v>50</v>
      </c>
      <c r="K971" t="s">
        <v>43</v>
      </c>
      <c r="L971">
        <f t="shared" si="15"/>
        <v>24542.559999999998</v>
      </c>
    </row>
    <row r="972" spans="1:12" x14ac:dyDescent="0.3">
      <c r="A972" t="s">
        <v>2712</v>
      </c>
      <c r="B972" t="s">
        <v>1290</v>
      </c>
      <c r="C972" t="s">
        <v>1855</v>
      </c>
      <c r="D972" t="s">
        <v>2312</v>
      </c>
      <c r="E972" t="s">
        <v>128</v>
      </c>
      <c r="F972" t="s">
        <v>77</v>
      </c>
      <c r="G972" t="s">
        <v>265</v>
      </c>
      <c r="H972">
        <v>7</v>
      </c>
      <c r="I972">
        <v>956.73</v>
      </c>
      <c r="J972" t="s">
        <v>19</v>
      </c>
      <c r="K972" t="s">
        <v>83</v>
      </c>
      <c r="L972">
        <f t="shared" si="15"/>
        <v>6697.1100000000006</v>
      </c>
    </row>
    <row r="973" spans="1:12" x14ac:dyDescent="0.3">
      <c r="A973" t="s">
        <v>2713</v>
      </c>
      <c r="B973" t="s">
        <v>2197</v>
      </c>
      <c r="C973" t="s">
        <v>1568</v>
      </c>
      <c r="D973" t="s">
        <v>1013</v>
      </c>
      <c r="E973" t="s">
        <v>104</v>
      </c>
      <c r="F973" t="s">
        <v>48</v>
      </c>
      <c r="G973" t="s">
        <v>49</v>
      </c>
      <c r="H973">
        <v>8</v>
      </c>
      <c r="I973">
        <v>2592.39</v>
      </c>
      <c r="J973" t="s">
        <v>19</v>
      </c>
      <c r="K973" t="s">
        <v>20</v>
      </c>
      <c r="L973">
        <f t="shared" si="15"/>
        <v>20739.12</v>
      </c>
    </row>
    <row r="974" spans="1:12" x14ac:dyDescent="0.3">
      <c r="A974" t="s">
        <v>2714</v>
      </c>
      <c r="B974" t="s">
        <v>1686</v>
      </c>
      <c r="C974" t="s">
        <v>874</v>
      </c>
      <c r="D974" t="s">
        <v>2490</v>
      </c>
      <c r="E974" t="s">
        <v>56</v>
      </c>
      <c r="F974" t="s">
        <v>77</v>
      </c>
      <c r="G974" t="s">
        <v>265</v>
      </c>
      <c r="H974">
        <v>1</v>
      </c>
      <c r="I974">
        <v>2723.65</v>
      </c>
      <c r="J974" t="s">
        <v>42</v>
      </c>
      <c r="K974" t="s">
        <v>51</v>
      </c>
      <c r="L974">
        <f t="shared" si="15"/>
        <v>2723.65</v>
      </c>
    </row>
    <row r="975" spans="1:12" x14ac:dyDescent="0.3">
      <c r="A975" t="s">
        <v>2715</v>
      </c>
      <c r="B975" t="s">
        <v>2336</v>
      </c>
      <c r="C975" t="s">
        <v>2050</v>
      </c>
      <c r="D975" t="s">
        <v>2716</v>
      </c>
      <c r="E975" t="s">
        <v>95</v>
      </c>
      <c r="F975" t="s">
        <v>17</v>
      </c>
      <c r="G975" t="s">
        <v>18</v>
      </c>
      <c r="H975">
        <v>4</v>
      </c>
      <c r="I975">
        <v>3625.06</v>
      </c>
      <c r="J975" t="s">
        <v>42</v>
      </c>
      <c r="K975" t="s">
        <v>20</v>
      </c>
      <c r="L975">
        <f t="shared" si="15"/>
        <v>14500.24</v>
      </c>
    </row>
    <row r="976" spans="1:12" x14ac:dyDescent="0.3">
      <c r="A976" t="s">
        <v>2717</v>
      </c>
      <c r="B976" t="s">
        <v>197</v>
      </c>
      <c r="C976" t="s">
        <v>2236</v>
      </c>
      <c r="D976" t="s">
        <v>1085</v>
      </c>
      <c r="E976" t="s">
        <v>95</v>
      </c>
      <c r="F976" t="s">
        <v>48</v>
      </c>
      <c r="G976" t="s">
        <v>63</v>
      </c>
      <c r="H976">
        <v>1</v>
      </c>
      <c r="I976">
        <v>3046.43</v>
      </c>
      <c r="J976" t="s">
        <v>50</v>
      </c>
      <c r="K976" t="s">
        <v>43</v>
      </c>
      <c r="L976">
        <f t="shared" si="15"/>
        <v>3046.43</v>
      </c>
    </row>
    <row r="977" spans="1:12" x14ac:dyDescent="0.3">
      <c r="A977" t="s">
        <v>2718</v>
      </c>
      <c r="B977" t="s">
        <v>2719</v>
      </c>
      <c r="C977" t="s">
        <v>614</v>
      </c>
      <c r="D977" t="s">
        <v>2259</v>
      </c>
      <c r="E977" t="s">
        <v>56</v>
      </c>
      <c r="F977" t="s">
        <v>26</v>
      </c>
      <c r="G977" t="s">
        <v>27</v>
      </c>
      <c r="H977">
        <v>1</v>
      </c>
      <c r="I977">
        <v>2541.0100000000002</v>
      </c>
      <c r="J977" t="s">
        <v>50</v>
      </c>
      <c r="K977" t="s">
        <v>20</v>
      </c>
      <c r="L977">
        <f t="shared" si="15"/>
        <v>2541.0100000000002</v>
      </c>
    </row>
    <row r="978" spans="1:12" x14ac:dyDescent="0.3">
      <c r="A978" t="s">
        <v>2720</v>
      </c>
      <c r="B978" t="s">
        <v>1753</v>
      </c>
      <c r="C978" t="s">
        <v>2721</v>
      </c>
      <c r="D978" t="s">
        <v>2669</v>
      </c>
      <c r="E978" t="s">
        <v>95</v>
      </c>
      <c r="F978" t="s">
        <v>17</v>
      </c>
      <c r="G978" t="s">
        <v>188</v>
      </c>
      <c r="H978">
        <v>10</v>
      </c>
      <c r="I978">
        <v>3810.82</v>
      </c>
      <c r="J978" t="s">
        <v>28</v>
      </c>
      <c r="K978" t="s">
        <v>83</v>
      </c>
      <c r="L978">
        <f t="shared" si="15"/>
        <v>38108.200000000004</v>
      </c>
    </row>
    <row r="979" spans="1:12" x14ac:dyDescent="0.3">
      <c r="A979" t="s">
        <v>2722</v>
      </c>
      <c r="B979" t="s">
        <v>564</v>
      </c>
      <c r="C979" t="s">
        <v>2723</v>
      </c>
      <c r="D979" t="s">
        <v>379</v>
      </c>
      <c r="E979" t="s">
        <v>25</v>
      </c>
      <c r="F979" t="s">
        <v>77</v>
      </c>
      <c r="G979" t="s">
        <v>171</v>
      </c>
      <c r="H979">
        <v>9</v>
      </c>
      <c r="I979">
        <v>1643.41</v>
      </c>
      <c r="J979" t="s">
        <v>42</v>
      </c>
      <c r="K979" t="s">
        <v>20</v>
      </c>
      <c r="L979">
        <f t="shared" si="15"/>
        <v>14790.69</v>
      </c>
    </row>
    <row r="980" spans="1:12" x14ac:dyDescent="0.3">
      <c r="A980" t="s">
        <v>2724</v>
      </c>
      <c r="B980" t="s">
        <v>38</v>
      </c>
      <c r="C980" t="s">
        <v>817</v>
      </c>
      <c r="D980" t="s">
        <v>1493</v>
      </c>
      <c r="E980" t="s">
        <v>25</v>
      </c>
      <c r="F980" t="s">
        <v>26</v>
      </c>
      <c r="G980" t="s">
        <v>166</v>
      </c>
      <c r="H980">
        <v>9</v>
      </c>
      <c r="I980">
        <v>931.91</v>
      </c>
      <c r="J980" t="s">
        <v>28</v>
      </c>
      <c r="K980" t="s">
        <v>29</v>
      </c>
      <c r="L980">
        <f t="shared" si="15"/>
        <v>8387.19</v>
      </c>
    </row>
    <row r="981" spans="1:12" x14ac:dyDescent="0.3">
      <c r="A981" t="s">
        <v>2725</v>
      </c>
      <c r="B981" t="s">
        <v>898</v>
      </c>
      <c r="C981" t="s">
        <v>1681</v>
      </c>
      <c r="D981" t="s">
        <v>1435</v>
      </c>
      <c r="E981" t="s">
        <v>95</v>
      </c>
      <c r="F981" t="s">
        <v>77</v>
      </c>
      <c r="G981" t="s">
        <v>105</v>
      </c>
      <c r="H981">
        <v>9</v>
      </c>
      <c r="I981">
        <v>1869.27</v>
      </c>
      <c r="J981" t="s">
        <v>50</v>
      </c>
      <c r="K981" t="s">
        <v>20</v>
      </c>
      <c r="L981">
        <f t="shared" si="15"/>
        <v>16823.43</v>
      </c>
    </row>
    <row r="982" spans="1:12" x14ac:dyDescent="0.3">
      <c r="A982" t="s">
        <v>2726</v>
      </c>
      <c r="B982" t="s">
        <v>1261</v>
      </c>
      <c r="C982" t="s">
        <v>337</v>
      </c>
      <c r="D982" t="s">
        <v>1728</v>
      </c>
      <c r="E982" t="s">
        <v>128</v>
      </c>
      <c r="F982" t="s">
        <v>26</v>
      </c>
      <c r="G982" t="s">
        <v>208</v>
      </c>
      <c r="H982">
        <v>5</v>
      </c>
      <c r="I982">
        <v>2627.41</v>
      </c>
      <c r="J982" t="s">
        <v>50</v>
      </c>
      <c r="K982" t="s">
        <v>36</v>
      </c>
      <c r="L982">
        <f t="shared" si="15"/>
        <v>13137.05</v>
      </c>
    </row>
    <row r="983" spans="1:12" x14ac:dyDescent="0.3">
      <c r="A983" t="s">
        <v>2727</v>
      </c>
      <c r="B983" t="s">
        <v>1753</v>
      </c>
      <c r="C983" t="s">
        <v>2055</v>
      </c>
      <c r="D983" t="s">
        <v>2728</v>
      </c>
      <c r="E983" t="s">
        <v>25</v>
      </c>
      <c r="F983" t="s">
        <v>77</v>
      </c>
      <c r="G983" t="s">
        <v>265</v>
      </c>
      <c r="H983">
        <v>2</v>
      </c>
      <c r="I983">
        <v>1609.31</v>
      </c>
      <c r="J983" t="s">
        <v>28</v>
      </c>
      <c r="K983" t="s">
        <v>20</v>
      </c>
      <c r="L983">
        <f t="shared" si="15"/>
        <v>3218.62</v>
      </c>
    </row>
    <row r="984" spans="1:12" x14ac:dyDescent="0.3">
      <c r="A984" t="s">
        <v>2729</v>
      </c>
      <c r="B984" t="s">
        <v>1517</v>
      </c>
      <c r="C984" t="s">
        <v>1154</v>
      </c>
      <c r="D984" t="s">
        <v>666</v>
      </c>
      <c r="E984" t="s">
        <v>104</v>
      </c>
      <c r="F984" t="s">
        <v>48</v>
      </c>
      <c r="G984" t="s">
        <v>49</v>
      </c>
      <c r="H984">
        <v>2</v>
      </c>
      <c r="I984">
        <v>242.79</v>
      </c>
      <c r="J984" t="s">
        <v>19</v>
      </c>
      <c r="K984" t="s">
        <v>83</v>
      </c>
      <c r="L984">
        <f t="shared" si="15"/>
        <v>485.58</v>
      </c>
    </row>
    <row r="985" spans="1:12" x14ac:dyDescent="0.3">
      <c r="A985" t="s">
        <v>2730</v>
      </c>
      <c r="B985" t="s">
        <v>412</v>
      </c>
      <c r="C985" t="s">
        <v>2731</v>
      </c>
      <c r="D985" t="s">
        <v>2732</v>
      </c>
      <c r="E985" t="s">
        <v>62</v>
      </c>
      <c r="F985" t="s">
        <v>17</v>
      </c>
      <c r="G985" t="s">
        <v>18</v>
      </c>
      <c r="H985">
        <v>9</v>
      </c>
      <c r="I985">
        <v>4563.2700000000004</v>
      </c>
      <c r="J985" t="s">
        <v>42</v>
      </c>
      <c r="K985" t="s">
        <v>36</v>
      </c>
      <c r="L985">
        <f t="shared" si="15"/>
        <v>41069.430000000008</v>
      </c>
    </row>
    <row r="986" spans="1:12" x14ac:dyDescent="0.3">
      <c r="A986" t="s">
        <v>2733</v>
      </c>
      <c r="B986" t="s">
        <v>2628</v>
      </c>
      <c r="C986" t="s">
        <v>1542</v>
      </c>
      <c r="D986" t="s">
        <v>1466</v>
      </c>
      <c r="E986" t="s">
        <v>56</v>
      </c>
      <c r="F986" t="s">
        <v>26</v>
      </c>
      <c r="G986" t="s">
        <v>27</v>
      </c>
      <c r="H986">
        <v>4</v>
      </c>
      <c r="I986">
        <v>232.73</v>
      </c>
      <c r="J986" t="s">
        <v>42</v>
      </c>
      <c r="K986" t="s">
        <v>43</v>
      </c>
      <c r="L986">
        <f t="shared" si="15"/>
        <v>930.92</v>
      </c>
    </row>
    <row r="987" spans="1:12" x14ac:dyDescent="0.3">
      <c r="A987" t="s">
        <v>2734</v>
      </c>
      <c r="B987" t="s">
        <v>1680</v>
      </c>
      <c r="C987" t="s">
        <v>2340</v>
      </c>
      <c r="D987" t="s">
        <v>199</v>
      </c>
      <c r="E987" t="s">
        <v>128</v>
      </c>
      <c r="F987" t="s">
        <v>17</v>
      </c>
      <c r="G987" t="s">
        <v>41</v>
      </c>
      <c r="H987">
        <v>10</v>
      </c>
      <c r="I987">
        <v>2895.53</v>
      </c>
      <c r="J987" t="s">
        <v>42</v>
      </c>
      <c r="K987" t="s">
        <v>51</v>
      </c>
      <c r="L987">
        <f t="shared" si="15"/>
        <v>28955.300000000003</v>
      </c>
    </row>
    <row r="988" spans="1:12" x14ac:dyDescent="0.3">
      <c r="A988" t="s">
        <v>2735</v>
      </c>
      <c r="B988" t="s">
        <v>279</v>
      </c>
      <c r="C988" t="s">
        <v>2736</v>
      </c>
      <c r="D988" t="s">
        <v>2566</v>
      </c>
      <c r="E988" t="s">
        <v>16</v>
      </c>
      <c r="F988" t="s">
        <v>17</v>
      </c>
      <c r="G988" t="s">
        <v>188</v>
      </c>
      <c r="H988">
        <v>6</v>
      </c>
      <c r="I988">
        <v>1134.19</v>
      </c>
      <c r="J988" t="s">
        <v>50</v>
      </c>
      <c r="K988" t="s">
        <v>29</v>
      </c>
      <c r="L988">
        <f t="shared" si="15"/>
        <v>6805.14</v>
      </c>
    </row>
    <row r="989" spans="1:12" x14ac:dyDescent="0.3">
      <c r="A989" t="s">
        <v>2737</v>
      </c>
      <c r="B989" t="s">
        <v>2395</v>
      </c>
      <c r="C989" t="s">
        <v>815</v>
      </c>
      <c r="D989" t="s">
        <v>1414</v>
      </c>
      <c r="E989" t="s">
        <v>16</v>
      </c>
      <c r="F989" t="s">
        <v>26</v>
      </c>
      <c r="G989" t="s">
        <v>296</v>
      </c>
      <c r="H989">
        <v>5</v>
      </c>
      <c r="I989">
        <v>4435.34</v>
      </c>
      <c r="J989" t="s">
        <v>42</v>
      </c>
      <c r="K989" t="s">
        <v>43</v>
      </c>
      <c r="L989">
        <f t="shared" si="15"/>
        <v>22176.7</v>
      </c>
    </row>
    <row r="990" spans="1:12" x14ac:dyDescent="0.3">
      <c r="A990" t="s">
        <v>2738</v>
      </c>
      <c r="B990" t="s">
        <v>931</v>
      </c>
      <c r="C990" t="s">
        <v>2739</v>
      </c>
      <c r="D990" t="s">
        <v>315</v>
      </c>
      <c r="E990" t="s">
        <v>56</v>
      </c>
      <c r="F990" t="s">
        <v>26</v>
      </c>
      <c r="G990" t="s">
        <v>296</v>
      </c>
      <c r="H990">
        <v>1</v>
      </c>
      <c r="I990">
        <v>2222.11</v>
      </c>
      <c r="J990" t="s">
        <v>42</v>
      </c>
      <c r="K990" t="s">
        <v>43</v>
      </c>
      <c r="L990">
        <f t="shared" si="15"/>
        <v>2222.11</v>
      </c>
    </row>
    <row r="991" spans="1:12" x14ac:dyDescent="0.3">
      <c r="A991" t="s">
        <v>2740</v>
      </c>
      <c r="B991" t="s">
        <v>422</v>
      </c>
      <c r="C991" t="s">
        <v>2041</v>
      </c>
      <c r="D991" t="s">
        <v>2669</v>
      </c>
      <c r="E991" t="s">
        <v>104</v>
      </c>
      <c r="F991" t="s">
        <v>26</v>
      </c>
      <c r="G991" t="s">
        <v>115</v>
      </c>
      <c r="H991">
        <v>6</v>
      </c>
      <c r="I991">
        <v>1433.79</v>
      </c>
      <c r="J991" t="s">
        <v>42</v>
      </c>
      <c r="K991" t="s">
        <v>83</v>
      </c>
      <c r="L991">
        <f t="shared" si="15"/>
        <v>8602.74</v>
      </c>
    </row>
    <row r="992" spans="1:12" x14ac:dyDescent="0.3">
      <c r="A992" t="s">
        <v>2741</v>
      </c>
      <c r="B992" t="s">
        <v>141</v>
      </c>
      <c r="C992" t="s">
        <v>2373</v>
      </c>
      <c r="D992" t="s">
        <v>2742</v>
      </c>
      <c r="E992" t="s">
        <v>16</v>
      </c>
      <c r="F992" t="s">
        <v>26</v>
      </c>
      <c r="G992" t="s">
        <v>27</v>
      </c>
      <c r="H992">
        <v>3</v>
      </c>
      <c r="I992">
        <v>3304.3</v>
      </c>
      <c r="J992" t="s">
        <v>42</v>
      </c>
      <c r="K992" t="s">
        <v>29</v>
      </c>
      <c r="L992">
        <f t="shared" si="15"/>
        <v>9912.9000000000015</v>
      </c>
    </row>
    <row r="993" spans="1:12" x14ac:dyDescent="0.3">
      <c r="A993" t="s">
        <v>2743</v>
      </c>
      <c r="B993" t="s">
        <v>197</v>
      </c>
      <c r="C993" t="s">
        <v>2744</v>
      </c>
      <c r="D993" t="s">
        <v>2745</v>
      </c>
      <c r="E993" t="s">
        <v>62</v>
      </c>
      <c r="F993" t="s">
        <v>48</v>
      </c>
      <c r="G993" t="s">
        <v>63</v>
      </c>
      <c r="H993">
        <v>6</v>
      </c>
      <c r="I993">
        <v>1117.5</v>
      </c>
      <c r="J993" t="s">
        <v>50</v>
      </c>
      <c r="K993" t="s">
        <v>36</v>
      </c>
      <c r="L993">
        <f t="shared" si="15"/>
        <v>6705</v>
      </c>
    </row>
    <row r="994" spans="1:12" x14ac:dyDescent="0.3">
      <c r="A994" t="s">
        <v>2746</v>
      </c>
      <c r="B994" t="s">
        <v>1243</v>
      </c>
      <c r="C994" t="s">
        <v>498</v>
      </c>
      <c r="D994" t="s">
        <v>228</v>
      </c>
      <c r="E994" t="s">
        <v>16</v>
      </c>
      <c r="F994" t="s">
        <v>17</v>
      </c>
      <c r="G994" t="s">
        <v>35</v>
      </c>
      <c r="H994">
        <v>9</v>
      </c>
      <c r="I994">
        <v>2225.17</v>
      </c>
      <c r="J994" t="s">
        <v>50</v>
      </c>
      <c r="K994" t="s">
        <v>51</v>
      </c>
      <c r="L994">
        <f t="shared" si="15"/>
        <v>20026.53</v>
      </c>
    </row>
    <row r="995" spans="1:12" x14ac:dyDescent="0.3">
      <c r="A995" t="s">
        <v>2747</v>
      </c>
      <c r="B995" t="s">
        <v>2748</v>
      </c>
      <c r="C995" t="s">
        <v>194</v>
      </c>
      <c r="D995" t="s">
        <v>1914</v>
      </c>
      <c r="E995" t="s">
        <v>16</v>
      </c>
      <c r="F995" t="s">
        <v>26</v>
      </c>
      <c r="G995" t="s">
        <v>115</v>
      </c>
      <c r="H995">
        <v>6</v>
      </c>
      <c r="I995">
        <v>2015.79</v>
      </c>
      <c r="J995" t="s">
        <v>50</v>
      </c>
      <c r="K995" t="s">
        <v>51</v>
      </c>
      <c r="L995">
        <f t="shared" si="15"/>
        <v>12094.74</v>
      </c>
    </row>
    <row r="996" spans="1:12" x14ac:dyDescent="0.3">
      <c r="A996" t="s">
        <v>2749</v>
      </c>
      <c r="B996" t="s">
        <v>1530</v>
      </c>
      <c r="C996" t="s">
        <v>1324</v>
      </c>
      <c r="D996" t="s">
        <v>1077</v>
      </c>
      <c r="E996" t="s">
        <v>56</v>
      </c>
      <c r="F996" t="s">
        <v>77</v>
      </c>
      <c r="G996" t="s">
        <v>78</v>
      </c>
      <c r="H996">
        <v>3</v>
      </c>
      <c r="I996">
        <v>1319.16</v>
      </c>
      <c r="J996" t="s">
        <v>28</v>
      </c>
      <c r="K996" t="s">
        <v>83</v>
      </c>
      <c r="L996">
        <f t="shared" si="15"/>
        <v>3957.4800000000005</v>
      </c>
    </row>
    <row r="997" spans="1:12" x14ac:dyDescent="0.3">
      <c r="A997" t="s">
        <v>2750</v>
      </c>
      <c r="B997" t="s">
        <v>2336</v>
      </c>
      <c r="C997" t="s">
        <v>325</v>
      </c>
      <c r="D997" t="s">
        <v>2518</v>
      </c>
      <c r="E997" t="s">
        <v>128</v>
      </c>
      <c r="F997" t="s">
        <v>17</v>
      </c>
      <c r="G997" t="s">
        <v>41</v>
      </c>
      <c r="H997">
        <v>1</v>
      </c>
      <c r="I997">
        <v>1393.71</v>
      </c>
      <c r="J997" t="s">
        <v>19</v>
      </c>
      <c r="K997" t="s">
        <v>43</v>
      </c>
      <c r="L997">
        <f t="shared" si="15"/>
        <v>1393.71</v>
      </c>
    </row>
    <row r="998" spans="1:12" x14ac:dyDescent="0.3">
      <c r="A998" t="s">
        <v>2751</v>
      </c>
      <c r="B998" t="s">
        <v>725</v>
      </c>
      <c r="C998" t="s">
        <v>516</v>
      </c>
      <c r="D998" t="s">
        <v>2752</v>
      </c>
      <c r="E998" t="s">
        <v>16</v>
      </c>
      <c r="F998" t="s">
        <v>26</v>
      </c>
      <c r="G998" t="s">
        <v>27</v>
      </c>
      <c r="H998">
        <v>5</v>
      </c>
      <c r="I998">
        <v>632.55999999999995</v>
      </c>
      <c r="J998" t="s">
        <v>28</v>
      </c>
      <c r="K998" t="s">
        <v>51</v>
      </c>
      <c r="L998">
        <f t="shared" si="15"/>
        <v>3162.7999999999997</v>
      </c>
    </row>
    <row r="999" spans="1:12" x14ac:dyDescent="0.3">
      <c r="A999" t="s">
        <v>2753</v>
      </c>
      <c r="B999" t="s">
        <v>1384</v>
      </c>
      <c r="C999" t="s">
        <v>1410</v>
      </c>
      <c r="D999" t="s">
        <v>2564</v>
      </c>
      <c r="E999" t="s">
        <v>128</v>
      </c>
      <c r="F999" t="s">
        <v>17</v>
      </c>
      <c r="G999" t="s">
        <v>188</v>
      </c>
      <c r="H999">
        <v>9</v>
      </c>
      <c r="I999">
        <v>3510.34</v>
      </c>
      <c r="J999" t="s">
        <v>50</v>
      </c>
      <c r="K999" t="s">
        <v>20</v>
      </c>
      <c r="L999">
        <f t="shared" si="15"/>
        <v>31593.06</v>
      </c>
    </row>
    <row r="1000" spans="1:12" x14ac:dyDescent="0.3">
      <c r="A1000" t="s">
        <v>2754</v>
      </c>
      <c r="B1000" t="s">
        <v>613</v>
      </c>
      <c r="C1000" t="s">
        <v>1732</v>
      </c>
      <c r="D1000" t="s">
        <v>1134</v>
      </c>
      <c r="E1000" t="s">
        <v>95</v>
      </c>
      <c r="F1000" t="s">
        <v>26</v>
      </c>
      <c r="G1000" t="s">
        <v>208</v>
      </c>
      <c r="H1000">
        <v>8</v>
      </c>
      <c r="I1000">
        <v>2358.2800000000002</v>
      </c>
      <c r="J1000" t="s">
        <v>50</v>
      </c>
      <c r="K1000" t="s">
        <v>29</v>
      </c>
      <c r="L1000">
        <f t="shared" si="15"/>
        <v>18866.240000000002</v>
      </c>
    </row>
    <row r="1001" spans="1:12" x14ac:dyDescent="0.3">
      <c r="A1001" t="s">
        <v>2755</v>
      </c>
      <c r="B1001" t="s">
        <v>530</v>
      </c>
      <c r="C1001" t="s">
        <v>1000</v>
      </c>
      <c r="D1001" t="s">
        <v>2756</v>
      </c>
      <c r="E1001" t="s">
        <v>56</v>
      </c>
      <c r="F1001" t="s">
        <v>77</v>
      </c>
      <c r="G1001" t="s">
        <v>123</v>
      </c>
      <c r="H1001">
        <v>7</v>
      </c>
      <c r="I1001">
        <v>4191.55</v>
      </c>
      <c r="J1001" t="s">
        <v>19</v>
      </c>
      <c r="K1001" t="s">
        <v>20</v>
      </c>
      <c r="L1001">
        <f t="shared" si="15"/>
        <v>29340.850000000002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C8E9-B1DE-40B6-8368-E93F11FC53AC}">
  <dimension ref="A1:ALM46"/>
  <sheetViews>
    <sheetView topLeftCell="A12" workbookViewId="0">
      <selection activeCell="C29" sqref="C29"/>
    </sheetView>
  </sheetViews>
  <sheetFormatPr defaultRowHeight="14.4" x14ac:dyDescent="0.3"/>
  <cols>
    <col min="1" max="1" width="16.44140625" bestFit="1" customWidth="1"/>
    <col min="2" max="2" width="10.33203125" bestFit="1" customWidth="1"/>
    <col min="3" max="3" width="11.109375" bestFit="1" customWidth="1"/>
    <col min="4" max="19" width="10.33203125" bestFit="1" customWidth="1"/>
    <col min="20" max="20" width="11.109375" bestFit="1" customWidth="1"/>
    <col min="21" max="28" width="10.33203125" bestFit="1" customWidth="1"/>
    <col min="29" max="29" width="11.109375" bestFit="1" customWidth="1"/>
    <col min="30" max="30" width="10.33203125" bestFit="1" customWidth="1"/>
    <col min="31" max="31" width="11.109375" bestFit="1" customWidth="1"/>
    <col min="32" max="52" width="10.33203125" bestFit="1" customWidth="1"/>
    <col min="53" max="53" width="11.109375" bestFit="1" customWidth="1"/>
    <col min="54" max="57" width="10.33203125" bestFit="1" customWidth="1"/>
    <col min="58" max="58" width="11.109375" bestFit="1" customWidth="1"/>
    <col min="59" max="74" width="10.33203125" bestFit="1" customWidth="1"/>
    <col min="75" max="75" width="11.109375" bestFit="1" customWidth="1"/>
    <col min="76" max="81" width="10.33203125" bestFit="1" customWidth="1"/>
    <col min="82" max="82" width="11.109375" bestFit="1" customWidth="1"/>
    <col min="83" max="107" width="10.33203125" bestFit="1" customWidth="1"/>
    <col min="108" max="108" width="11.109375" bestFit="1" customWidth="1"/>
    <col min="109" max="111" width="10.33203125" bestFit="1" customWidth="1"/>
    <col min="112" max="112" width="11.109375" bestFit="1" customWidth="1"/>
    <col min="113" max="178" width="10.33203125" bestFit="1" customWidth="1"/>
    <col min="179" max="179" width="11.109375" bestFit="1" customWidth="1"/>
    <col min="180" max="185" width="10.33203125" bestFit="1" customWidth="1"/>
    <col min="186" max="186" width="11.109375" bestFit="1" customWidth="1"/>
    <col min="187" max="212" width="10.33203125" bestFit="1" customWidth="1"/>
    <col min="213" max="213" width="11.109375" bestFit="1" customWidth="1"/>
    <col min="214" max="219" width="10.33203125" bestFit="1" customWidth="1"/>
    <col min="220" max="220" width="11.109375" bestFit="1" customWidth="1"/>
    <col min="221" max="227" width="10.33203125" bestFit="1" customWidth="1"/>
    <col min="228" max="228" width="11.109375" bestFit="1" customWidth="1"/>
    <col min="229" max="233" width="10.33203125" bestFit="1" customWidth="1"/>
    <col min="234" max="234" width="11.109375" bestFit="1" customWidth="1"/>
    <col min="235" max="240" width="10.33203125" bestFit="1" customWidth="1"/>
    <col min="241" max="241" width="11.109375" bestFit="1" customWidth="1"/>
    <col min="242" max="248" width="10.33203125" bestFit="1" customWidth="1"/>
    <col min="249" max="249" width="11.109375" bestFit="1" customWidth="1"/>
    <col min="250" max="252" width="10.33203125" bestFit="1" customWidth="1"/>
    <col min="253" max="253" width="11.109375" bestFit="1" customWidth="1"/>
    <col min="254" max="324" width="10.33203125" bestFit="1" customWidth="1"/>
    <col min="325" max="325" width="11.109375" bestFit="1" customWidth="1"/>
    <col min="326" max="330" width="10.33203125" bestFit="1" customWidth="1"/>
    <col min="331" max="332" width="11.109375" bestFit="1" customWidth="1"/>
    <col min="333" max="342" width="10.33203125" bestFit="1" customWidth="1"/>
    <col min="343" max="343" width="11.109375" bestFit="1" customWidth="1"/>
    <col min="344" max="397" width="10.33203125" bestFit="1" customWidth="1"/>
    <col min="398" max="398" width="11.109375" bestFit="1" customWidth="1"/>
    <col min="399" max="428" width="10.33203125" bestFit="1" customWidth="1"/>
    <col min="429" max="429" width="11.109375" bestFit="1" customWidth="1"/>
    <col min="430" max="445" width="10.33203125" bestFit="1" customWidth="1"/>
    <col min="446" max="446" width="11.109375" bestFit="1" customWidth="1"/>
    <col min="447" max="478" width="10.33203125" bestFit="1" customWidth="1"/>
    <col min="479" max="479" width="11.109375" bestFit="1" customWidth="1"/>
    <col min="480" max="481" width="10.33203125" bestFit="1" customWidth="1"/>
    <col min="482" max="482" width="11.109375" bestFit="1" customWidth="1"/>
    <col min="483" max="493" width="10.33203125" bestFit="1" customWidth="1"/>
    <col min="494" max="494" width="11.109375" bestFit="1" customWidth="1"/>
    <col min="495" max="540" width="10.33203125" bestFit="1" customWidth="1"/>
    <col min="541" max="541" width="11.109375" bestFit="1" customWidth="1"/>
    <col min="542" max="565" width="10.33203125" bestFit="1" customWidth="1"/>
    <col min="566" max="566" width="11.109375" bestFit="1" customWidth="1"/>
    <col min="567" max="592" width="10.33203125" bestFit="1" customWidth="1"/>
    <col min="593" max="593" width="11.109375" bestFit="1" customWidth="1"/>
    <col min="594" max="625" width="10.33203125" bestFit="1" customWidth="1"/>
    <col min="626" max="626" width="11.109375" bestFit="1" customWidth="1"/>
    <col min="627" max="657" width="10.33203125" bestFit="1" customWidth="1"/>
    <col min="658" max="658" width="11.109375" bestFit="1" customWidth="1"/>
    <col min="659" max="663" width="10.33203125" bestFit="1" customWidth="1"/>
    <col min="664" max="664" width="11.109375" bestFit="1" customWidth="1"/>
    <col min="665" max="685" width="10.33203125" bestFit="1" customWidth="1"/>
    <col min="686" max="686" width="11.109375" bestFit="1" customWidth="1"/>
    <col min="687" max="695" width="10.33203125" bestFit="1" customWidth="1"/>
    <col min="696" max="696" width="11.109375" bestFit="1" customWidth="1"/>
    <col min="697" max="703" width="10.33203125" bestFit="1" customWidth="1"/>
    <col min="704" max="704" width="11.109375" bestFit="1" customWidth="1"/>
    <col min="705" max="747" width="10.33203125" bestFit="1" customWidth="1"/>
    <col min="748" max="748" width="11.109375" bestFit="1" customWidth="1"/>
    <col min="749" max="763" width="10.33203125" bestFit="1" customWidth="1"/>
    <col min="764" max="764" width="11.109375" bestFit="1" customWidth="1"/>
    <col min="765" max="768" width="10.33203125" bestFit="1" customWidth="1"/>
    <col min="769" max="769" width="11.109375" bestFit="1" customWidth="1"/>
    <col min="770" max="779" width="10.33203125" bestFit="1" customWidth="1"/>
    <col min="780" max="780" width="11.109375" bestFit="1" customWidth="1"/>
    <col min="781" max="809" width="10.33203125" bestFit="1" customWidth="1"/>
    <col min="810" max="810" width="11.109375" bestFit="1" customWidth="1"/>
    <col min="811" max="862" width="10.33203125" bestFit="1" customWidth="1"/>
    <col min="863" max="863" width="11.109375" bestFit="1" customWidth="1"/>
    <col min="864" max="871" width="10.33203125" bestFit="1" customWidth="1"/>
    <col min="872" max="872" width="11.109375" bestFit="1" customWidth="1"/>
    <col min="873" max="886" width="10.33203125" bestFit="1" customWidth="1"/>
    <col min="887" max="887" width="11.109375" bestFit="1" customWidth="1"/>
    <col min="888" max="899" width="10.33203125" bestFit="1" customWidth="1"/>
    <col min="900" max="900" width="11.109375" bestFit="1" customWidth="1"/>
    <col min="901" max="937" width="10.33203125" bestFit="1" customWidth="1"/>
    <col min="938" max="938" width="11.109375" bestFit="1" customWidth="1"/>
    <col min="939" max="954" width="10.33203125" bestFit="1" customWidth="1"/>
    <col min="955" max="955" width="11.109375" bestFit="1" customWidth="1"/>
    <col min="956" max="957" width="10.33203125" bestFit="1" customWidth="1"/>
    <col min="958" max="959" width="11.109375" bestFit="1" customWidth="1"/>
    <col min="960" max="970" width="10.33203125" bestFit="1" customWidth="1"/>
    <col min="971" max="971" width="11.109375" bestFit="1" customWidth="1"/>
    <col min="972" max="976" width="10.33203125" bestFit="1" customWidth="1"/>
    <col min="977" max="977" width="11.109375" bestFit="1" customWidth="1"/>
    <col min="978" max="985" width="10.33203125" bestFit="1" customWidth="1"/>
    <col min="986" max="986" width="11.109375" bestFit="1" customWidth="1"/>
    <col min="987" max="991" width="10.33203125" bestFit="1" customWidth="1"/>
    <col min="992" max="992" width="11.109375" bestFit="1" customWidth="1"/>
    <col min="993" max="997" width="10.33203125" bestFit="1" customWidth="1"/>
    <col min="998" max="998" width="11.109375" bestFit="1" customWidth="1"/>
    <col min="999" max="1001" width="10.33203125" bestFit="1" customWidth="1"/>
  </cols>
  <sheetData>
    <row r="1" spans="1:1001" ht="29.4" customHeight="1" x14ac:dyDescent="0.3">
      <c r="A1" s="1" t="s">
        <v>0</v>
      </c>
      <c r="B1" t="s">
        <v>12</v>
      </c>
      <c r="C1" t="s">
        <v>21</v>
      </c>
      <c r="D1" t="s">
        <v>30</v>
      </c>
      <c r="E1" t="s">
        <v>37</v>
      </c>
      <c r="F1" t="s">
        <v>44</v>
      </c>
      <c r="G1" t="s">
        <v>52</v>
      </c>
      <c r="H1" t="s">
        <v>58</v>
      </c>
      <c r="I1" t="s">
        <v>64</v>
      </c>
      <c r="J1" t="s">
        <v>69</v>
      </c>
      <c r="K1" t="s">
        <v>73</v>
      </c>
      <c r="L1" t="s">
        <v>79</v>
      </c>
      <c r="M1" t="s">
        <v>84</v>
      </c>
      <c r="N1" t="s">
        <v>88</v>
      </c>
      <c r="O1" t="s">
        <v>92</v>
      </c>
      <c r="P1" t="s">
        <v>96</v>
      </c>
      <c r="Q1" t="s">
        <v>100</v>
      </c>
      <c r="R1" t="s">
        <v>106</v>
      </c>
      <c r="S1" t="s">
        <v>111</v>
      </c>
      <c r="T1" t="s">
        <v>116</v>
      </c>
      <c r="U1" t="s">
        <v>120</v>
      </c>
      <c r="V1" t="s">
        <v>124</v>
      </c>
      <c r="W1" t="s">
        <v>129</v>
      </c>
      <c r="X1" t="s">
        <v>133</v>
      </c>
      <c r="Y1" t="s">
        <v>136</v>
      </c>
      <c r="Z1" t="s">
        <v>140</v>
      </c>
      <c r="AA1" t="s">
        <v>143</v>
      </c>
      <c r="AB1" t="s">
        <v>147</v>
      </c>
      <c r="AC1" t="s">
        <v>150</v>
      </c>
      <c r="AD1" t="s">
        <v>154</v>
      </c>
      <c r="AE1" t="s">
        <v>158</v>
      </c>
      <c r="AF1" t="s">
        <v>162</v>
      </c>
      <c r="AG1" t="s">
        <v>167</v>
      </c>
      <c r="AH1" t="s">
        <v>172</v>
      </c>
      <c r="AI1" t="s">
        <v>175</v>
      </c>
      <c r="AJ1" t="s">
        <v>180</v>
      </c>
      <c r="AK1" t="s">
        <v>184</v>
      </c>
      <c r="AL1" t="s">
        <v>189</v>
      </c>
      <c r="AM1" t="s">
        <v>192</v>
      </c>
      <c r="AN1" t="s">
        <v>196</v>
      </c>
      <c r="AO1" t="s">
        <v>200</v>
      </c>
      <c r="AP1" t="s">
        <v>204</v>
      </c>
      <c r="AQ1" t="s">
        <v>209</v>
      </c>
      <c r="AR1" t="s">
        <v>213</v>
      </c>
      <c r="AS1" t="s">
        <v>217</v>
      </c>
      <c r="AT1" t="s">
        <v>221</v>
      </c>
      <c r="AU1" t="s">
        <v>225</v>
      </c>
      <c r="AV1" t="s">
        <v>229</v>
      </c>
      <c r="AW1" t="s">
        <v>233</v>
      </c>
      <c r="AX1" t="s">
        <v>237</v>
      </c>
      <c r="AY1" t="s">
        <v>241</v>
      </c>
      <c r="AZ1" t="s">
        <v>245</v>
      </c>
      <c r="BA1" t="s">
        <v>249</v>
      </c>
      <c r="BB1" t="s">
        <v>253</v>
      </c>
      <c r="BC1" t="s">
        <v>257</v>
      </c>
      <c r="BD1" t="s">
        <v>261</v>
      </c>
      <c r="BE1" t="s">
        <v>266</v>
      </c>
      <c r="BF1" t="s">
        <v>270</v>
      </c>
      <c r="BG1" t="s">
        <v>274</v>
      </c>
      <c r="BH1" t="s">
        <v>278</v>
      </c>
      <c r="BI1" t="s">
        <v>282</v>
      </c>
      <c r="BJ1" t="s">
        <v>286</v>
      </c>
      <c r="BK1" t="s">
        <v>290</v>
      </c>
      <c r="BL1" t="s">
        <v>294</v>
      </c>
      <c r="BM1" t="s">
        <v>297</v>
      </c>
      <c r="BN1" t="s">
        <v>300</v>
      </c>
      <c r="BO1" t="s">
        <v>304</v>
      </c>
      <c r="BP1" t="s">
        <v>308</v>
      </c>
      <c r="BQ1" t="s">
        <v>312</v>
      </c>
      <c r="BR1" t="s">
        <v>316</v>
      </c>
      <c r="BS1" t="s">
        <v>319</v>
      </c>
      <c r="BT1" t="s">
        <v>323</v>
      </c>
      <c r="BU1" t="s">
        <v>327</v>
      </c>
      <c r="BV1" t="s">
        <v>331</v>
      </c>
      <c r="BW1" t="s">
        <v>335</v>
      </c>
      <c r="BX1" t="s">
        <v>338</v>
      </c>
      <c r="BY1" t="s">
        <v>342</v>
      </c>
      <c r="BZ1" t="s">
        <v>346</v>
      </c>
      <c r="CA1" t="s">
        <v>350</v>
      </c>
      <c r="CB1" t="s">
        <v>354</v>
      </c>
      <c r="CC1" t="s">
        <v>358</v>
      </c>
      <c r="CD1" t="s">
        <v>362</v>
      </c>
      <c r="CE1" t="s">
        <v>365</v>
      </c>
      <c r="CF1" t="s">
        <v>369</v>
      </c>
      <c r="CG1" t="s">
        <v>373</v>
      </c>
      <c r="CH1" t="s">
        <v>376</v>
      </c>
      <c r="CI1" t="s">
        <v>380</v>
      </c>
      <c r="CJ1" t="s">
        <v>384</v>
      </c>
      <c r="CK1" t="s">
        <v>388</v>
      </c>
      <c r="CL1" t="s">
        <v>392</v>
      </c>
      <c r="CM1" t="s">
        <v>396</v>
      </c>
      <c r="CN1" t="s">
        <v>400</v>
      </c>
      <c r="CO1" t="s">
        <v>404</v>
      </c>
      <c r="CP1" t="s">
        <v>408</v>
      </c>
      <c r="CQ1" t="s">
        <v>411</v>
      </c>
      <c r="CR1" t="s">
        <v>414</v>
      </c>
      <c r="CS1" t="s">
        <v>418</v>
      </c>
      <c r="CT1" t="s">
        <v>421</v>
      </c>
      <c r="CU1" t="s">
        <v>425</v>
      </c>
      <c r="CV1" t="s">
        <v>429</v>
      </c>
      <c r="CW1" t="s">
        <v>432</v>
      </c>
      <c r="CX1" t="s">
        <v>436</v>
      </c>
      <c r="CY1" t="s">
        <v>440</v>
      </c>
      <c r="CZ1" t="s">
        <v>444</v>
      </c>
      <c r="DA1" t="s">
        <v>448</v>
      </c>
      <c r="DB1" t="s">
        <v>452</v>
      </c>
      <c r="DC1" t="s">
        <v>456</v>
      </c>
      <c r="DD1" t="s">
        <v>460</v>
      </c>
      <c r="DE1" t="s">
        <v>463</v>
      </c>
      <c r="DF1" t="s">
        <v>466</v>
      </c>
      <c r="DG1" t="s">
        <v>470</v>
      </c>
      <c r="DH1" t="s">
        <v>473</v>
      </c>
      <c r="DI1" t="s">
        <v>476</v>
      </c>
      <c r="DJ1" t="s">
        <v>480</v>
      </c>
      <c r="DK1" t="s">
        <v>482</v>
      </c>
      <c r="DL1" t="s">
        <v>485</v>
      </c>
      <c r="DM1" t="s">
        <v>489</v>
      </c>
      <c r="DN1" t="s">
        <v>493</v>
      </c>
      <c r="DO1" t="s">
        <v>497</v>
      </c>
      <c r="DP1" t="s">
        <v>500</v>
      </c>
      <c r="DQ1" t="s">
        <v>504</v>
      </c>
      <c r="DR1" t="s">
        <v>508</v>
      </c>
      <c r="DS1" t="s">
        <v>512</v>
      </c>
      <c r="DT1" t="s">
        <v>515</v>
      </c>
      <c r="DU1" t="s">
        <v>518</v>
      </c>
      <c r="DV1" t="s">
        <v>521</v>
      </c>
      <c r="DW1" t="s">
        <v>525</v>
      </c>
      <c r="DX1" t="s">
        <v>529</v>
      </c>
      <c r="DY1" t="s">
        <v>533</v>
      </c>
      <c r="DZ1" t="s">
        <v>537</v>
      </c>
      <c r="EA1" t="s">
        <v>541</v>
      </c>
      <c r="EB1" t="s">
        <v>545</v>
      </c>
      <c r="EC1" t="s">
        <v>549</v>
      </c>
      <c r="ED1" t="s">
        <v>553</v>
      </c>
      <c r="EE1" t="s">
        <v>556</v>
      </c>
      <c r="EF1" t="s">
        <v>560</v>
      </c>
      <c r="EG1" t="s">
        <v>563</v>
      </c>
      <c r="EH1" t="s">
        <v>566</v>
      </c>
      <c r="EI1" t="s">
        <v>567</v>
      </c>
      <c r="EJ1" t="s">
        <v>570</v>
      </c>
      <c r="EK1" t="s">
        <v>574</v>
      </c>
      <c r="EL1" t="s">
        <v>578</v>
      </c>
      <c r="EM1" t="s">
        <v>581</v>
      </c>
      <c r="EN1" t="s">
        <v>585</v>
      </c>
      <c r="EO1" t="s">
        <v>588</v>
      </c>
      <c r="EP1" t="s">
        <v>592</v>
      </c>
      <c r="EQ1" t="s">
        <v>596</v>
      </c>
      <c r="ER1" t="s">
        <v>600</v>
      </c>
      <c r="ES1" t="s">
        <v>604</v>
      </c>
      <c r="ET1" t="s">
        <v>608</v>
      </c>
      <c r="EU1" t="s">
        <v>612</v>
      </c>
      <c r="EV1" t="s">
        <v>615</v>
      </c>
      <c r="EW1" t="s">
        <v>619</v>
      </c>
      <c r="EX1" t="s">
        <v>622</v>
      </c>
      <c r="EY1" t="s">
        <v>625</v>
      </c>
      <c r="EZ1" t="s">
        <v>629</v>
      </c>
      <c r="FA1" t="s">
        <v>633</v>
      </c>
      <c r="FB1" t="s">
        <v>636</v>
      </c>
      <c r="FC1" t="s">
        <v>638</v>
      </c>
      <c r="FD1" t="s">
        <v>641</v>
      </c>
      <c r="FE1" t="s">
        <v>645</v>
      </c>
      <c r="FF1" t="s">
        <v>649</v>
      </c>
      <c r="FG1" t="s">
        <v>653</v>
      </c>
      <c r="FH1" t="s">
        <v>657</v>
      </c>
      <c r="FI1" t="s">
        <v>659</v>
      </c>
      <c r="FJ1" t="s">
        <v>663</v>
      </c>
      <c r="FK1" t="s">
        <v>667</v>
      </c>
      <c r="FL1" t="s">
        <v>671</v>
      </c>
      <c r="FM1" t="s">
        <v>675</v>
      </c>
      <c r="FN1" t="s">
        <v>679</v>
      </c>
      <c r="FO1" t="s">
        <v>682</v>
      </c>
      <c r="FP1" t="s">
        <v>686</v>
      </c>
      <c r="FQ1" t="s">
        <v>689</v>
      </c>
      <c r="FR1" t="s">
        <v>692</v>
      </c>
      <c r="FS1" t="s">
        <v>695</v>
      </c>
      <c r="FT1" t="s">
        <v>698</v>
      </c>
      <c r="FU1" t="s">
        <v>702</v>
      </c>
      <c r="FV1" t="s">
        <v>705</v>
      </c>
      <c r="FW1" t="s">
        <v>708</v>
      </c>
      <c r="FX1" t="s">
        <v>712</v>
      </c>
      <c r="FY1" t="s">
        <v>715</v>
      </c>
      <c r="FZ1" t="s">
        <v>719</v>
      </c>
      <c r="GA1" t="s">
        <v>722</v>
      </c>
      <c r="GB1" t="s">
        <v>724</v>
      </c>
      <c r="GC1" t="s">
        <v>727</v>
      </c>
      <c r="GD1" t="s">
        <v>730</v>
      </c>
      <c r="GE1" t="s">
        <v>734</v>
      </c>
      <c r="GF1" t="s">
        <v>737</v>
      </c>
      <c r="GG1" t="s">
        <v>741</v>
      </c>
      <c r="GH1" t="s">
        <v>745</v>
      </c>
      <c r="GI1" t="s">
        <v>749</v>
      </c>
      <c r="GJ1" t="s">
        <v>752</v>
      </c>
      <c r="GK1" t="s">
        <v>755</v>
      </c>
      <c r="GL1" t="s">
        <v>759</v>
      </c>
      <c r="GM1" t="s">
        <v>762</v>
      </c>
      <c r="GN1" t="s">
        <v>764</v>
      </c>
      <c r="GO1" t="s">
        <v>767</v>
      </c>
      <c r="GP1" t="s">
        <v>771</v>
      </c>
      <c r="GQ1" t="s">
        <v>772</v>
      </c>
      <c r="GR1" t="s">
        <v>776</v>
      </c>
      <c r="GS1" t="s">
        <v>779</v>
      </c>
      <c r="GT1" t="s">
        <v>783</v>
      </c>
      <c r="GU1" t="s">
        <v>786</v>
      </c>
      <c r="GV1" t="s">
        <v>789</v>
      </c>
      <c r="GW1" t="s">
        <v>793</v>
      </c>
      <c r="GX1" t="s">
        <v>797</v>
      </c>
      <c r="GY1" t="s">
        <v>799</v>
      </c>
      <c r="GZ1" t="s">
        <v>803</v>
      </c>
      <c r="HA1" t="s">
        <v>807</v>
      </c>
      <c r="HB1" t="s">
        <v>810</v>
      </c>
      <c r="HC1" t="s">
        <v>813</v>
      </c>
      <c r="HD1" t="s">
        <v>816</v>
      </c>
      <c r="HE1" t="s">
        <v>819</v>
      </c>
      <c r="HF1" t="s">
        <v>822</v>
      </c>
      <c r="HG1" t="s">
        <v>826</v>
      </c>
      <c r="HH1" t="s">
        <v>830</v>
      </c>
      <c r="HI1" t="s">
        <v>833</v>
      </c>
      <c r="HJ1" t="s">
        <v>836</v>
      </c>
      <c r="HK1" t="s">
        <v>839</v>
      </c>
      <c r="HL1" t="s">
        <v>843</v>
      </c>
      <c r="HM1" t="s">
        <v>847</v>
      </c>
      <c r="HN1" t="s">
        <v>850</v>
      </c>
      <c r="HO1" t="s">
        <v>853</v>
      </c>
      <c r="HP1" t="s">
        <v>855</v>
      </c>
      <c r="HQ1" t="s">
        <v>858</v>
      </c>
      <c r="HR1" t="s">
        <v>861</v>
      </c>
      <c r="HS1" t="s">
        <v>864</v>
      </c>
      <c r="HT1" t="s">
        <v>868</v>
      </c>
      <c r="HU1" t="s">
        <v>872</v>
      </c>
      <c r="HV1" t="s">
        <v>876</v>
      </c>
      <c r="HW1" t="s">
        <v>880</v>
      </c>
      <c r="HX1" t="s">
        <v>882</v>
      </c>
      <c r="HY1" t="s">
        <v>885</v>
      </c>
      <c r="HZ1" t="s">
        <v>889</v>
      </c>
      <c r="IA1" t="s">
        <v>892</v>
      </c>
      <c r="IB1" t="s">
        <v>894</v>
      </c>
      <c r="IC1" t="s">
        <v>897</v>
      </c>
      <c r="ID1" t="s">
        <v>901</v>
      </c>
      <c r="IE1" t="s">
        <v>903</v>
      </c>
      <c r="IF1" t="s">
        <v>907</v>
      </c>
      <c r="IG1" t="s">
        <v>910</v>
      </c>
      <c r="IH1" t="s">
        <v>913</v>
      </c>
      <c r="II1" t="s">
        <v>917</v>
      </c>
      <c r="IJ1" t="s">
        <v>920</v>
      </c>
      <c r="IK1" t="s">
        <v>923</v>
      </c>
      <c r="IL1" t="s">
        <v>927</v>
      </c>
      <c r="IM1" t="s">
        <v>930</v>
      </c>
      <c r="IN1" t="s">
        <v>934</v>
      </c>
      <c r="IO1" t="s">
        <v>937</v>
      </c>
      <c r="IP1" t="s">
        <v>941</v>
      </c>
      <c r="IQ1" t="s">
        <v>944</v>
      </c>
      <c r="IR1" t="s">
        <v>945</v>
      </c>
      <c r="IS1" t="s">
        <v>948</v>
      </c>
      <c r="IT1" t="s">
        <v>952</v>
      </c>
      <c r="IU1" t="s">
        <v>955</v>
      </c>
      <c r="IV1" t="s">
        <v>958</v>
      </c>
      <c r="IW1" t="s">
        <v>961</v>
      </c>
      <c r="IX1" t="s">
        <v>964</v>
      </c>
      <c r="IY1" t="s">
        <v>968</v>
      </c>
      <c r="IZ1" t="s">
        <v>971</v>
      </c>
      <c r="JA1" t="s">
        <v>973</v>
      </c>
      <c r="JB1" t="s">
        <v>977</v>
      </c>
      <c r="JC1" t="s">
        <v>980</v>
      </c>
      <c r="JD1" t="s">
        <v>983</v>
      </c>
      <c r="JE1" t="s">
        <v>985</v>
      </c>
      <c r="JF1" t="s">
        <v>987</v>
      </c>
      <c r="JG1" t="s">
        <v>990</v>
      </c>
      <c r="JH1" t="s">
        <v>994</v>
      </c>
      <c r="JI1" t="s">
        <v>995</v>
      </c>
      <c r="JJ1" t="s">
        <v>999</v>
      </c>
      <c r="JK1" t="s">
        <v>1002</v>
      </c>
      <c r="JL1" t="s">
        <v>1005</v>
      </c>
      <c r="JM1" t="s">
        <v>1008</v>
      </c>
      <c r="JN1" t="s">
        <v>1010</v>
      </c>
      <c r="JO1" t="s">
        <v>1014</v>
      </c>
      <c r="JP1" t="s">
        <v>1018</v>
      </c>
      <c r="JQ1" t="s">
        <v>1021</v>
      </c>
      <c r="JR1" t="s">
        <v>1024</v>
      </c>
      <c r="JS1" t="s">
        <v>1028</v>
      </c>
      <c r="JT1" t="s">
        <v>1030</v>
      </c>
      <c r="JU1" t="s">
        <v>1031</v>
      </c>
      <c r="JV1" t="s">
        <v>1035</v>
      </c>
      <c r="JW1" t="s">
        <v>1038</v>
      </c>
      <c r="JX1" t="s">
        <v>1042</v>
      </c>
      <c r="JY1" t="s">
        <v>1044</v>
      </c>
      <c r="JZ1" t="s">
        <v>1048</v>
      </c>
      <c r="KA1" t="s">
        <v>1051</v>
      </c>
      <c r="KB1" t="s">
        <v>1054</v>
      </c>
      <c r="KC1" t="s">
        <v>1057</v>
      </c>
      <c r="KD1" t="s">
        <v>1061</v>
      </c>
      <c r="KE1" t="s">
        <v>1064</v>
      </c>
      <c r="KF1" t="s">
        <v>1066</v>
      </c>
      <c r="KG1" t="s">
        <v>1069</v>
      </c>
      <c r="KH1" t="s">
        <v>1072</v>
      </c>
      <c r="KI1" t="s">
        <v>1074</v>
      </c>
      <c r="KJ1" t="s">
        <v>1078</v>
      </c>
      <c r="KK1" t="s">
        <v>1082</v>
      </c>
      <c r="KL1" t="s">
        <v>1083</v>
      </c>
      <c r="KM1" t="s">
        <v>1086</v>
      </c>
      <c r="KN1" t="s">
        <v>1089</v>
      </c>
      <c r="KO1" t="s">
        <v>1092</v>
      </c>
      <c r="KP1" t="s">
        <v>1096</v>
      </c>
      <c r="KQ1" t="s">
        <v>1100</v>
      </c>
      <c r="KR1" t="s">
        <v>1103</v>
      </c>
      <c r="KS1" t="s">
        <v>1104</v>
      </c>
      <c r="KT1" t="s">
        <v>1107</v>
      </c>
      <c r="KU1" t="s">
        <v>1109</v>
      </c>
      <c r="KV1" t="s">
        <v>1112</v>
      </c>
      <c r="KW1" t="s">
        <v>1115</v>
      </c>
      <c r="KX1" t="s">
        <v>1118</v>
      </c>
      <c r="KY1" t="s">
        <v>1122</v>
      </c>
      <c r="KZ1" t="s">
        <v>1125</v>
      </c>
      <c r="LA1" t="s">
        <v>1127</v>
      </c>
      <c r="LB1" t="s">
        <v>1130</v>
      </c>
      <c r="LC1" t="s">
        <v>1133</v>
      </c>
      <c r="LD1" t="s">
        <v>1135</v>
      </c>
      <c r="LE1" t="s">
        <v>1138</v>
      </c>
      <c r="LF1" t="s">
        <v>1141</v>
      </c>
      <c r="LG1" t="s">
        <v>1143</v>
      </c>
      <c r="LH1" t="s">
        <v>1146</v>
      </c>
      <c r="LI1" t="s">
        <v>1150</v>
      </c>
      <c r="LJ1" t="s">
        <v>1152</v>
      </c>
      <c r="LK1" t="s">
        <v>1156</v>
      </c>
      <c r="LL1" t="s">
        <v>1160</v>
      </c>
      <c r="LM1" t="s">
        <v>1164</v>
      </c>
      <c r="LN1" t="s">
        <v>1168</v>
      </c>
      <c r="LO1" t="s">
        <v>1172</v>
      </c>
      <c r="LP1" t="s">
        <v>1175</v>
      </c>
      <c r="LQ1" t="s">
        <v>1178</v>
      </c>
      <c r="LR1" t="s">
        <v>1180</v>
      </c>
      <c r="LS1" t="s">
        <v>1183</v>
      </c>
      <c r="LT1" t="s">
        <v>1185</v>
      </c>
      <c r="LU1" t="s">
        <v>1189</v>
      </c>
      <c r="LV1" t="s">
        <v>1193</v>
      </c>
      <c r="LW1" t="s">
        <v>1197</v>
      </c>
      <c r="LX1" t="s">
        <v>1200</v>
      </c>
      <c r="LY1" t="s">
        <v>1203</v>
      </c>
      <c r="LZ1" t="s">
        <v>1207</v>
      </c>
      <c r="MA1" t="s">
        <v>1208</v>
      </c>
      <c r="MB1" t="s">
        <v>1211</v>
      </c>
      <c r="MC1" t="s">
        <v>1214</v>
      </c>
      <c r="MD1" t="s">
        <v>1218</v>
      </c>
      <c r="ME1" t="s">
        <v>1221</v>
      </c>
      <c r="MF1" t="s">
        <v>1225</v>
      </c>
      <c r="MG1" t="s">
        <v>1227</v>
      </c>
      <c r="MH1" t="s">
        <v>1230</v>
      </c>
      <c r="MI1" t="s">
        <v>1233</v>
      </c>
      <c r="MJ1" t="s">
        <v>1236</v>
      </c>
      <c r="MK1" t="s">
        <v>1239</v>
      </c>
      <c r="ML1" t="s">
        <v>1242</v>
      </c>
      <c r="MM1" t="s">
        <v>1246</v>
      </c>
      <c r="MN1" t="s">
        <v>1249</v>
      </c>
      <c r="MO1" t="s">
        <v>1251</v>
      </c>
      <c r="MP1" t="s">
        <v>1255</v>
      </c>
      <c r="MQ1" t="s">
        <v>1257</v>
      </c>
      <c r="MR1" t="s">
        <v>1260</v>
      </c>
      <c r="MS1" t="s">
        <v>1264</v>
      </c>
      <c r="MT1" t="s">
        <v>1267</v>
      </c>
      <c r="MU1" t="s">
        <v>1270</v>
      </c>
      <c r="MV1" t="s">
        <v>1273</v>
      </c>
      <c r="MW1" t="s">
        <v>1277</v>
      </c>
      <c r="MX1" t="s">
        <v>1279</v>
      </c>
      <c r="MY1" t="s">
        <v>1283</v>
      </c>
      <c r="MZ1" t="s">
        <v>1285</v>
      </c>
      <c r="NA1" t="s">
        <v>1289</v>
      </c>
      <c r="NB1" t="s">
        <v>1293</v>
      </c>
      <c r="NC1" t="s">
        <v>1295</v>
      </c>
      <c r="ND1" t="s">
        <v>1298</v>
      </c>
      <c r="NE1" t="s">
        <v>1300</v>
      </c>
      <c r="NF1" t="s">
        <v>1304</v>
      </c>
      <c r="NG1" t="s">
        <v>1306</v>
      </c>
      <c r="NH1" t="s">
        <v>1309</v>
      </c>
      <c r="NI1" t="s">
        <v>1313</v>
      </c>
      <c r="NJ1" t="s">
        <v>1316</v>
      </c>
      <c r="NK1" t="s">
        <v>1319</v>
      </c>
      <c r="NL1" t="s">
        <v>1323</v>
      </c>
      <c r="NM1" t="s">
        <v>1326</v>
      </c>
      <c r="NN1" t="s">
        <v>1329</v>
      </c>
      <c r="NO1" t="s">
        <v>1333</v>
      </c>
      <c r="NP1" t="s">
        <v>1337</v>
      </c>
      <c r="NQ1" t="s">
        <v>1340</v>
      </c>
      <c r="NR1" t="s">
        <v>1343</v>
      </c>
      <c r="NS1" t="s">
        <v>1346</v>
      </c>
      <c r="NT1" t="s">
        <v>1349</v>
      </c>
      <c r="NU1" t="s">
        <v>1353</v>
      </c>
      <c r="NV1" t="s">
        <v>1356</v>
      </c>
      <c r="NW1" t="s">
        <v>1358</v>
      </c>
      <c r="NX1" t="s">
        <v>1361</v>
      </c>
      <c r="NY1" t="s">
        <v>1365</v>
      </c>
      <c r="NZ1" t="s">
        <v>1367</v>
      </c>
      <c r="OA1" t="s">
        <v>1368</v>
      </c>
      <c r="OB1" t="s">
        <v>1370</v>
      </c>
      <c r="OC1" t="s">
        <v>1372</v>
      </c>
      <c r="OD1" t="s">
        <v>1374</v>
      </c>
      <c r="OE1" t="s">
        <v>1377</v>
      </c>
      <c r="OF1" t="s">
        <v>1379</v>
      </c>
      <c r="OG1" t="s">
        <v>1383</v>
      </c>
      <c r="OH1" t="s">
        <v>1387</v>
      </c>
      <c r="OI1" t="s">
        <v>1391</v>
      </c>
      <c r="OJ1" t="s">
        <v>1393</v>
      </c>
      <c r="OK1" t="s">
        <v>1394</v>
      </c>
      <c r="OL1" t="s">
        <v>1397</v>
      </c>
      <c r="OM1" t="s">
        <v>1401</v>
      </c>
      <c r="ON1" t="s">
        <v>1403</v>
      </c>
      <c r="OO1" t="s">
        <v>1406</v>
      </c>
      <c r="OP1" t="s">
        <v>1409</v>
      </c>
      <c r="OQ1" t="s">
        <v>1412</v>
      </c>
      <c r="OR1" t="s">
        <v>1415</v>
      </c>
      <c r="OS1" t="s">
        <v>1419</v>
      </c>
      <c r="OT1" t="s">
        <v>1422</v>
      </c>
      <c r="OU1" t="s">
        <v>1425</v>
      </c>
      <c r="OV1" t="s">
        <v>1429</v>
      </c>
      <c r="OW1" t="s">
        <v>1433</v>
      </c>
      <c r="OX1" t="s">
        <v>1436</v>
      </c>
      <c r="OY1" t="s">
        <v>1439</v>
      </c>
      <c r="OZ1" t="s">
        <v>1442</v>
      </c>
      <c r="PA1" t="s">
        <v>1444</v>
      </c>
      <c r="PB1" t="s">
        <v>1448</v>
      </c>
      <c r="PC1" t="s">
        <v>1450</v>
      </c>
      <c r="PD1" t="s">
        <v>1454</v>
      </c>
      <c r="PE1" t="s">
        <v>1456</v>
      </c>
      <c r="PF1" t="s">
        <v>1459</v>
      </c>
      <c r="PG1" t="s">
        <v>1461</v>
      </c>
      <c r="PH1" t="s">
        <v>1464</v>
      </c>
      <c r="PI1" t="s">
        <v>1467</v>
      </c>
      <c r="PJ1" t="s">
        <v>1470</v>
      </c>
      <c r="PK1" t="s">
        <v>1472</v>
      </c>
      <c r="PL1" t="s">
        <v>1476</v>
      </c>
      <c r="PM1" t="s">
        <v>1479</v>
      </c>
      <c r="PN1" t="s">
        <v>1483</v>
      </c>
      <c r="PO1" t="s">
        <v>1485</v>
      </c>
      <c r="PP1" t="s">
        <v>1487</v>
      </c>
      <c r="PQ1" t="s">
        <v>1490</v>
      </c>
      <c r="PR1" t="s">
        <v>1494</v>
      </c>
      <c r="PS1" t="s">
        <v>1497</v>
      </c>
      <c r="PT1" t="s">
        <v>1500</v>
      </c>
      <c r="PU1" t="s">
        <v>1503</v>
      </c>
      <c r="PV1" t="s">
        <v>1506</v>
      </c>
      <c r="PW1" t="s">
        <v>1508</v>
      </c>
      <c r="PX1" t="s">
        <v>1510</v>
      </c>
      <c r="PY1" t="s">
        <v>1513</v>
      </c>
      <c r="PZ1" t="s">
        <v>1515</v>
      </c>
      <c r="QA1" t="s">
        <v>1516</v>
      </c>
      <c r="QB1" t="s">
        <v>1519</v>
      </c>
      <c r="QC1" t="s">
        <v>1521</v>
      </c>
      <c r="QD1" t="s">
        <v>1525</v>
      </c>
      <c r="QE1" t="s">
        <v>1527</v>
      </c>
      <c r="QF1" t="s">
        <v>1529</v>
      </c>
      <c r="QG1" t="s">
        <v>1532</v>
      </c>
      <c r="QH1" t="s">
        <v>1534</v>
      </c>
      <c r="QI1" t="s">
        <v>1536</v>
      </c>
      <c r="QJ1" t="s">
        <v>1540</v>
      </c>
      <c r="QK1" t="s">
        <v>1544</v>
      </c>
      <c r="QL1" t="s">
        <v>1545</v>
      </c>
      <c r="QM1" t="s">
        <v>1546</v>
      </c>
      <c r="QN1" t="s">
        <v>1548</v>
      </c>
      <c r="QO1" t="s">
        <v>1551</v>
      </c>
      <c r="QP1" t="s">
        <v>1555</v>
      </c>
      <c r="QQ1" t="s">
        <v>1559</v>
      </c>
      <c r="QR1" t="s">
        <v>1561</v>
      </c>
      <c r="QS1" t="s">
        <v>1564</v>
      </c>
      <c r="QT1" t="s">
        <v>1567</v>
      </c>
      <c r="QU1" t="s">
        <v>1570</v>
      </c>
      <c r="QV1" t="s">
        <v>1573</v>
      </c>
      <c r="QW1" t="s">
        <v>1575</v>
      </c>
      <c r="QX1" t="s">
        <v>1577</v>
      </c>
      <c r="QY1" t="s">
        <v>1580</v>
      </c>
      <c r="QZ1" t="s">
        <v>1581</v>
      </c>
      <c r="RA1" t="s">
        <v>1583</v>
      </c>
      <c r="RB1" t="s">
        <v>1586</v>
      </c>
      <c r="RC1" t="s">
        <v>1589</v>
      </c>
      <c r="RD1" t="s">
        <v>1592</v>
      </c>
      <c r="RE1" t="s">
        <v>1596</v>
      </c>
      <c r="RF1" t="s">
        <v>1600</v>
      </c>
      <c r="RG1" t="s">
        <v>1602</v>
      </c>
      <c r="RH1" t="s">
        <v>1604</v>
      </c>
      <c r="RI1" t="s">
        <v>1607</v>
      </c>
      <c r="RJ1" t="s">
        <v>1608</v>
      </c>
      <c r="RK1" t="s">
        <v>1611</v>
      </c>
      <c r="RL1" t="s">
        <v>1613</v>
      </c>
      <c r="RM1" t="s">
        <v>1616</v>
      </c>
      <c r="RN1" t="s">
        <v>1620</v>
      </c>
      <c r="RO1" t="s">
        <v>1622</v>
      </c>
      <c r="RP1" t="s">
        <v>1625</v>
      </c>
      <c r="RQ1" t="s">
        <v>1628</v>
      </c>
      <c r="RR1" t="s">
        <v>1632</v>
      </c>
      <c r="RS1" t="s">
        <v>1634</v>
      </c>
      <c r="RT1" t="s">
        <v>1637</v>
      </c>
      <c r="RU1" t="s">
        <v>1640</v>
      </c>
      <c r="RV1" t="s">
        <v>1642</v>
      </c>
      <c r="RW1" t="s">
        <v>1644</v>
      </c>
      <c r="RX1" t="s">
        <v>1647</v>
      </c>
      <c r="RY1" t="s">
        <v>1649</v>
      </c>
      <c r="RZ1" t="s">
        <v>1652</v>
      </c>
      <c r="SA1" t="s">
        <v>1656</v>
      </c>
      <c r="SB1" t="s">
        <v>1659</v>
      </c>
      <c r="SC1" t="s">
        <v>1663</v>
      </c>
      <c r="SD1" t="s">
        <v>1666</v>
      </c>
      <c r="SE1" t="s">
        <v>1670</v>
      </c>
      <c r="SF1" t="s">
        <v>1673</v>
      </c>
      <c r="SG1" t="s">
        <v>1676</v>
      </c>
      <c r="SH1" t="s">
        <v>1679</v>
      </c>
      <c r="SI1" t="s">
        <v>1682</v>
      </c>
      <c r="SJ1" t="s">
        <v>1683</v>
      </c>
      <c r="SK1" t="s">
        <v>1685</v>
      </c>
      <c r="SL1" t="s">
        <v>1689</v>
      </c>
      <c r="SM1" t="s">
        <v>1692</v>
      </c>
      <c r="SN1" t="s">
        <v>1694</v>
      </c>
      <c r="SO1" t="s">
        <v>1696</v>
      </c>
      <c r="SP1" t="s">
        <v>1699</v>
      </c>
      <c r="SQ1" t="s">
        <v>1700</v>
      </c>
      <c r="SR1" t="s">
        <v>1702</v>
      </c>
      <c r="SS1" t="s">
        <v>1705</v>
      </c>
      <c r="ST1" t="s">
        <v>1707</v>
      </c>
      <c r="SU1" t="s">
        <v>1709</v>
      </c>
      <c r="SV1" t="s">
        <v>1711</v>
      </c>
      <c r="SW1" t="s">
        <v>1713</v>
      </c>
      <c r="SX1" t="s">
        <v>1716</v>
      </c>
      <c r="SY1" t="s">
        <v>1720</v>
      </c>
      <c r="SZ1" t="s">
        <v>1722</v>
      </c>
      <c r="TA1" t="s">
        <v>1725</v>
      </c>
      <c r="TB1" t="s">
        <v>1726</v>
      </c>
      <c r="TC1" t="s">
        <v>1729</v>
      </c>
      <c r="TD1" t="s">
        <v>1731</v>
      </c>
      <c r="TE1" t="s">
        <v>1733</v>
      </c>
      <c r="TF1" t="s">
        <v>1734</v>
      </c>
      <c r="TG1" t="s">
        <v>1736</v>
      </c>
      <c r="TH1" t="s">
        <v>1740</v>
      </c>
      <c r="TI1" t="s">
        <v>1743</v>
      </c>
      <c r="TJ1" t="s">
        <v>1747</v>
      </c>
      <c r="TK1" t="s">
        <v>1749</v>
      </c>
      <c r="TL1" t="s">
        <v>1751</v>
      </c>
      <c r="TM1" t="s">
        <v>1752</v>
      </c>
      <c r="TN1" t="s">
        <v>1755</v>
      </c>
      <c r="TO1" t="s">
        <v>1758</v>
      </c>
      <c r="TP1" t="s">
        <v>1761</v>
      </c>
      <c r="TQ1" t="s">
        <v>1763</v>
      </c>
      <c r="TR1" t="s">
        <v>1765</v>
      </c>
      <c r="TS1" t="s">
        <v>1767</v>
      </c>
      <c r="TT1" t="s">
        <v>1769</v>
      </c>
      <c r="TU1" t="s">
        <v>1772</v>
      </c>
      <c r="TV1" t="s">
        <v>1773</v>
      </c>
      <c r="TW1" t="s">
        <v>1774</v>
      </c>
      <c r="TX1" t="s">
        <v>1778</v>
      </c>
      <c r="TY1" t="s">
        <v>1781</v>
      </c>
      <c r="TZ1" t="s">
        <v>1783</v>
      </c>
      <c r="UA1" t="s">
        <v>1786</v>
      </c>
      <c r="UB1" t="s">
        <v>1789</v>
      </c>
      <c r="UC1" t="s">
        <v>1792</v>
      </c>
      <c r="UD1" t="s">
        <v>1793</v>
      </c>
      <c r="UE1" t="s">
        <v>1797</v>
      </c>
      <c r="UF1" t="s">
        <v>1798</v>
      </c>
      <c r="UG1" t="s">
        <v>1801</v>
      </c>
      <c r="UH1" t="s">
        <v>1802</v>
      </c>
      <c r="UI1" t="s">
        <v>1804</v>
      </c>
      <c r="UJ1" t="s">
        <v>1806</v>
      </c>
      <c r="UK1" t="s">
        <v>1810</v>
      </c>
      <c r="UL1" t="s">
        <v>1813</v>
      </c>
      <c r="UM1" t="s">
        <v>1816</v>
      </c>
      <c r="UN1" t="s">
        <v>1818</v>
      </c>
      <c r="UO1" t="s">
        <v>1819</v>
      </c>
      <c r="UP1" t="s">
        <v>1821</v>
      </c>
      <c r="UQ1" t="s">
        <v>1824</v>
      </c>
      <c r="UR1" t="s">
        <v>1825</v>
      </c>
      <c r="US1" t="s">
        <v>1828</v>
      </c>
      <c r="UT1" t="s">
        <v>1830</v>
      </c>
      <c r="UU1" t="s">
        <v>1834</v>
      </c>
      <c r="UV1" t="s">
        <v>1835</v>
      </c>
      <c r="UW1" t="s">
        <v>1837</v>
      </c>
      <c r="UX1" t="s">
        <v>1840</v>
      </c>
      <c r="UY1" t="s">
        <v>1843</v>
      </c>
      <c r="UZ1" t="s">
        <v>1845</v>
      </c>
      <c r="VA1" t="s">
        <v>1846</v>
      </c>
      <c r="VB1" t="s">
        <v>1850</v>
      </c>
      <c r="VC1" t="s">
        <v>1852</v>
      </c>
      <c r="VD1" t="s">
        <v>1854</v>
      </c>
      <c r="VE1" t="s">
        <v>1857</v>
      </c>
      <c r="VF1" t="s">
        <v>1859</v>
      </c>
      <c r="VG1" t="s">
        <v>1862</v>
      </c>
      <c r="VH1" t="s">
        <v>1865</v>
      </c>
      <c r="VI1" t="s">
        <v>1866</v>
      </c>
      <c r="VJ1" t="s">
        <v>1870</v>
      </c>
      <c r="VK1" t="s">
        <v>1873</v>
      </c>
      <c r="VL1" t="s">
        <v>1875</v>
      </c>
      <c r="VM1" t="s">
        <v>1877</v>
      </c>
      <c r="VN1" t="s">
        <v>1880</v>
      </c>
      <c r="VO1" t="s">
        <v>1883</v>
      </c>
      <c r="VP1" t="s">
        <v>1886</v>
      </c>
      <c r="VQ1" t="s">
        <v>1887</v>
      </c>
      <c r="VR1" t="s">
        <v>1888</v>
      </c>
      <c r="VS1" t="s">
        <v>1890</v>
      </c>
      <c r="VT1" t="s">
        <v>1893</v>
      </c>
      <c r="VU1" t="s">
        <v>1896</v>
      </c>
      <c r="VV1" t="s">
        <v>1897</v>
      </c>
      <c r="VW1" t="s">
        <v>1900</v>
      </c>
      <c r="VX1" t="s">
        <v>1903</v>
      </c>
      <c r="VY1" t="s">
        <v>1906</v>
      </c>
      <c r="VZ1" t="s">
        <v>1909</v>
      </c>
      <c r="WA1" t="s">
        <v>1912</v>
      </c>
      <c r="WB1" t="s">
        <v>1915</v>
      </c>
      <c r="WC1" t="s">
        <v>1916</v>
      </c>
      <c r="WD1" t="s">
        <v>1918</v>
      </c>
      <c r="WE1" t="s">
        <v>1919</v>
      </c>
      <c r="WF1" t="s">
        <v>1921</v>
      </c>
      <c r="WG1" t="s">
        <v>1925</v>
      </c>
      <c r="WH1" t="s">
        <v>1927</v>
      </c>
      <c r="WI1" t="s">
        <v>1929</v>
      </c>
      <c r="WJ1" t="s">
        <v>1931</v>
      </c>
      <c r="WK1" t="s">
        <v>1932</v>
      </c>
      <c r="WL1" t="s">
        <v>1935</v>
      </c>
      <c r="WM1" t="s">
        <v>1939</v>
      </c>
      <c r="WN1" t="s">
        <v>1943</v>
      </c>
      <c r="WO1" t="s">
        <v>1945</v>
      </c>
      <c r="WP1" t="s">
        <v>1948</v>
      </c>
      <c r="WQ1" t="s">
        <v>1951</v>
      </c>
      <c r="WR1" t="s">
        <v>1954</v>
      </c>
      <c r="WS1" t="s">
        <v>1956</v>
      </c>
      <c r="WT1" t="s">
        <v>1958</v>
      </c>
      <c r="WU1" t="s">
        <v>1960</v>
      </c>
      <c r="WV1" t="s">
        <v>1962</v>
      </c>
      <c r="WW1" t="s">
        <v>1964</v>
      </c>
      <c r="WX1" t="s">
        <v>1967</v>
      </c>
      <c r="WY1" t="s">
        <v>1970</v>
      </c>
      <c r="WZ1" t="s">
        <v>1972</v>
      </c>
      <c r="XA1" t="s">
        <v>1974</v>
      </c>
      <c r="XB1" t="s">
        <v>1977</v>
      </c>
      <c r="XC1" t="s">
        <v>1980</v>
      </c>
      <c r="XD1" t="s">
        <v>1983</v>
      </c>
      <c r="XE1" t="s">
        <v>1985</v>
      </c>
      <c r="XF1" t="s">
        <v>1988</v>
      </c>
      <c r="XG1" t="s">
        <v>1989</v>
      </c>
      <c r="XH1" t="s">
        <v>1993</v>
      </c>
      <c r="XI1" t="s">
        <v>1996</v>
      </c>
      <c r="XJ1" t="s">
        <v>1999</v>
      </c>
      <c r="XK1" t="s">
        <v>2001</v>
      </c>
      <c r="XL1" t="s">
        <v>2004</v>
      </c>
      <c r="XM1" t="s">
        <v>2005</v>
      </c>
      <c r="XN1" t="s">
        <v>2008</v>
      </c>
      <c r="XO1" t="s">
        <v>2009</v>
      </c>
      <c r="XP1" t="s">
        <v>2011</v>
      </c>
      <c r="XQ1" t="s">
        <v>2012</v>
      </c>
      <c r="XR1" t="s">
        <v>2016</v>
      </c>
      <c r="XS1" t="s">
        <v>2018</v>
      </c>
      <c r="XT1" t="s">
        <v>2020</v>
      </c>
      <c r="XU1" t="s">
        <v>2022</v>
      </c>
      <c r="XV1" t="s">
        <v>2025</v>
      </c>
      <c r="XW1" t="s">
        <v>2028</v>
      </c>
      <c r="XX1" t="s">
        <v>2031</v>
      </c>
      <c r="XY1" t="s">
        <v>2032</v>
      </c>
      <c r="XZ1" t="s">
        <v>2034</v>
      </c>
      <c r="YA1" t="s">
        <v>2037</v>
      </c>
      <c r="YB1" t="s">
        <v>2040</v>
      </c>
      <c r="YC1" t="s">
        <v>2042</v>
      </c>
      <c r="YD1" t="s">
        <v>2046</v>
      </c>
      <c r="YE1" t="s">
        <v>2047</v>
      </c>
      <c r="YF1" t="s">
        <v>2048</v>
      </c>
      <c r="YG1" t="s">
        <v>2051</v>
      </c>
      <c r="YH1" t="s">
        <v>2054</v>
      </c>
      <c r="YI1" t="s">
        <v>2057</v>
      </c>
      <c r="YJ1" t="s">
        <v>2059</v>
      </c>
      <c r="YK1" t="s">
        <v>2060</v>
      </c>
      <c r="YL1" t="s">
        <v>2062</v>
      </c>
      <c r="YM1" t="s">
        <v>2065</v>
      </c>
      <c r="YN1" t="s">
        <v>2067</v>
      </c>
      <c r="YO1" t="s">
        <v>2070</v>
      </c>
      <c r="YP1" t="s">
        <v>2071</v>
      </c>
      <c r="YQ1" t="s">
        <v>2074</v>
      </c>
      <c r="YR1" t="s">
        <v>2077</v>
      </c>
      <c r="YS1" t="s">
        <v>2079</v>
      </c>
      <c r="YT1" t="s">
        <v>2082</v>
      </c>
      <c r="YU1" t="s">
        <v>2083</v>
      </c>
      <c r="YV1" t="s">
        <v>2085</v>
      </c>
      <c r="YW1" t="s">
        <v>2088</v>
      </c>
      <c r="YX1" t="s">
        <v>2091</v>
      </c>
      <c r="YY1" t="s">
        <v>2092</v>
      </c>
      <c r="YZ1" t="s">
        <v>2094</v>
      </c>
      <c r="ZA1" t="s">
        <v>2096</v>
      </c>
      <c r="ZB1" t="s">
        <v>2098</v>
      </c>
      <c r="ZC1" t="s">
        <v>2100</v>
      </c>
      <c r="ZD1" t="s">
        <v>2104</v>
      </c>
      <c r="ZE1" t="s">
        <v>2105</v>
      </c>
      <c r="ZF1" t="s">
        <v>2107</v>
      </c>
      <c r="ZG1" t="s">
        <v>2109</v>
      </c>
      <c r="ZH1" t="s">
        <v>2111</v>
      </c>
      <c r="ZI1" t="s">
        <v>2114</v>
      </c>
      <c r="ZJ1" t="s">
        <v>2117</v>
      </c>
      <c r="ZK1" t="s">
        <v>2120</v>
      </c>
      <c r="ZL1" t="s">
        <v>2123</v>
      </c>
      <c r="ZM1" t="s">
        <v>2126</v>
      </c>
      <c r="ZN1" t="s">
        <v>2128</v>
      </c>
      <c r="ZO1" t="s">
        <v>2130</v>
      </c>
      <c r="ZP1" t="s">
        <v>2132</v>
      </c>
      <c r="ZQ1" t="s">
        <v>2134</v>
      </c>
      <c r="ZR1" t="s">
        <v>2137</v>
      </c>
      <c r="ZS1" t="s">
        <v>2138</v>
      </c>
      <c r="ZT1" t="s">
        <v>2139</v>
      </c>
      <c r="ZU1" t="s">
        <v>2142</v>
      </c>
      <c r="ZV1" t="s">
        <v>2143</v>
      </c>
      <c r="ZW1" t="s">
        <v>2147</v>
      </c>
      <c r="ZX1" t="s">
        <v>2148</v>
      </c>
      <c r="ZY1" t="s">
        <v>2150</v>
      </c>
      <c r="ZZ1" t="s">
        <v>2154</v>
      </c>
      <c r="AAA1" t="s">
        <v>2156</v>
      </c>
      <c r="AAB1" t="s">
        <v>2157</v>
      </c>
      <c r="AAC1" t="s">
        <v>2160</v>
      </c>
      <c r="AAD1" t="s">
        <v>2161</v>
      </c>
      <c r="AAE1" t="s">
        <v>2163</v>
      </c>
      <c r="AAF1" t="s">
        <v>2166</v>
      </c>
      <c r="AAG1" t="s">
        <v>2169</v>
      </c>
      <c r="AAH1" t="s">
        <v>2171</v>
      </c>
      <c r="AAI1" t="s">
        <v>2174</v>
      </c>
      <c r="AAJ1" t="s">
        <v>2176</v>
      </c>
      <c r="AAK1" t="s">
        <v>2179</v>
      </c>
      <c r="AAL1" t="s">
        <v>2182</v>
      </c>
      <c r="AAM1" t="s">
        <v>2185</v>
      </c>
      <c r="AAN1" t="s">
        <v>2186</v>
      </c>
      <c r="AAO1" t="s">
        <v>2188</v>
      </c>
      <c r="AAP1" t="s">
        <v>2190</v>
      </c>
      <c r="AAQ1" t="s">
        <v>2191</v>
      </c>
      <c r="AAR1" t="s">
        <v>2193</v>
      </c>
      <c r="AAS1" t="s">
        <v>2196</v>
      </c>
      <c r="AAT1" t="s">
        <v>2198</v>
      </c>
      <c r="AAU1" t="s">
        <v>2200</v>
      </c>
      <c r="AAV1" t="s">
        <v>2202</v>
      </c>
      <c r="AAW1" t="s">
        <v>2204</v>
      </c>
      <c r="AAX1" t="s">
        <v>2206</v>
      </c>
      <c r="AAY1" t="s">
        <v>2209</v>
      </c>
      <c r="AAZ1" t="s">
        <v>2211</v>
      </c>
      <c r="ABA1" t="s">
        <v>2213</v>
      </c>
      <c r="ABB1" t="s">
        <v>2215</v>
      </c>
      <c r="ABC1" t="s">
        <v>2219</v>
      </c>
      <c r="ABD1" t="s">
        <v>2221</v>
      </c>
      <c r="ABE1" t="s">
        <v>2222</v>
      </c>
      <c r="ABF1" t="s">
        <v>2224</v>
      </c>
      <c r="ABG1" t="s">
        <v>2226</v>
      </c>
      <c r="ABH1" t="s">
        <v>2228</v>
      </c>
      <c r="ABI1" t="s">
        <v>2230</v>
      </c>
      <c r="ABJ1" t="s">
        <v>2232</v>
      </c>
      <c r="ABK1" t="s">
        <v>2233</v>
      </c>
      <c r="ABL1" t="s">
        <v>2235</v>
      </c>
      <c r="ABM1" t="s">
        <v>2238</v>
      </c>
      <c r="ABN1" t="s">
        <v>2241</v>
      </c>
      <c r="ABO1" t="s">
        <v>2244</v>
      </c>
      <c r="ABP1" t="s">
        <v>2247</v>
      </c>
      <c r="ABQ1" t="s">
        <v>2249</v>
      </c>
      <c r="ABR1" t="s">
        <v>2251</v>
      </c>
      <c r="ABS1" t="s">
        <v>2254</v>
      </c>
      <c r="ABT1" t="s">
        <v>2255</v>
      </c>
      <c r="ABU1" t="s">
        <v>2256</v>
      </c>
      <c r="ABV1" t="s">
        <v>2258</v>
      </c>
      <c r="ABW1" t="s">
        <v>2260</v>
      </c>
      <c r="ABX1" t="s">
        <v>2263</v>
      </c>
      <c r="ABY1" t="s">
        <v>2265</v>
      </c>
      <c r="ABZ1" t="s">
        <v>2266</v>
      </c>
      <c r="ACA1" t="s">
        <v>2268</v>
      </c>
      <c r="ACB1" t="s">
        <v>2269</v>
      </c>
      <c r="ACC1" t="s">
        <v>2272</v>
      </c>
      <c r="ACD1" t="s">
        <v>2275</v>
      </c>
      <c r="ACE1" t="s">
        <v>2279</v>
      </c>
      <c r="ACF1" t="s">
        <v>2280</v>
      </c>
      <c r="ACG1" t="s">
        <v>2281</v>
      </c>
      <c r="ACH1" t="s">
        <v>2283</v>
      </c>
      <c r="ACI1" t="s">
        <v>2286</v>
      </c>
      <c r="ACJ1" t="s">
        <v>2288</v>
      </c>
      <c r="ACK1" t="s">
        <v>2290</v>
      </c>
      <c r="ACL1" t="s">
        <v>2293</v>
      </c>
      <c r="ACM1" t="s">
        <v>2295</v>
      </c>
      <c r="ACN1" t="s">
        <v>2297</v>
      </c>
      <c r="ACO1" t="s">
        <v>2300</v>
      </c>
      <c r="ACP1" t="s">
        <v>2304</v>
      </c>
      <c r="ACQ1" t="s">
        <v>2306</v>
      </c>
      <c r="ACR1" t="s">
        <v>2308</v>
      </c>
      <c r="ACS1" t="s">
        <v>2309</v>
      </c>
      <c r="ACT1" t="s">
        <v>2310</v>
      </c>
      <c r="ACU1" t="s">
        <v>2313</v>
      </c>
      <c r="ACV1" t="s">
        <v>2315</v>
      </c>
      <c r="ACW1" t="s">
        <v>2317</v>
      </c>
      <c r="ACX1" t="s">
        <v>2318</v>
      </c>
      <c r="ACY1" t="s">
        <v>2319</v>
      </c>
      <c r="ACZ1" t="s">
        <v>2321</v>
      </c>
      <c r="ADA1" t="s">
        <v>2323</v>
      </c>
      <c r="ADB1" t="s">
        <v>2325</v>
      </c>
      <c r="ADC1" t="s">
        <v>2327</v>
      </c>
      <c r="ADD1" t="s">
        <v>2328</v>
      </c>
      <c r="ADE1" t="s">
        <v>2330</v>
      </c>
      <c r="ADF1" t="s">
        <v>2333</v>
      </c>
      <c r="ADG1" t="s">
        <v>2335</v>
      </c>
      <c r="ADH1" t="s">
        <v>2338</v>
      </c>
      <c r="ADI1" t="s">
        <v>2341</v>
      </c>
      <c r="ADJ1" t="s">
        <v>2343</v>
      </c>
      <c r="ADK1" t="s">
        <v>2345</v>
      </c>
      <c r="ADL1" t="s">
        <v>2348</v>
      </c>
      <c r="ADM1" t="s">
        <v>2351</v>
      </c>
      <c r="ADN1" t="s">
        <v>2354</v>
      </c>
      <c r="ADO1" t="s">
        <v>2358</v>
      </c>
      <c r="ADP1" t="s">
        <v>2360</v>
      </c>
      <c r="ADQ1" t="s">
        <v>2361</v>
      </c>
      <c r="ADR1" t="s">
        <v>2362</v>
      </c>
      <c r="ADS1" t="s">
        <v>2365</v>
      </c>
      <c r="ADT1" t="s">
        <v>2368</v>
      </c>
      <c r="ADU1" t="s">
        <v>2370</v>
      </c>
      <c r="ADV1" t="s">
        <v>2372</v>
      </c>
      <c r="ADW1" t="s">
        <v>2374</v>
      </c>
      <c r="ADX1" t="s">
        <v>2377</v>
      </c>
      <c r="ADY1" t="s">
        <v>2380</v>
      </c>
      <c r="ADZ1" t="s">
        <v>2381</v>
      </c>
      <c r="AEA1" t="s">
        <v>2385</v>
      </c>
      <c r="AEB1" t="s">
        <v>2388</v>
      </c>
      <c r="AEC1" t="s">
        <v>2390</v>
      </c>
      <c r="AED1" t="s">
        <v>2392</v>
      </c>
      <c r="AEE1" t="s">
        <v>2394</v>
      </c>
      <c r="AEF1" t="s">
        <v>2397</v>
      </c>
      <c r="AEG1" t="s">
        <v>2398</v>
      </c>
      <c r="AEH1" t="s">
        <v>2400</v>
      </c>
      <c r="AEI1" t="s">
        <v>2403</v>
      </c>
      <c r="AEJ1" t="s">
        <v>2406</v>
      </c>
      <c r="AEK1" t="s">
        <v>2408</v>
      </c>
      <c r="AEL1" t="s">
        <v>2411</v>
      </c>
      <c r="AEM1" t="s">
        <v>2413</v>
      </c>
      <c r="AEN1" t="s">
        <v>2416</v>
      </c>
      <c r="AEO1" t="s">
        <v>2417</v>
      </c>
      <c r="AEP1" t="s">
        <v>2419</v>
      </c>
      <c r="AEQ1" t="s">
        <v>2422</v>
      </c>
      <c r="AER1" t="s">
        <v>2425</v>
      </c>
      <c r="AES1" t="s">
        <v>2427</v>
      </c>
      <c r="AET1" t="s">
        <v>2428</v>
      </c>
      <c r="AEU1" t="s">
        <v>2430</v>
      </c>
      <c r="AEV1" t="s">
        <v>2431</v>
      </c>
      <c r="AEW1" t="s">
        <v>2432</v>
      </c>
      <c r="AEX1" t="s">
        <v>2435</v>
      </c>
      <c r="AEY1" t="s">
        <v>2437</v>
      </c>
      <c r="AEZ1" t="s">
        <v>2440</v>
      </c>
      <c r="AFA1" t="s">
        <v>2444</v>
      </c>
      <c r="AFB1" t="s">
        <v>2447</v>
      </c>
      <c r="AFC1" t="s">
        <v>2449</v>
      </c>
      <c r="AFD1" t="s">
        <v>2452</v>
      </c>
      <c r="AFE1" t="s">
        <v>2455</v>
      </c>
      <c r="AFF1" t="s">
        <v>2457</v>
      </c>
      <c r="AFG1" t="s">
        <v>2459</v>
      </c>
      <c r="AFH1" t="s">
        <v>2462</v>
      </c>
      <c r="AFI1" t="s">
        <v>2466</v>
      </c>
      <c r="AFJ1" t="s">
        <v>2468</v>
      </c>
      <c r="AFK1" t="s">
        <v>2469</v>
      </c>
      <c r="AFL1" t="s">
        <v>2471</v>
      </c>
      <c r="AFM1" t="s">
        <v>2473</v>
      </c>
      <c r="AFN1" t="s">
        <v>2475</v>
      </c>
      <c r="AFO1" t="s">
        <v>2477</v>
      </c>
      <c r="AFP1" t="s">
        <v>2478</v>
      </c>
      <c r="AFQ1" t="s">
        <v>2481</v>
      </c>
      <c r="AFR1" t="s">
        <v>2483</v>
      </c>
      <c r="AFS1" t="s">
        <v>2485</v>
      </c>
      <c r="AFT1" t="s">
        <v>2488</v>
      </c>
      <c r="AFU1" t="s">
        <v>2491</v>
      </c>
      <c r="AFV1" t="s">
        <v>2492</v>
      </c>
      <c r="AFW1" t="s">
        <v>2494</v>
      </c>
      <c r="AFX1" t="s">
        <v>2496</v>
      </c>
      <c r="AFY1" t="s">
        <v>2498</v>
      </c>
      <c r="AFZ1" t="s">
        <v>2501</v>
      </c>
      <c r="AGA1" t="s">
        <v>2502</v>
      </c>
      <c r="AGB1" t="s">
        <v>2505</v>
      </c>
      <c r="AGC1" t="s">
        <v>2507</v>
      </c>
      <c r="AGD1" t="s">
        <v>2508</v>
      </c>
      <c r="AGE1" t="s">
        <v>2509</v>
      </c>
      <c r="AGF1" t="s">
        <v>2513</v>
      </c>
      <c r="AGG1" t="s">
        <v>2515</v>
      </c>
      <c r="AGH1" t="s">
        <v>2516</v>
      </c>
      <c r="AGI1" t="s">
        <v>2517</v>
      </c>
      <c r="AGJ1" t="s">
        <v>2519</v>
      </c>
      <c r="AGK1" t="s">
        <v>2521</v>
      </c>
      <c r="AGL1" t="s">
        <v>2524</v>
      </c>
      <c r="AGM1" t="s">
        <v>2528</v>
      </c>
      <c r="AGN1" t="s">
        <v>2530</v>
      </c>
      <c r="AGO1" t="s">
        <v>2533</v>
      </c>
      <c r="AGP1" t="s">
        <v>2536</v>
      </c>
      <c r="AGQ1" t="s">
        <v>2537</v>
      </c>
      <c r="AGR1" t="s">
        <v>2538</v>
      </c>
      <c r="AGS1" t="s">
        <v>2542</v>
      </c>
      <c r="AGT1" t="s">
        <v>2544</v>
      </c>
      <c r="AGU1" t="s">
        <v>2546</v>
      </c>
      <c r="AGV1" t="s">
        <v>2548</v>
      </c>
      <c r="AGW1" t="s">
        <v>2550</v>
      </c>
      <c r="AGX1" t="s">
        <v>2552</v>
      </c>
      <c r="AGY1" t="s">
        <v>2554</v>
      </c>
      <c r="AGZ1" t="s">
        <v>2556</v>
      </c>
      <c r="AHA1" t="s">
        <v>2558</v>
      </c>
      <c r="AHB1" t="s">
        <v>2559</v>
      </c>
      <c r="AHC1" t="s">
        <v>2560</v>
      </c>
      <c r="AHD1" t="s">
        <v>2563</v>
      </c>
      <c r="AHE1" t="s">
        <v>2565</v>
      </c>
      <c r="AHF1" t="s">
        <v>2567</v>
      </c>
      <c r="AHG1" t="s">
        <v>2569</v>
      </c>
      <c r="AHH1" t="s">
        <v>2571</v>
      </c>
      <c r="AHI1" t="s">
        <v>2573</v>
      </c>
      <c r="AHJ1" t="s">
        <v>2574</v>
      </c>
      <c r="AHK1" t="s">
        <v>2575</v>
      </c>
      <c r="AHL1" t="s">
        <v>2576</v>
      </c>
      <c r="AHM1" t="s">
        <v>2577</v>
      </c>
      <c r="AHN1" t="s">
        <v>2580</v>
      </c>
      <c r="AHO1" t="s">
        <v>2581</v>
      </c>
      <c r="AHP1" t="s">
        <v>2584</v>
      </c>
      <c r="AHQ1" t="s">
        <v>2587</v>
      </c>
      <c r="AHR1" t="s">
        <v>2588</v>
      </c>
      <c r="AHS1" t="s">
        <v>2589</v>
      </c>
      <c r="AHT1" t="s">
        <v>2592</v>
      </c>
      <c r="AHU1" t="s">
        <v>2594</v>
      </c>
      <c r="AHV1" t="s">
        <v>2597</v>
      </c>
      <c r="AHW1" t="s">
        <v>2600</v>
      </c>
      <c r="AHX1" t="s">
        <v>2602</v>
      </c>
      <c r="AHY1" t="s">
        <v>2603</v>
      </c>
      <c r="AHZ1" t="s">
        <v>2605</v>
      </c>
      <c r="AIA1" t="s">
        <v>2607</v>
      </c>
      <c r="AIB1" t="s">
        <v>2608</v>
      </c>
      <c r="AIC1" t="s">
        <v>2609</v>
      </c>
      <c r="AID1" t="s">
        <v>2612</v>
      </c>
      <c r="AIE1" t="s">
        <v>2613</v>
      </c>
      <c r="AIF1" t="s">
        <v>2615</v>
      </c>
      <c r="AIG1" t="s">
        <v>2617</v>
      </c>
      <c r="AIH1" t="s">
        <v>2618</v>
      </c>
      <c r="AII1" t="s">
        <v>2620</v>
      </c>
      <c r="AIJ1" t="s">
        <v>2624</v>
      </c>
      <c r="AIK1" t="s">
        <v>2626</v>
      </c>
      <c r="AIL1" t="s">
        <v>2627</v>
      </c>
      <c r="AIM1" t="s">
        <v>2630</v>
      </c>
      <c r="AIN1" t="s">
        <v>2631</v>
      </c>
      <c r="AIO1" t="s">
        <v>2632</v>
      </c>
      <c r="AIP1" t="s">
        <v>2634</v>
      </c>
      <c r="AIQ1" t="s">
        <v>2635</v>
      </c>
      <c r="AIR1" t="s">
        <v>2638</v>
      </c>
      <c r="AIS1" t="s">
        <v>2639</v>
      </c>
      <c r="AIT1" t="s">
        <v>2640</v>
      </c>
      <c r="AIU1" t="s">
        <v>2642</v>
      </c>
      <c r="AIV1" t="s">
        <v>2643</v>
      </c>
      <c r="AIW1" t="s">
        <v>2645</v>
      </c>
      <c r="AIX1" t="s">
        <v>2646</v>
      </c>
      <c r="AIY1" t="s">
        <v>2648</v>
      </c>
      <c r="AIZ1" t="s">
        <v>2650</v>
      </c>
      <c r="AJA1" t="s">
        <v>2652</v>
      </c>
      <c r="AJB1" t="s">
        <v>2653</v>
      </c>
      <c r="AJC1" t="s">
        <v>2656</v>
      </c>
      <c r="AJD1" t="s">
        <v>2657</v>
      </c>
      <c r="AJE1" t="s">
        <v>2658</v>
      </c>
      <c r="AJF1" t="s">
        <v>2659</v>
      </c>
      <c r="AJG1" t="s">
        <v>2661</v>
      </c>
      <c r="AJH1" t="s">
        <v>2662</v>
      </c>
      <c r="AJI1" t="s">
        <v>2663</v>
      </c>
      <c r="AJJ1" t="s">
        <v>2664</v>
      </c>
      <c r="AJK1" t="s">
        <v>2667</v>
      </c>
      <c r="AJL1" t="s">
        <v>2670</v>
      </c>
      <c r="AJM1" t="s">
        <v>2671</v>
      </c>
      <c r="AJN1" t="s">
        <v>2672</v>
      </c>
      <c r="AJO1" t="s">
        <v>2673</v>
      </c>
      <c r="AJP1" t="s">
        <v>2674</v>
      </c>
      <c r="AJQ1" t="s">
        <v>2676</v>
      </c>
      <c r="AJR1" t="s">
        <v>2677</v>
      </c>
      <c r="AJS1" t="s">
        <v>2678</v>
      </c>
      <c r="AJT1" t="s">
        <v>2680</v>
      </c>
      <c r="AJU1" t="s">
        <v>2682</v>
      </c>
      <c r="AJV1" t="s">
        <v>2683</v>
      </c>
      <c r="AJW1" t="s">
        <v>2684</v>
      </c>
      <c r="AJX1" t="s">
        <v>2688</v>
      </c>
      <c r="AJY1" t="s">
        <v>2690</v>
      </c>
      <c r="AJZ1" t="s">
        <v>2693</v>
      </c>
      <c r="AKA1" t="s">
        <v>2694</v>
      </c>
      <c r="AKB1" t="s">
        <v>2695</v>
      </c>
      <c r="AKC1" t="s">
        <v>2698</v>
      </c>
      <c r="AKD1" t="s">
        <v>2700</v>
      </c>
      <c r="AKE1" t="s">
        <v>2703</v>
      </c>
      <c r="AKF1" t="s">
        <v>2705</v>
      </c>
      <c r="AKG1" t="s">
        <v>2706</v>
      </c>
      <c r="AKH1" t="s">
        <v>2708</v>
      </c>
      <c r="AKI1" t="s">
        <v>2710</v>
      </c>
      <c r="AKJ1" t="s">
        <v>2712</v>
      </c>
      <c r="AKK1" t="s">
        <v>2713</v>
      </c>
      <c r="AKL1" t="s">
        <v>2714</v>
      </c>
      <c r="AKM1" t="s">
        <v>2715</v>
      </c>
      <c r="AKN1" t="s">
        <v>2717</v>
      </c>
      <c r="AKO1" t="s">
        <v>2718</v>
      </c>
      <c r="AKP1" t="s">
        <v>2720</v>
      </c>
      <c r="AKQ1" t="s">
        <v>2722</v>
      </c>
      <c r="AKR1" t="s">
        <v>2724</v>
      </c>
      <c r="AKS1" t="s">
        <v>2725</v>
      </c>
      <c r="AKT1" t="s">
        <v>2726</v>
      </c>
      <c r="AKU1" t="s">
        <v>2727</v>
      </c>
      <c r="AKV1" t="s">
        <v>2729</v>
      </c>
      <c r="AKW1" t="s">
        <v>2730</v>
      </c>
      <c r="AKX1" t="s">
        <v>2733</v>
      </c>
      <c r="AKY1" t="s">
        <v>2734</v>
      </c>
      <c r="AKZ1" t="s">
        <v>2735</v>
      </c>
      <c r="ALA1" t="s">
        <v>2737</v>
      </c>
      <c r="ALB1" t="s">
        <v>2738</v>
      </c>
      <c r="ALC1" t="s">
        <v>2740</v>
      </c>
      <c r="ALD1" t="s">
        <v>2741</v>
      </c>
      <c r="ALE1" t="s">
        <v>2743</v>
      </c>
      <c r="ALF1" t="s">
        <v>2746</v>
      </c>
      <c r="ALG1" t="s">
        <v>2747</v>
      </c>
      <c r="ALH1" t="s">
        <v>2749</v>
      </c>
      <c r="ALI1" t="s">
        <v>2750</v>
      </c>
      <c r="ALJ1" t="s">
        <v>2751</v>
      </c>
      <c r="ALK1" t="s">
        <v>2753</v>
      </c>
      <c r="ALL1" t="s">
        <v>2754</v>
      </c>
      <c r="ALM1" t="s">
        <v>2755</v>
      </c>
    </row>
    <row r="2" spans="1:1001" ht="29.4" customHeight="1" x14ac:dyDescent="0.3">
      <c r="A2" s="1" t="s">
        <v>1</v>
      </c>
      <c r="B2" t="s">
        <v>13</v>
      </c>
      <c r="C2" t="s">
        <v>22</v>
      </c>
      <c r="D2" t="s">
        <v>31</v>
      </c>
      <c r="E2" t="s">
        <v>38</v>
      </c>
      <c r="F2" t="s">
        <v>45</v>
      </c>
      <c r="G2" t="s">
        <v>53</v>
      </c>
      <c r="H2" t="s">
        <v>59</v>
      </c>
      <c r="I2" t="s">
        <v>65</v>
      </c>
      <c r="J2" t="s">
        <v>70</v>
      </c>
      <c r="K2" t="s">
        <v>74</v>
      </c>
      <c r="L2" t="s">
        <v>80</v>
      </c>
      <c r="M2" t="s">
        <v>85</v>
      </c>
      <c r="N2" t="s">
        <v>89</v>
      </c>
      <c r="O2" t="s">
        <v>93</v>
      </c>
      <c r="P2" t="s">
        <v>97</v>
      </c>
      <c r="Q2" t="s">
        <v>101</v>
      </c>
      <c r="R2" t="s">
        <v>107</v>
      </c>
      <c r="S2" t="s">
        <v>112</v>
      </c>
      <c r="T2" t="s">
        <v>117</v>
      </c>
      <c r="U2" t="s">
        <v>70</v>
      </c>
      <c r="V2" t="s">
        <v>125</v>
      </c>
      <c r="W2" t="s">
        <v>130</v>
      </c>
      <c r="X2" t="s">
        <v>134</v>
      </c>
      <c r="Y2" t="s">
        <v>137</v>
      </c>
      <c r="Z2" t="s">
        <v>141</v>
      </c>
      <c r="AA2" t="s">
        <v>144</v>
      </c>
      <c r="AB2" t="s">
        <v>107</v>
      </c>
      <c r="AC2" t="s">
        <v>151</v>
      </c>
      <c r="AD2" t="s">
        <v>155</v>
      </c>
      <c r="AE2" t="s">
        <v>159</v>
      </c>
      <c r="AF2" t="s">
        <v>163</v>
      </c>
      <c r="AG2" t="s">
        <v>168</v>
      </c>
      <c r="AH2" t="s">
        <v>97</v>
      </c>
      <c r="AI2" t="s">
        <v>176</v>
      </c>
      <c r="AJ2" t="s">
        <v>181</v>
      </c>
      <c r="AK2" t="s">
        <v>185</v>
      </c>
      <c r="AL2" t="s">
        <v>190</v>
      </c>
      <c r="AM2" t="s">
        <v>193</v>
      </c>
      <c r="AN2" t="s">
        <v>197</v>
      </c>
      <c r="AO2" t="s">
        <v>201</v>
      </c>
      <c r="AP2" t="s">
        <v>205</v>
      </c>
      <c r="AQ2" t="s">
        <v>210</v>
      </c>
      <c r="AR2" t="s">
        <v>214</v>
      </c>
      <c r="AS2" t="s">
        <v>218</v>
      </c>
      <c r="AT2" t="s">
        <v>222</v>
      </c>
      <c r="AU2" t="s">
        <v>226</v>
      </c>
      <c r="AV2" t="s">
        <v>230</v>
      </c>
      <c r="AW2" t="s">
        <v>234</v>
      </c>
      <c r="AX2" t="s">
        <v>238</v>
      </c>
      <c r="AY2" t="s">
        <v>242</v>
      </c>
      <c r="AZ2" t="s">
        <v>246</v>
      </c>
      <c r="BA2" t="s">
        <v>250</v>
      </c>
      <c r="BB2" t="s">
        <v>254</v>
      </c>
      <c r="BC2" t="s">
        <v>258</v>
      </c>
      <c r="BD2" t="s">
        <v>262</v>
      </c>
      <c r="BE2" t="s">
        <v>267</v>
      </c>
      <c r="BF2" t="s">
        <v>271</v>
      </c>
      <c r="BG2" t="s">
        <v>275</v>
      </c>
      <c r="BH2" t="s">
        <v>279</v>
      </c>
      <c r="BI2" t="s">
        <v>283</v>
      </c>
      <c r="BJ2" t="s">
        <v>287</v>
      </c>
      <c r="BK2" t="s">
        <v>291</v>
      </c>
      <c r="BL2" t="s">
        <v>295</v>
      </c>
      <c r="BM2" t="s">
        <v>298</v>
      </c>
      <c r="BN2" t="s">
        <v>301</v>
      </c>
      <c r="BO2" t="s">
        <v>305</v>
      </c>
      <c r="BP2" t="s">
        <v>309</v>
      </c>
      <c r="BQ2" t="s">
        <v>313</v>
      </c>
      <c r="BR2" t="s">
        <v>317</v>
      </c>
      <c r="BS2" t="s">
        <v>320</v>
      </c>
      <c r="BT2" t="s">
        <v>324</v>
      </c>
      <c r="BU2" t="s">
        <v>328</v>
      </c>
      <c r="BV2" t="s">
        <v>332</v>
      </c>
      <c r="BW2" t="s">
        <v>336</v>
      </c>
      <c r="BX2" t="s">
        <v>339</v>
      </c>
      <c r="BY2" t="s">
        <v>343</v>
      </c>
      <c r="BZ2" t="s">
        <v>347</v>
      </c>
      <c r="CA2" t="s">
        <v>351</v>
      </c>
      <c r="CB2" t="s">
        <v>355</v>
      </c>
      <c r="CC2" t="s">
        <v>359</v>
      </c>
      <c r="CD2" t="s">
        <v>74</v>
      </c>
      <c r="CE2" t="s">
        <v>366</v>
      </c>
      <c r="CF2" t="s">
        <v>370</v>
      </c>
      <c r="CG2" t="s">
        <v>287</v>
      </c>
      <c r="CH2" t="s">
        <v>377</v>
      </c>
      <c r="CI2" t="s">
        <v>381</v>
      </c>
      <c r="CJ2" t="s">
        <v>385</v>
      </c>
      <c r="CK2" t="s">
        <v>389</v>
      </c>
      <c r="CL2" t="s">
        <v>393</v>
      </c>
      <c r="CM2" t="s">
        <v>397</v>
      </c>
      <c r="CN2" t="s">
        <v>401</v>
      </c>
      <c r="CO2" t="s">
        <v>405</v>
      </c>
      <c r="CP2" t="s">
        <v>409</v>
      </c>
      <c r="CQ2" t="s">
        <v>412</v>
      </c>
      <c r="CR2" t="s">
        <v>415</v>
      </c>
      <c r="CS2" t="s">
        <v>419</v>
      </c>
      <c r="CT2" t="s">
        <v>422</v>
      </c>
      <c r="CU2" t="s">
        <v>426</v>
      </c>
      <c r="CV2" t="s">
        <v>347</v>
      </c>
      <c r="CW2" t="s">
        <v>433</v>
      </c>
      <c r="CX2" t="s">
        <v>437</v>
      </c>
      <c r="CY2" t="s">
        <v>441</v>
      </c>
      <c r="CZ2" t="s">
        <v>445</v>
      </c>
      <c r="DA2" t="s">
        <v>449</v>
      </c>
      <c r="DB2" t="s">
        <v>453</v>
      </c>
      <c r="DC2" t="s">
        <v>457</v>
      </c>
      <c r="DD2" t="s">
        <v>461</v>
      </c>
      <c r="DE2" t="s">
        <v>464</v>
      </c>
      <c r="DF2" t="s">
        <v>467</v>
      </c>
      <c r="DG2" t="s">
        <v>471</v>
      </c>
      <c r="DH2" t="s">
        <v>474</v>
      </c>
      <c r="DI2" t="s">
        <v>477</v>
      </c>
      <c r="DJ2" t="s">
        <v>328</v>
      </c>
      <c r="DK2" t="s">
        <v>483</v>
      </c>
      <c r="DL2" t="s">
        <v>486</v>
      </c>
      <c r="DM2" t="s">
        <v>490</v>
      </c>
      <c r="DN2" t="s">
        <v>494</v>
      </c>
      <c r="DO2" t="s">
        <v>287</v>
      </c>
      <c r="DP2" t="s">
        <v>501</v>
      </c>
      <c r="DQ2" t="s">
        <v>505</v>
      </c>
      <c r="DR2" t="s">
        <v>509</v>
      </c>
      <c r="DS2" t="s">
        <v>59</v>
      </c>
      <c r="DT2" t="s">
        <v>163</v>
      </c>
      <c r="DU2" t="s">
        <v>519</v>
      </c>
      <c r="DV2" t="s">
        <v>522</v>
      </c>
      <c r="DW2" t="s">
        <v>526</v>
      </c>
      <c r="DX2" t="s">
        <v>530</v>
      </c>
      <c r="DY2" t="s">
        <v>534</v>
      </c>
      <c r="DZ2" t="s">
        <v>538</v>
      </c>
      <c r="EA2" t="s">
        <v>542</v>
      </c>
      <c r="EB2" t="s">
        <v>546</v>
      </c>
      <c r="EC2" t="s">
        <v>550</v>
      </c>
      <c r="ED2" t="s">
        <v>295</v>
      </c>
      <c r="EE2" t="s">
        <v>557</v>
      </c>
      <c r="EF2" t="s">
        <v>561</v>
      </c>
      <c r="EG2" t="s">
        <v>564</v>
      </c>
      <c r="EH2" t="s">
        <v>117</v>
      </c>
      <c r="EI2" t="s">
        <v>568</v>
      </c>
      <c r="EJ2" t="s">
        <v>571</v>
      </c>
      <c r="EK2" t="s">
        <v>575</v>
      </c>
      <c r="EL2" t="s">
        <v>579</v>
      </c>
      <c r="EM2" t="s">
        <v>582</v>
      </c>
      <c r="EN2" t="s">
        <v>586</v>
      </c>
      <c r="EO2" t="s">
        <v>589</v>
      </c>
      <c r="EP2" t="s">
        <v>593</v>
      </c>
      <c r="EQ2" t="s">
        <v>597</v>
      </c>
      <c r="ER2" t="s">
        <v>601</v>
      </c>
      <c r="ES2" t="s">
        <v>605</v>
      </c>
      <c r="ET2" t="s">
        <v>609</v>
      </c>
      <c r="EU2" t="s">
        <v>613</v>
      </c>
      <c r="EV2" t="s">
        <v>616</v>
      </c>
      <c r="EW2" t="s">
        <v>393</v>
      </c>
      <c r="EX2" t="s">
        <v>623</v>
      </c>
      <c r="EY2" t="s">
        <v>626</v>
      </c>
      <c r="EZ2" t="s">
        <v>630</v>
      </c>
      <c r="FA2" t="s">
        <v>634</v>
      </c>
      <c r="FB2" t="s">
        <v>262</v>
      </c>
      <c r="FC2" t="s">
        <v>639</v>
      </c>
      <c r="FD2" t="s">
        <v>642</v>
      </c>
      <c r="FE2" t="s">
        <v>646</v>
      </c>
      <c r="FF2" t="s">
        <v>650</v>
      </c>
      <c r="FG2" t="s">
        <v>654</v>
      </c>
      <c r="FH2" t="s">
        <v>159</v>
      </c>
      <c r="FI2" t="s">
        <v>660</v>
      </c>
      <c r="FJ2" t="s">
        <v>664</v>
      </c>
      <c r="FK2" t="s">
        <v>668</v>
      </c>
      <c r="FL2" t="s">
        <v>672</v>
      </c>
      <c r="FM2" t="s">
        <v>676</v>
      </c>
      <c r="FN2" t="s">
        <v>112</v>
      </c>
      <c r="FO2" t="s">
        <v>683</v>
      </c>
      <c r="FP2" t="s">
        <v>687</v>
      </c>
      <c r="FQ2" t="s">
        <v>419</v>
      </c>
      <c r="FR2" t="s">
        <v>542</v>
      </c>
      <c r="FS2" t="s">
        <v>613</v>
      </c>
      <c r="FT2" t="s">
        <v>699</v>
      </c>
      <c r="FU2" t="s">
        <v>703</v>
      </c>
      <c r="FV2" t="s">
        <v>706</v>
      </c>
      <c r="FW2" t="s">
        <v>709</v>
      </c>
      <c r="FX2" t="s">
        <v>467</v>
      </c>
      <c r="FY2" t="s">
        <v>716</v>
      </c>
      <c r="FZ2" t="s">
        <v>65</v>
      </c>
      <c r="GA2" t="s">
        <v>112</v>
      </c>
      <c r="GB2" t="s">
        <v>725</v>
      </c>
      <c r="GC2" t="s">
        <v>728</v>
      </c>
      <c r="GD2" t="s">
        <v>731</v>
      </c>
      <c r="GE2" t="s">
        <v>550</v>
      </c>
      <c r="GF2" t="s">
        <v>738</v>
      </c>
      <c r="GG2" t="s">
        <v>742</v>
      </c>
      <c r="GH2" t="s">
        <v>746</v>
      </c>
      <c r="GI2" t="s">
        <v>750</v>
      </c>
      <c r="GJ2" t="s">
        <v>753</v>
      </c>
      <c r="GK2" t="s">
        <v>756</v>
      </c>
      <c r="GL2" t="s">
        <v>65</v>
      </c>
      <c r="GM2" t="s">
        <v>389</v>
      </c>
      <c r="GN2" t="s">
        <v>275</v>
      </c>
      <c r="GO2" t="s">
        <v>768</v>
      </c>
      <c r="GP2" t="s">
        <v>609</v>
      </c>
      <c r="GQ2" t="s">
        <v>773</v>
      </c>
      <c r="GR2" t="s">
        <v>777</v>
      </c>
      <c r="GS2" t="s">
        <v>780</v>
      </c>
      <c r="GT2" t="s">
        <v>784</v>
      </c>
      <c r="GU2" t="s">
        <v>74</v>
      </c>
      <c r="GV2" t="s">
        <v>790</v>
      </c>
      <c r="GW2" t="s">
        <v>794</v>
      </c>
      <c r="GX2" t="s">
        <v>441</v>
      </c>
      <c r="GY2" t="s">
        <v>800</v>
      </c>
      <c r="GZ2" t="s">
        <v>804</v>
      </c>
      <c r="HA2" t="s">
        <v>250</v>
      </c>
      <c r="HB2" t="s">
        <v>811</v>
      </c>
      <c r="HC2" t="s">
        <v>814</v>
      </c>
      <c r="HD2" t="s">
        <v>377</v>
      </c>
      <c r="HE2" t="s">
        <v>377</v>
      </c>
      <c r="HF2" t="s">
        <v>823</v>
      </c>
      <c r="HG2" t="s">
        <v>827</v>
      </c>
      <c r="HH2" t="s">
        <v>731</v>
      </c>
      <c r="HI2" t="s">
        <v>437</v>
      </c>
      <c r="HJ2" t="s">
        <v>474</v>
      </c>
      <c r="HK2" t="s">
        <v>840</v>
      </c>
      <c r="HL2" t="s">
        <v>844</v>
      </c>
      <c r="HM2" t="s">
        <v>13</v>
      </c>
      <c r="HN2" t="s">
        <v>654</v>
      </c>
      <c r="HO2" t="s">
        <v>854</v>
      </c>
      <c r="HP2" t="s">
        <v>141</v>
      </c>
      <c r="HQ2" t="s">
        <v>859</v>
      </c>
      <c r="HR2" t="s">
        <v>862</v>
      </c>
      <c r="HS2" t="s">
        <v>865</v>
      </c>
      <c r="HT2" t="s">
        <v>869</v>
      </c>
      <c r="HU2" t="s">
        <v>873</v>
      </c>
      <c r="HV2" t="s">
        <v>877</v>
      </c>
      <c r="HW2" t="s">
        <v>840</v>
      </c>
      <c r="HX2" t="s">
        <v>883</v>
      </c>
      <c r="HY2" t="s">
        <v>886</v>
      </c>
      <c r="HZ2" t="s">
        <v>862</v>
      </c>
      <c r="IA2" t="s">
        <v>893</v>
      </c>
      <c r="IB2" t="s">
        <v>895</v>
      </c>
      <c r="IC2" t="s">
        <v>898</v>
      </c>
      <c r="ID2" t="s">
        <v>902</v>
      </c>
      <c r="IE2" t="s">
        <v>904</v>
      </c>
      <c r="IF2" t="s">
        <v>908</v>
      </c>
      <c r="IG2" t="s">
        <v>911</v>
      </c>
      <c r="IH2" t="s">
        <v>914</v>
      </c>
      <c r="II2" t="s">
        <v>908</v>
      </c>
      <c r="IJ2" t="s">
        <v>895</v>
      </c>
      <c r="IK2" t="s">
        <v>924</v>
      </c>
      <c r="IL2" t="s">
        <v>483</v>
      </c>
      <c r="IM2" t="s">
        <v>931</v>
      </c>
      <c r="IN2" t="s">
        <v>634</v>
      </c>
      <c r="IO2" t="s">
        <v>938</v>
      </c>
      <c r="IP2" t="s">
        <v>942</v>
      </c>
      <c r="IQ2" t="s">
        <v>328</v>
      </c>
      <c r="IR2" t="s">
        <v>946</v>
      </c>
      <c r="IS2" t="s">
        <v>949</v>
      </c>
      <c r="IT2" t="s">
        <v>214</v>
      </c>
      <c r="IU2" t="s">
        <v>238</v>
      </c>
      <c r="IV2" t="s">
        <v>163</v>
      </c>
      <c r="IW2" t="s">
        <v>419</v>
      </c>
      <c r="IX2" t="s">
        <v>965</v>
      </c>
      <c r="IY2" t="s">
        <v>969</v>
      </c>
      <c r="IZ2" t="s">
        <v>904</v>
      </c>
      <c r="JA2" t="s">
        <v>974</v>
      </c>
      <c r="JB2" t="s">
        <v>978</v>
      </c>
      <c r="JC2" t="s">
        <v>393</v>
      </c>
      <c r="JD2" t="s">
        <v>155</v>
      </c>
      <c r="JE2" t="s">
        <v>483</v>
      </c>
      <c r="JF2" t="s">
        <v>988</v>
      </c>
      <c r="JG2" t="s">
        <v>991</v>
      </c>
      <c r="JH2" t="s">
        <v>593</v>
      </c>
      <c r="JI2" t="s">
        <v>996</v>
      </c>
      <c r="JJ2" t="s">
        <v>464</v>
      </c>
      <c r="JK2" t="s">
        <v>1003</v>
      </c>
      <c r="JL2" t="s">
        <v>1006</v>
      </c>
      <c r="JM2" t="s">
        <v>494</v>
      </c>
      <c r="JN2" t="s">
        <v>1011</v>
      </c>
      <c r="JO2" t="s">
        <v>1015</v>
      </c>
      <c r="JP2" t="s">
        <v>1019</v>
      </c>
      <c r="JQ2" t="s">
        <v>176</v>
      </c>
      <c r="JR2" t="s">
        <v>1025</v>
      </c>
      <c r="JS2" t="s">
        <v>873</v>
      </c>
      <c r="JT2" t="s">
        <v>914</v>
      </c>
      <c r="JU2" t="s">
        <v>1032</v>
      </c>
      <c r="JV2" t="s">
        <v>426</v>
      </c>
      <c r="JW2" t="s">
        <v>1039</v>
      </c>
      <c r="JX2" t="s">
        <v>230</v>
      </c>
      <c r="JY2" t="s">
        <v>1045</v>
      </c>
      <c r="JZ2" t="s">
        <v>750</v>
      </c>
      <c r="KA2" t="s">
        <v>1052</v>
      </c>
      <c r="KB2" t="s">
        <v>59</v>
      </c>
      <c r="KC2" t="s">
        <v>1058</v>
      </c>
      <c r="KD2" t="s">
        <v>393</v>
      </c>
      <c r="KE2" t="s">
        <v>676</v>
      </c>
      <c r="KF2" t="s">
        <v>1067</v>
      </c>
      <c r="KG2" t="s">
        <v>1070</v>
      </c>
      <c r="KH2" t="s">
        <v>579</v>
      </c>
      <c r="KI2" t="s">
        <v>1075</v>
      </c>
      <c r="KJ2" t="s">
        <v>1079</v>
      </c>
      <c r="KK2" t="s">
        <v>639</v>
      </c>
      <c r="KL2" t="s">
        <v>557</v>
      </c>
      <c r="KM2" t="s">
        <v>780</v>
      </c>
      <c r="KN2" t="s">
        <v>895</v>
      </c>
      <c r="KO2" t="s">
        <v>1093</v>
      </c>
      <c r="KP2" t="s">
        <v>1097</v>
      </c>
      <c r="KQ2" t="s">
        <v>151</v>
      </c>
      <c r="KR2" t="s">
        <v>630</v>
      </c>
      <c r="KS2" t="s">
        <v>1105</v>
      </c>
      <c r="KT2" t="s">
        <v>519</v>
      </c>
      <c r="KU2" t="s">
        <v>1110</v>
      </c>
      <c r="KV2" t="s">
        <v>1113</v>
      </c>
      <c r="KW2" t="s">
        <v>1019</v>
      </c>
      <c r="KX2" t="s">
        <v>1119</v>
      </c>
      <c r="KY2" t="s">
        <v>924</v>
      </c>
      <c r="KZ2" t="s">
        <v>130</v>
      </c>
      <c r="LA2" t="s">
        <v>238</v>
      </c>
      <c r="LB2" t="s">
        <v>1131</v>
      </c>
      <c r="LC2" t="s">
        <v>1003</v>
      </c>
      <c r="LD2" t="s">
        <v>163</v>
      </c>
      <c r="LE2" t="s">
        <v>534</v>
      </c>
      <c r="LF2" t="s">
        <v>1131</v>
      </c>
      <c r="LG2" t="s">
        <v>38</v>
      </c>
      <c r="LH2" t="s">
        <v>1147</v>
      </c>
      <c r="LI2" t="s">
        <v>1151</v>
      </c>
      <c r="LJ2" t="s">
        <v>1153</v>
      </c>
      <c r="LK2" t="s">
        <v>1157</v>
      </c>
      <c r="LL2" t="s">
        <v>1161</v>
      </c>
      <c r="LM2" t="s">
        <v>1165</v>
      </c>
      <c r="LN2" t="s">
        <v>1169</v>
      </c>
      <c r="LO2" t="s">
        <v>1173</v>
      </c>
      <c r="LP2" t="s">
        <v>1157</v>
      </c>
      <c r="LQ2" t="s">
        <v>1179</v>
      </c>
      <c r="LR2" t="s">
        <v>1181</v>
      </c>
      <c r="LS2" t="s">
        <v>134</v>
      </c>
      <c r="LT2" t="s">
        <v>1186</v>
      </c>
      <c r="LU2" t="s">
        <v>1190</v>
      </c>
      <c r="LV2" t="s">
        <v>1194</v>
      </c>
      <c r="LW2" t="s">
        <v>706</v>
      </c>
      <c r="LX2" t="s">
        <v>716</v>
      </c>
      <c r="LY2" t="s">
        <v>1204</v>
      </c>
      <c r="LZ2" t="s">
        <v>168</v>
      </c>
      <c r="MA2" t="s">
        <v>1209</v>
      </c>
      <c r="MB2" t="s">
        <v>1212</v>
      </c>
      <c r="MC2" t="s">
        <v>1215</v>
      </c>
      <c r="MD2" t="s">
        <v>1219</v>
      </c>
      <c r="ME2" t="s">
        <v>1222</v>
      </c>
      <c r="MF2" t="s">
        <v>1226</v>
      </c>
      <c r="MG2" t="s">
        <v>1209</v>
      </c>
      <c r="MH2" t="s">
        <v>1231</v>
      </c>
      <c r="MI2" t="s">
        <v>1234</v>
      </c>
      <c r="MJ2" t="s">
        <v>1237</v>
      </c>
      <c r="MK2" t="s">
        <v>1240</v>
      </c>
      <c r="ML2" t="s">
        <v>1243</v>
      </c>
      <c r="MM2" t="s">
        <v>654</v>
      </c>
      <c r="MN2" t="s">
        <v>946</v>
      </c>
      <c r="MO2" t="s">
        <v>1252</v>
      </c>
      <c r="MP2" t="s">
        <v>931</v>
      </c>
      <c r="MQ2" t="s">
        <v>1153</v>
      </c>
      <c r="MR2" t="s">
        <v>1261</v>
      </c>
      <c r="MS2" t="s">
        <v>895</v>
      </c>
      <c r="MT2" t="s">
        <v>1268</v>
      </c>
      <c r="MU2" t="s">
        <v>494</v>
      </c>
      <c r="MV2" t="s">
        <v>1274</v>
      </c>
      <c r="MW2" t="s">
        <v>1278</v>
      </c>
      <c r="MX2" t="s">
        <v>1280</v>
      </c>
      <c r="MY2" t="s">
        <v>634</v>
      </c>
      <c r="MZ2" t="s">
        <v>1286</v>
      </c>
      <c r="NA2" t="s">
        <v>1290</v>
      </c>
      <c r="NB2" t="s">
        <v>385</v>
      </c>
      <c r="NC2" t="s">
        <v>911</v>
      </c>
      <c r="ND2" t="s">
        <v>474</v>
      </c>
      <c r="NE2" t="s">
        <v>1301</v>
      </c>
      <c r="NF2" t="s">
        <v>546</v>
      </c>
      <c r="NG2" t="s">
        <v>538</v>
      </c>
      <c r="NH2" t="s">
        <v>1310</v>
      </c>
      <c r="NI2" t="s">
        <v>271</v>
      </c>
      <c r="NJ2" t="s">
        <v>1317</v>
      </c>
      <c r="NK2" t="s">
        <v>1320</v>
      </c>
      <c r="NL2" t="s">
        <v>31</v>
      </c>
      <c r="NM2" t="s">
        <v>343</v>
      </c>
      <c r="NN2" t="s">
        <v>1330</v>
      </c>
      <c r="NO2" t="s">
        <v>1334</v>
      </c>
      <c r="NP2" t="s">
        <v>1153</v>
      </c>
      <c r="NQ2" t="s">
        <v>924</v>
      </c>
      <c r="NR2" t="s">
        <v>262</v>
      </c>
      <c r="NS2" t="s">
        <v>886</v>
      </c>
      <c r="NT2" t="s">
        <v>1350</v>
      </c>
      <c r="NU2" t="s">
        <v>672</v>
      </c>
      <c r="NV2" t="s">
        <v>898</v>
      </c>
      <c r="NW2" t="s">
        <v>886</v>
      </c>
      <c r="NX2" t="s">
        <v>1362</v>
      </c>
      <c r="NY2" t="s">
        <v>1226</v>
      </c>
      <c r="NZ2" t="s">
        <v>1234</v>
      </c>
      <c r="OA2" t="s">
        <v>449</v>
      </c>
      <c r="OB2" t="s">
        <v>226</v>
      </c>
      <c r="OC2" t="s">
        <v>1373</v>
      </c>
      <c r="OD2" t="s">
        <v>1375</v>
      </c>
      <c r="OE2" t="s">
        <v>1378</v>
      </c>
      <c r="OF2" t="s">
        <v>1380</v>
      </c>
      <c r="OG2" t="s">
        <v>1384</v>
      </c>
      <c r="OH2" t="s">
        <v>1388</v>
      </c>
      <c r="OI2" t="s">
        <v>1392</v>
      </c>
      <c r="OJ2" t="s">
        <v>467</v>
      </c>
      <c r="OK2" t="s">
        <v>107</v>
      </c>
      <c r="OL2" t="s">
        <v>1398</v>
      </c>
      <c r="OM2" t="s">
        <v>804</v>
      </c>
      <c r="ON2" t="s">
        <v>1286</v>
      </c>
      <c r="OO2" t="s">
        <v>1388</v>
      </c>
      <c r="OP2" t="s">
        <v>181</v>
      </c>
      <c r="OQ2" t="s">
        <v>1413</v>
      </c>
      <c r="OR2" t="s">
        <v>1416</v>
      </c>
      <c r="OS2" t="s">
        <v>1151</v>
      </c>
      <c r="OT2" t="s">
        <v>893</v>
      </c>
      <c r="OU2" t="s">
        <v>1426</v>
      </c>
      <c r="OV2" t="s">
        <v>1430</v>
      </c>
      <c r="OW2" t="s">
        <v>501</v>
      </c>
      <c r="OX2" t="s">
        <v>1437</v>
      </c>
      <c r="OY2" t="s">
        <v>1440</v>
      </c>
      <c r="OZ2" t="s">
        <v>756</v>
      </c>
      <c r="PA2" t="s">
        <v>1445</v>
      </c>
      <c r="PB2" t="s">
        <v>449</v>
      </c>
      <c r="PC2" t="s">
        <v>1451</v>
      </c>
      <c r="PD2" t="s">
        <v>295</v>
      </c>
      <c r="PE2" t="s">
        <v>630</v>
      </c>
      <c r="PF2" t="s">
        <v>267</v>
      </c>
      <c r="PG2" t="s">
        <v>1462</v>
      </c>
      <c r="PH2" t="s">
        <v>1286</v>
      </c>
      <c r="PI2" t="s">
        <v>650</v>
      </c>
      <c r="PJ2" t="s">
        <v>1471</v>
      </c>
      <c r="PK2" t="s">
        <v>1473</v>
      </c>
      <c r="PL2" t="s">
        <v>773</v>
      </c>
      <c r="PM2" t="s">
        <v>1480</v>
      </c>
      <c r="PN2" t="s">
        <v>1484</v>
      </c>
      <c r="PO2" t="s">
        <v>359</v>
      </c>
      <c r="PP2" t="s">
        <v>1488</v>
      </c>
      <c r="PQ2" t="s">
        <v>1491</v>
      </c>
      <c r="PR2" t="s">
        <v>601</v>
      </c>
      <c r="PS2" t="s">
        <v>1204</v>
      </c>
      <c r="PT2" t="s">
        <v>1501</v>
      </c>
      <c r="PU2" t="s">
        <v>1504</v>
      </c>
      <c r="PV2" t="s">
        <v>355</v>
      </c>
      <c r="PW2" t="s">
        <v>437</v>
      </c>
      <c r="PX2" t="s">
        <v>1511</v>
      </c>
      <c r="PY2" t="s">
        <v>1430</v>
      </c>
      <c r="PZ2" t="s">
        <v>1015</v>
      </c>
      <c r="QA2" t="s">
        <v>1517</v>
      </c>
      <c r="QB2" t="s">
        <v>898</v>
      </c>
      <c r="QC2" t="s">
        <v>1522</v>
      </c>
      <c r="QD2" t="s">
        <v>464</v>
      </c>
      <c r="QE2" t="s">
        <v>1480</v>
      </c>
      <c r="QF2" t="s">
        <v>1530</v>
      </c>
      <c r="QG2" t="s">
        <v>89</v>
      </c>
      <c r="QH2" t="s">
        <v>1535</v>
      </c>
      <c r="QI2" t="s">
        <v>1537</v>
      </c>
      <c r="QJ2" t="s">
        <v>1541</v>
      </c>
      <c r="QK2" t="s">
        <v>1231</v>
      </c>
      <c r="QL2" t="s">
        <v>1398</v>
      </c>
      <c r="QM2" t="s">
        <v>1501</v>
      </c>
      <c r="QN2" t="s">
        <v>1549</v>
      </c>
      <c r="QO2" t="s">
        <v>1552</v>
      </c>
      <c r="QP2" t="s">
        <v>1556</v>
      </c>
      <c r="QQ2" t="s">
        <v>1392</v>
      </c>
      <c r="QR2" t="s">
        <v>1562</v>
      </c>
      <c r="QS2" t="s">
        <v>1565</v>
      </c>
      <c r="QT2" t="s">
        <v>1317</v>
      </c>
      <c r="QU2" t="s">
        <v>687</v>
      </c>
      <c r="QV2" t="s">
        <v>557</v>
      </c>
      <c r="QW2" t="s">
        <v>1215</v>
      </c>
      <c r="QX2" t="s">
        <v>1578</v>
      </c>
      <c r="QY2" t="s">
        <v>534</v>
      </c>
      <c r="QZ2" t="s">
        <v>461</v>
      </c>
      <c r="RA2" t="s">
        <v>53</v>
      </c>
      <c r="RB2" t="s">
        <v>1587</v>
      </c>
      <c r="RC2" t="s">
        <v>397</v>
      </c>
      <c r="RD2" t="s">
        <v>1593</v>
      </c>
      <c r="RE2" t="s">
        <v>1597</v>
      </c>
      <c r="RF2" t="s">
        <v>134</v>
      </c>
      <c r="RG2" t="s">
        <v>1151</v>
      </c>
      <c r="RH2" t="s">
        <v>873</v>
      </c>
      <c r="RI2" t="s">
        <v>181</v>
      </c>
      <c r="RJ2" t="s">
        <v>89</v>
      </c>
      <c r="RK2" t="s">
        <v>1317</v>
      </c>
      <c r="RL2" t="s">
        <v>1151</v>
      </c>
      <c r="RM2" t="s">
        <v>1617</v>
      </c>
      <c r="RN2" t="s">
        <v>271</v>
      </c>
      <c r="RO2" t="s">
        <v>1240</v>
      </c>
      <c r="RP2" t="s">
        <v>1626</v>
      </c>
      <c r="RQ2" t="s">
        <v>1629</v>
      </c>
      <c r="RR2" t="s">
        <v>1633</v>
      </c>
      <c r="RS2" t="s">
        <v>210</v>
      </c>
      <c r="RT2" t="s">
        <v>1638</v>
      </c>
      <c r="RU2" t="s">
        <v>1157</v>
      </c>
      <c r="RV2" t="s">
        <v>1209</v>
      </c>
      <c r="RW2" t="s">
        <v>1645</v>
      </c>
      <c r="RX2" t="s">
        <v>185</v>
      </c>
      <c r="RY2" t="s">
        <v>1650</v>
      </c>
      <c r="RZ2" t="s">
        <v>1653</v>
      </c>
      <c r="SA2" t="s">
        <v>359</v>
      </c>
      <c r="SB2" t="s">
        <v>1660</v>
      </c>
      <c r="SC2" t="s">
        <v>706</v>
      </c>
      <c r="SD2" t="s">
        <v>1667</v>
      </c>
      <c r="SE2" t="s">
        <v>1593</v>
      </c>
      <c r="SF2" t="s">
        <v>586</v>
      </c>
      <c r="SG2" t="s">
        <v>1677</v>
      </c>
      <c r="SH2" t="s">
        <v>1680</v>
      </c>
      <c r="SI2" t="s">
        <v>1190</v>
      </c>
      <c r="SJ2" t="s">
        <v>1684</v>
      </c>
      <c r="SK2" t="s">
        <v>1686</v>
      </c>
      <c r="SL2" t="s">
        <v>1690</v>
      </c>
      <c r="SM2" t="s">
        <v>287</v>
      </c>
      <c r="SN2" t="s">
        <v>1695</v>
      </c>
      <c r="SO2" t="s">
        <v>862</v>
      </c>
      <c r="SP2" t="s">
        <v>668</v>
      </c>
      <c r="SQ2" t="s">
        <v>1186</v>
      </c>
      <c r="SR2" t="s">
        <v>526</v>
      </c>
      <c r="SS2" t="s">
        <v>197</v>
      </c>
      <c r="ST2" t="s">
        <v>1578</v>
      </c>
      <c r="SU2" t="s">
        <v>844</v>
      </c>
      <c r="SV2" t="s">
        <v>1712</v>
      </c>
      <c r="SW2" t="s">
        <v>1011</v>
      </c>
      <c r="SX2" t="s">
        <v>1717</v>
      </c>
      <c r="SY2" t="s">
        <v>31</v>
      </c>
      <c r="SZ2" t="s">
        <v>1723</v>
      </c>
      <c r="TA2" t="s">
        <v>654</v>
      </c>
      <c r="TB2" t="s">
        <v>1252</v>
      </c>
      <c r="TC2" t="s">
        <v>1730</v>
      </c>
      <c r="TD2" t="s">
        <v>85</v>
      </c>
      <c r="TE2" t="s">
        <v>1501</v>
      </c>
      <c r="TF2" t="s">
        <v>477</v>
      </c>
      <c r="TG2" t="s">
        <v>1737</v>
      </c>
      <c r="TH2" t="s">
        <v>1741</v>
      </c>
      <c r="TI2" t="s">
        <v>1744</v>
      </c>
      <c r="TJ2" t="s">
        <v>336</v>
      </c>
      <c r="TK2" t="s">
        <v>1006</v>
      </c>
      <c r="TL2" t="s">
        <v>250</v>
      </c>
      <c r="TM2" t="s">
        <v>1753</v>
      </c>
      <c r="TN2" t="s">
        <v>1756</v>
      </c>
      <c r="TO2" t="s">
        <v>1759</v>
      </c>
      <c r="TP2" t="s">
        <v>490</v>
      </c>
      <c r="TQ2" t="s">
        <v>609</v>
      </c>
      <c r="TR2" t="s">
        <v>437</v>
      </c>
      <c r="TS2" t="s">
        <v>1633</v>
      </c>
      <c r="TT2" t="s">
        <v>1770</v>
      </c>
      <c r="TU2" t="s">
        <v>159</v>
      </c>
      <c r="TV2" t="s">
        <v>593</v>
      </c>
      <c r="TW2" t="s">
        <v>1775</v>
      </c>
      <c r="TX2" t="s">
        <v>1565</v>
      </c>
      <c r="TY2" t="s">
        <v>1003</v>
      </c>
      <c r="TZ2" t="s">
        <v>13</v>
      </c>
      <c r="UA2" t="s">
        <v>1006</v>
      </c>
      <c r="UB2" t="s">
        <v>1790</v>
      </c>
      <c r="UC2" t="s">
        <v>80</v>
      </c>
      <c r="UD2" t="s">
        <v>1794</v>
      </c>
      <c r="UE2" t="s">
        <v>301</v>
      </c>
      <c r="UF2" t="s">
        <v>242</v>
      </c>
      <c r="UG2" t="s">
        <v>53</v>
      </c>
      <c r="UH2" t="s">
        <v>978</v>
      </c>
      <c r="UI2" t="s">
        <v>1131</v>
      </c>
      <c r="UJ2" t="s">
        <v>1807</v>
      </c>
      <c r="UK2" t="s">
        <v>1320</v>
      </c>
      <c r="UL2" t="s">
        <v>683</v>
      </c>
      <c r="UM2" t="s">
        <v>1817</v>
      </c>
      <c r="UN2" t="s">
        <v>74</v>
      </c>
      <c r="UO2" t="s">
        <v>1388</v>
      </c>
      <c r="UP2" t="s">
        <v>1822</v>
      </c>
      <c r="UQ2" t="s">
        <v>238</v>
      </c>
      <c r="UR2" t="s">
        <v>1826</v>
      </c>
      <c r="US2" t="s">
        <v>242</v>
      </c>
      <c r="UT2" t="s">
        <v>1831</v>
      </c>
      <c r="UU2" t="s">
        <v>1252</v>
      </c>
      <c r="UV2" t="s">
        <v>1836</v>
      </c>
      <c r="UW2" t="s">
        <v>405</v>
      </c>
      <c r="UX2" t="s">
        <v>1841</v>
      </c>
      <c r="UY2" t="s">
        <v>242</v>
      </c>
      <c r="UZ2" t="s">
        <v>494</v>
      </c>
      <c r="VA2" t="s">
        <v>1847</v>
      </c>
      <c r="VB2" t="s">
        <v>65</v>
      </c>
      <c r="VC2" t="s">
        <v>660</v>
      </c>
      <c r="VD2" t="s">
        <v>589</v>
      </c>
      <c r="VE2" t="s">
        <v>409</v>
      </c>
      <c r="VF2" t="s">
        <v>1860</v>
      </c>
      <c r="VG2" t="s">
        <v>1243</v>
      </c>
      <c r="VH2" t="s">
        <v>1437</v>
      </c>
      <c r="VI2" t="s">
        <v>1867</v>
      </c>
      <c r="VJ2" t="s">
        <v>1753</v>
      </c>
      <c r="VK2" t="s">
        <v>626</v>
      </c>
      <c r="VL2" t="s">
        <v>1876</v>
      </c>
      <c r="VM2" t="s">
        <v>1878</v>
      </c>
      <c r="VN2" t="s">
        <v>214</v>
      </c>
      <c r="VO2" t="s">
        <v>1884</v>
      </c>
      <c r="VP2" t="s">
        <v>1003</v>
      </c>
      <c r="VQ2" t="s">
        <v>654</v>
      </c>
      <c r="VR2" t="s">
        <v>1794</v>
      </c>
      <c r="VS2" t="s">
        <v>1831</v>
      </c>
      <c r="VT2" t="s">
        <v>70</v>
      </c>
      <c r="VU2" t="s">
        <v>1105</v>
      </c>
      <c r="VV2" t="s">
        <v>1578</v>
      </c>
      <c r="VW2" t="s">
        <v>582</v>
      </c>
      <c r="VX2" t="s">
        <v>911</v>
      </c>
      <c r="VY2" t="s">
        <v>1334</v>
      </c>
      <c r="VZ2" t="s">
        <v>753</v>
      </c>
      <c r="WA2" t="s">
        <v>1807</v>
      </c>
      <c r="WB2" t="s">
        <v>1684</v>
      </c>
      <c r="WC2" t="s">
        <v>613</v>
      </c>
      <c r="WD2" t="s">
        <v>1473</v>
      </c>
      <c r="WE2" t="s">
        <v>1690</v>
      </c>
      <c r="WF2" t="s">
        <v>1922</v>
      </c>
      <c r="WG2" t="s">
        <v>1079</v>
      </c>
      <c r="WH2" t="s">
        <v>130</v>
      </c>
      <c r="WI2" t="s">
        <v>474</v>
      </c>
      <c r="WJ2" t="s">
        <v>1039</v>
      </c>
      <c r="WK2" t="s">
        <v>1712</v>
      </c>
      <c r="WL2" t="s">
        <v>1936</v>
      </c>
      <c r="WM2" t="s">
        <v>1940</v>
      </c>
      <c r="WN2" t="s">
        <v>538</v>
      </c>
      <c r="WO2" t="s">
        <v>1946</v>
      </c>
      <c r="WP2" t="s">
        <v>1949</v>
      </c>
      <c r="WQ2" t="s">
        <v>1952</v>
      </c>
      <c r="WR2" t="s">
        <v>898</v>
      </c>
      <c r="WS2" t="s">
        <v>1957</v>
      </c>
      <c r="WT2" t="s">
        <v>1629</v>
      </c>
      <c r="WU2" t="s">
        <v>1131</v>
      </c>
      <c r="WV2" t="s">
        <v>415</v>
      </c>
      <c r="WW2" t="s">
        <v>1965</v>
      </c>
      <c r="WX2" t="s">
        <v>1215</v>
      </c>
      <c r="WY2" t="s">
        <v>412</v>
      </c>
      <c r="WZ2" t="s">
        <v>1973</v>
      </c>
      <c r="XA2" t="s">
        <v>1975</v>
      </c>
      <c r="XB2" t="s">
        <v>483</v>
      </c>
      <c r="XC2" t="s">
        <v>1981</v>
      </c>
      <c r="XD2" t="s">
        <v>873</v>
      </c>
      <c r="XE2" t="s">
        <v>1981</v>
      </c>
      <c r="XF2" t="s">
        <v>699</v>
      </c>
      <c r="XG2" t="s">
        <v>1990</v>
      </c>
      <c r="XH2" t="s">
        <v>519</v>
      </c>
      <c r="XI2" t="s">
        <v>1097</v>
      </c>
      <c r="XJ2" t="s">
        <v>526</v>
      </c>
      <c r="XK2" t="s">
        <v>2002</v>
      </c>
      <c r="XL2" t="s">
        <v>942</v>
      </c>
      <c r="XM2" t="s">
        <v>1388</v>
      </c>
      <c r="XN2" t="s">
        <v>1684</v>
      </c>
      <c r="XO2" t="s">
        <v>1860</v>
      </c>
      <c r="XP2" t="s">
        <v>1537</v>
      </c>
      <c r="XQ2" t="s">
        <v>2013</v>
      </c>
      <c r="XR2" t="s">
        <v>477</v>
      </c>
      <c r="XS2" t="s">
        <v>699</v>
      </c>
      <c r="XT2" t="s">
        <v>107</v>
      </c>
      <c r="XU2" t="s">
        <v>2023</v>
      </c>
      <c r="XV2" t="s">
        <v>2026</v>
      </c>
      <c r="XW2" t="s">
        <v>756</v>
      </c>
      <c r="XX2" t="s">
        <v>859</v>
      </c>
      <c r="XY2" t="s">
        <v>946</v>
      </c>
      <c r="XZ2" t="s">
        <v>2035</v>
      </c>
      <c r="YA2" t="s">
        <v>176</v>
      </c>
      <c r="YB2" t="s">
        <v>756</v>
      </c>
      <c r="YC2" t="s">
        <v>2043</v>
      </c>
      <c r="YD2" t="s">
        <v>467</v>
      </c>
      <c r="YE2" t="s">
        <v>193</v>
      </c>
      <c r="YF2" t="s">
        <v>2049</v>
      </c>
      <c r="YG2" t="s">
        <v>2052</v>
      </c>
      <c r="YH2" t="s">
        <v>904</v>
      </c>
      <c r="YI2" t="s">
        <v>2058</v>
      </c>
      <c r="YJ2" t="s">
        <v>1517</v>
      </c>
      <c r="YK2" t="s">
        <v>534</v>
      </c>
      <c r="YL2" t="s">
        <v>1680</v>
      </c>
      <c r="YM2" t="s">
        <v>2066</v>
      </c>
      <c r="YN2" t="s">
        <v>1388</v>
      </c>
      <c r="YO2" t="s">
        <v>865</v>
      </c>
      <c r="YP2" t="s">
        <v>2072</v>
      </c>
      <c r="YQ2" t="s">
        <v>2075</v>
      </c>
      <c r="YR2" t="s">
        <v>1975</v>
      </c>
      <c r="YS2" t="s">
        <v>163</v>
      </c>
      <c r="YT2" t="s">
        <v>1841</v>
      </c>
      <c r="YU2" t="s">
        <v>422</v>
      </c>
      <c r="YV2" t="s">
        <v>1753</v>
      </c>
      <c r="YW2" t="s">
        <v>2089</v>
      </c>
      <c r="YX2" t="s">
        <v>626</v>
      </c>
      <c r="YY2" t="s">
        <v>324</v>
      </c>
      <c r="YZ2" t="s">
        <v>347</v>
      </c>
      <c r="ZA2" t="s">
        <v>2097</v>
      </c>
      <c r="ZB2" t="s">
        <v>840</v>
      </c>
      <c r="ZC2" t="s">
        <v>2101</v>
      </c>
      <c r="ZD2" t="s">
        <v>80</v>
      </c>
      <c r="ZE2" t="s">
        <v>1817</v>
      </c>
      <c r="ZF2" t="s">
        <v>1541</v>
      </c>
      <c r="ZG2" t="s">
        <v>1517</v>
      </c>
      <c r="ZH2" t="s">
        <v>2112</v>
      </c>
      <c r="ZI2" t="s">
        <v>2115</v>
      </c>
      <c r="ZJ2" t="s">
        <v>742</v>
      </c>
      <c r="ZK2" t="s">
        <v>2121</v>
      </c>
      <c r="ZL2" t="s">
        <v>449</v>
      </c>
      <c r="ZM2" t="s">
        <v>2127</v>
      </c>
      <c r="ZN2" t="s">
        <v>22</v>
      </c>
      <c r="ZO2" t="s">
        <v>1110</v>
      </c>
      <c r="ZP2" t="s">
        <v>2049</v>
      </c>
      <c r="ZQ2" t="s">
        <v>756</v>
      </c>
      <c r="ZR2" t="s">
        <v>267</v>
      </c>
      <c r="ZS2" t="s">
        <v>1587</v>
      </c>
      <c r="ZT2" t="s">
        <v>974</v>
      </c>
      <c r="ZU2" t="s">
        <v>509</v>
      </c>
      <c r="ZV2" t="s">
        <v>2144</v>
      </c>
      <c r="ZW2" t="s">
        <v>1350</v>
      </c>
      <c r="ZX2" t="s">
        <v>1362</v>
      </c>
      <c r="ZY2" t="s">
        <v>2151</v>
      </c>
      <c r="ZZ2" t="s">
        <v>2155</v>
      </c>
      <c r="AAA2" t="s">
        <v>579</v>
      </c>
      <c r="AAB2" t="s">
        <v>756</v>
      </c>
      <c r="AAC2" t="s">
        <v>1775</v>
      </c>
      <c r="AAD2" t="s">
        <v>914</v>
      </c>
      <c r="AAE2" t="s">
        <v>911</v>
      </c>
      <c r="AAF2" t="s">
        <v>2167</v>
      </c>
      <c r="AAG2" t="s">
        <v>2049</v>
      </c>
      <c r="AAH2" t="s">
        <v>377</v>
      </c>
      <c r="AAI2" t="s">
        <v>324</v>
      </c>
      <c r="AAJ2" t="s">
        <v>2177</v>
      </c>
      <c r="AAK2" t="s">
        <v>1234</v>
      </c>
      <c r="AAL2" t="s">
        <v>389</v>
      </c>
      <c r="AAM2" t="s">
        <v>1660</v>
      </c>
      <c r="AAN2" t="s">
        <v>1070</v>
      </c>
      <c r="AAO2" t="s">
        <v>1179</v>
      </c>
      <c r="AAP2" t="s">
        <v>1237</v>
      </c>
      <c r="AAQ2" t="s">
        <v>117</v>
      </c>
      <c r="AAR2" t="s">
        <v>1878</v>
      </c>
      <c r="AAS2" t="s">
        <v>2197</v>
      </c>
      <c r="AAT2" t="s">
        <v>457</v>
      </c>
      <c r="AAU2" t="s">
        <v>393</v>
      </c>
      <c r="AAV2" t="s">
        <v>89</v>
      </c>
      <c r="AAW2" t="s">
        <v>1212</v>
      </c>
      <c r="AAX2" t="s">
        <v>2207</v>
      </c>
      <c r="AAY2" t="s">
        <v>2210</v>
      </c>
      <c r="AAZ2" t="s">
        <v>2212</v>
      </c>
      <c r="ABA2" t="s">
        <v>2207</v>
      </c>
      <c r="ABB2" t="s">
        <v>2216</v>
      </c>
      <c r="ABC2" t="s">
        <v>2220</v>
      </c>
      <c r="ABD2" t="s">
        <v>1717</v>
      </c>
      <c r="ABE2" t="s">
        <v>1097</v>
      </c>
      <c r="ABF2" t="s">
        <v>642</v>
      </c>
      <c r="ABG2" t="s">
        <v>176</v>
      </c>
      <c r="ABH2" t="s">
        <v>381</v>
      </c>
      <c r="ABI2" t="s">
        <v>609</v>
      </c>
      <c r="ABJ2" t="s">
        <v>1373</v>
      </c>
      <c r="ABK2" t="s">
        <v>557</v>
      </c>
      <c r="ABL2" t="s">
        <v>623</v>
      </c>
      <c r="ABM2" t="s">
        <v>2239</v>
      </c>
      <c r="ABN2" t="s">
        <v>2212</v>
      </c>
      <c r="ABO2" t="s">
        <v>370</v>
      </c>
      <c r="ABP2" t="s">
        <v>1153</v>
      </c>
      <c r="ABQ2" t="s">
        <v>1388</v>
      </c>
      <c r="ABR2" t="s">
        <v>2252</v>
      </c>
      <c r="ABS2" t="s">
        <v>1981</v>
      </c>
      <c r="ABT2" t="s">
        <v>74</v>
      </c>
      <c r="ABU2" t="s">
        <v>1058</v>
      </c>
      <c r="ABV2" t="s">
        <v>258</v>
      </c>
      <c r="ABW2" t="s">
        <v>2261</v>
      </c>
      <c r="ABX2" t="s">
        <v>840</v>
      </c>
      <c r="ABY2" t="s">
        <v>1626</v>
      </c>
      <c r="ABZ2" t="s">
        <v>2207</v>
      </c>
      <c r="ACA2" t="s">
        <v>538</v>
      </c>
      <c r="ACB2" t="s">
        <v>601</v>
      </c>
      <c r="ACC2" t="s">
        <v>2273</v>
      </c>
      <c r="ACD2" t="s">
        <v>2276</v>
      </c>
      <c r="ACE2" t="s">
        <v>898</v>
      </c>
      <c r="ACF2" t="s">
        <v>320</v>
      </c>
      <c r="ACG2" t="s">
        <v>1274</v>
      </c>
      <c r="ACH2" t="s">
        <v>931</v>
      </c>
      <c r="ACI2" t="s">
        <v>168</v>
      </c>
      <c r="ACJ2" t="s">
        <v>2002</v>
      </c>
      <c r="ACK2" t="s">
        <v>1173</v>
      </c>
      <c r="ACL2" t="s">
        <v>2294</v>
      </c>
      <c r="ACM2" t="s">
        <v>2296</v>
      </c>
      <c r="ACN2" t="s">
        <v>2298</v>
      </c>
      <c r="ACO2" t="s">
        <v>2301</v>
      </c>
      <c r="ACP2" t="s">
        <v>1617</v>
      </c>
      <c r="ACQ2" t="s">
        <v>2097</v>
      </c>
      <c r="ACR2" t="s">
        <v>1039</v>
      </c>
      <c r="ACS2" t="s">
        <v>238</v>
      </c>
      <c r="ACT2" t="s">
        <v>238</v>
      </c>
      <c r="ACU2" t="s">
        <v>1650</v>
      </c>
      <c r="ACV2" t="s">
        <v>1860</v>
      </c>
      <c r="ACW2" t="s">
        <v>1384</v>
      </c>
      <c r="ACX2" t="s">
        <v>1826</v>
      </c>
      <c r="ACY2" t="s">
        <v>2320</v>
      </c>
      <c r="ACZ2" t="s">
        <v>1373</v>
      </c>
      <c r="ADA2" t="s">
        <v>287</v>
      </c>
      <c r="ADB2" t="s">
        <v>742</v>
      </c>
      <c r="ADC2" t="s">
        <v>672</v>
      </c>
      <c r="ADD2" t="s">
        <v>2329</v>
      </c>
      <c r="ADE2" t="s">
        <v>1660</v>
      </c>
      <c r="ADF2" t="s">
        <v>2049</v>
      </c>
      <c r="ADG2" t="s">
        <v>2336</v>
      </c>
      <c r="ADH2" t="s">
        <v>2339</v>
      </c>
      <c r="ADI2" t="s">
        <v>1113</v>
      </c>
      <c r="ADJ2" t="s">
        <v>1392</v>
      </c>
      <c r="ADK2" t="s">
        <v>2346</v>
      </c>
      <c r="ADL2" t="s">
        <v>557</v>
      </c>
      <c r="ADM2" t="s">
        <v>2352</v>
      </c>
      <c r="ADN2" t="s">
        <v>2355</v>
      </c>
      <c r="ADO2" t="s">
        <v>2359</v>
      </c>
      <c r="ADP2" t="s">
        <v>1234</v>
      </c>
      <c r="ADQ2" t="s">
        <v>1161</v>
      </c>
      <c r="ADR2" t="s">
        <v>1491</v>
      </c>
      <c r="ADS2" t="s">
        <v>477</v>
      </c>
      <c r="ADT2" t="s">
        <v>347</v>
      </c>
      <c r="ADU2" t="s">
        <v>483</v>
      </c>
      <c r="ADV2" t="s">
        <v>1565</v>
      </c>
      <c r="ADW2" t="s">
        <v>283</v>
      </c>
      <c r="ADX2" t="s">
        <v>2378</v>
      </c>
      <c r="ADY2" t="s">
        <v>911</v>
      </c>
      <c r="ADZ2" t="s">
        <v>2382</v>
      </c>
      <c r="AEA2" t="s">
        <v>426</v>
      </c>
      <c r="AEB2" t="s">
        <v>877</v>
      </c>
      <c r="AEC2" t="s">
        <v>844</v>
      </c>
      <c r="AED2" t="s">
        <v>2252</v>
      </c>
      <c r="AEE2" t="s">
        <v>2395</v>
      </c>
      <c r="AEF2" t="s">
        <v>1032</v>
      </c>
      <c r="AEG2" t="s">
        <v>1039</v>
      </c>
      <c r="AEH2" t="s">
        <v>2273</v>
      </c>
      <c r="AEI2" t="s">
        <v>112</v>
      </c>
      <c r="AEJ2" t="s">
        <v>101</v>
      </c>
      <c r="AEK2" t="s">
        <v>1556</v>
      </c>
      <c r="AEL2" t="s">
        <v>1165</v>
      </c>
      <c r="AEM2" t="s">
        <v>2414</v>
      </c>
      <c r="AEN2" t="s">
        <v>728</v>
      </c>
      <c r="AEO2" t="s">
        <v>1079</v>
      </c>
      <c r="AEP2" t="s">
        <v>639</v>
      </c>
      <c r="AEQ2" t="s">
        <v>2423</v>
      </c>
      <c r="AER2" t="s">
        <v>1759</v>
      </c>
      <c r="AES2" t="s">
        <v>1334</v>
      </c>
      <c r="AET2" t="s">
        <v>1209</v>
      </c>
      <c r="AEU2" t="s">
        <v>2155</v>
      </c>
      <c r="AEV2" t="s">
        <v>218</v>
      </c>
      <c r="AEW2" t="s">
        <v>2433</v>
      </c>
      <c r="AEX2" t="s">
        <v>2296</v>
      </c>
      <c r="AEY2" t="s">
        <v>2298</v>
      </c>
      <c r="AEZ2" t="s">
        <v>2441</v>
      </c>
      <c r="AFA2" t="s">
        <v>2445</v>
      </c>
      <c r="AFB2" t="s">
        <v>2448</v>
      </c>
      <c r="AFC2" t="s">
        <v>226</v>
      </c>
      <c r="AFD2" t="s">
        <v>1113</v>
      </c>
      <c r="AFE2" t="s">
        <v>401</v>
      </c>
      <c r="AFF2" t="s">
        <v>2458</v>
      </c>
      <c r="AFG2" t="s">
        <v>2460</v>
      </c>
      <c r="AFH2" t="s">
        <v>2463</v>
      </c>
      <c r="AFI2" t="s">
        <v>946</v>
      </c>
      <c r="AFJ2" t="s">
        <v>1147</v>
      </c>
      <c r="AFK2" t="s">
        <v>433</v>
      </c>
      <c r="AFL2" t="s">
        <v>1867</v>
      </c>
      <c r="AFM2" t="s">
        <v>2052</v>
      </c>
      <c r="AFN2" t="s">
        <v>181</v>
      </c>
      <c r="AFO2" t="s">
        <v>1462</v>
      </c>
      <c r="AFP2" t="s">
        <v>2355</v>
      </c>
      <c r="AFQ2" t="s">
        <v>134</v>
      </c>
      <c r="AFR2" t="s">
        <v>854</v>
      </c>
      <c r="AFS2" t="s">
        <v>2486</v>
      </c>
      <c r="AFT2" t="s">
        <v>2489</v>
      </c>
      <c r="AFU2" t="s">
        <v>1169</v>
      </c>
      <c r="AFV2" t="s">
        <v>2493</v>
      </c>
      <c r="AFW2" t="s">
        <v>1153</v>
      </c>
      <c r="AFX2" t="s">
        <v>1684</v>
      </c>
      <c r="AFY2" t="s">
        <v>2026</v>
      </c>
      <c r="AFZ2" t="s">
        <v>405</v>
      </c>
      <c r="AGA2" t="s">
        <v>445</v>
      </c>
      <c r="AGB2" t="s">
        <v>13</v>
      </c>
      <c r="AGC2" t="s">
        <v>505</v>
      </c>
      <c r="AGD2" t="s">
        <v>1952</v>
      </c>
      <c r="AGE2" t="s">
        <v>2510</v>
      </c>
      <c r="AGF2" t="s">
        <v>1965</v>
      </c>
      <c r="AGG2" t="s">
        <v>1617</v>
      </c>
      <c r="AGH2" t="s">
        <v>1451</v>
      </c>
      <c r="AGI2" t="s">
        <v>1807</v>
      </c>
      <c r="AGJ2" t="s">
        <v>904</v>
      </c>
      <c r="AGK2" t="s">
        <v>2522</v>
      </c>
      <c r="AGL2" t="s">
        <v>2525</v>
      </c>
      <c r="AGM2" t="s">
        <v>2529</v>
      </c>
      <c r="AGN2" t="s">
        <v>1677</v>
      </c>
      <c r="AGO2" t="s">
        <v>324</v>
      </c>
      <c r="AGP2" t="s">
        <v>2336</v>
      </c>
      <c r="AGQ2" t="s">
        <v>1334</v>
      </c>
      <c r="AGR2" t="s">
        <v>2539</v>
      </c>
      <c r="AGS2" t="s">
        <v>1280</v>
      </c>
      <c r="AGT2" t="s">
        <v>1240</v>
      </c>
      <c r="AGU2" t="s">
        <v>2547</v>
      </c>
      <c r="AGV2" t="s">
        <v>1712</v>
      </c>
      <c r="AGW2" t="s">
        <v>1392</v>
      </c>
      <c r="AGX2" t="s">
        <v>2553</v>
      </c>
      <c r="AGY2" t="s">
        <v>1822</v>
      </c>
      <c r="AGZ2" t="s">
        <v>328</v>
      </c>
      <c r="AHA2" t="s">
        <v>1660</v>
      </c>
      <c r="AHB2" t="s">
        <v>1730</v>
      </c>
      <c r="AHC2" t="s">
        <v>1301</v>
      </c>
      <c r="AHD2" t="s">
        <v>664</v>
      </c>
      <c r="AHE2" t="s">
        <v>1362</v>
      </c>
      <c r="AHF2" t="s">
        <v>768</v>
      </c>
      <c r="AHG2" t="s">
        <v>89</v>
      </c>
      <c r="AHH2" t="s">
        <v>1587</v>
      </c>
      <c r="AHI2" t="s">
        <v>1578</v>
      </c>
      <c r="AHJ2" t="s">
        <v>1204</v>
      </c>
      <c r="AHK2" t="s">
        <v>1650</v>
      </c>
      <c r="AHL2" t="s">
        <v>1488</v>
      </c>
      <c r="AHM2" t="s">
        <v>2578</v>
      </c>
      <c r="AHN2" t="s">
        <v>589</v>
      </c>
      <c r="AHO2" t="s">
        <v>2582</v>
      </c>
      <c r="AHP2" t="s">
        <v>1317</v>
      </c>
      <c r="AHQ2" t="s">
        <v>433</v>
      </c>
      <c r="AHR2" t="s">
        <v>218</v>
      </c>
      <c r="AHS2" t="s">
        <v>2590</v>
      </c>
      <c r="AHT2" t="s">
        <v>1952</v>
      </c>
      <c r="AHU2" t="s">
        <v>2595</v>
      </c>
      <c r="AHV2" t="s">
        <v>193</v>
      </c>
      <c r="AHW2" t="s">
        <v>586</v>
      </c>
      <c r="AHX2" t="s">
        <v>865</v>
      </c>
      <c r="AHY2" t="s">
        <v>877</v>
      </c>
      <c r="AHZ2" t="s">
        <v>738</v>
      </c>
      <c r="AIA2" t="s">
        <v>869</v>
      </c>
      <c r="AIB2" t="s">
        <v>1638</v>
      </c>
      <c r="AIC2" t="s">
        <v>1484</v>
      </c>
      <c r="AID2" t="s">
        <v>1194</v>
      </c>
      <c r="AIE2" t="s">
        <v>437</v>
      </c>
      <c r="AIF2" t="s">
        <v>1633</v>
      </c>
      <c r="AIG2" t="s">
        <v>2378</v>
      </c>
      <c r="AIH2" t="s">
        <v>254</v>
      </c>
      <c r="AII2" t="s">
        <v>2621</v>
      </c>
      <c r="AIJ2" t="s">
        <v>2625</v>
      </c>
      <c r="AIK2" t="s">
        <v>542</v>
      </c>
      <c r="AIL2" t="s">
        <v>2628</v>
      </c>
      <c r="AIM2" t="s">
        <v>823</v>
      </c>
      <c r="AIN2" t="s">
        <v>654</v>
      </c>
      <c r="AIO2" t="s">
        <v>1231</v>
      </c>
      <c r="AIP2" t="s">
        <v>1097</v>
      </c>
      <c r="AIQ2" t="s">
        <v>2261</v>
      </c>
      <c r="AIR2" t="s">
        <v>2525</v>
      </c>
      <c r="AIS2" t="s">
        <v>336</v>
      </c>
      <c r="AIT2" t="s">
        <v>949</v>
      </c>
      <c r="AIU2" t="s">
        <v>988</v>
      </c>
      <c r="AIV2" t="s">
        <v>125</v>
      </c>
      <c r="AIW2" t="s">
        <v>1680</v>
      </c>
      <c r="AIX2" t="s">
        <v>1375</v>
      </c>
      <c r="AIY2" t="s">
        <v>1110</v>
      </c>
      <c r="AIZ2" t="s">
        <v>1975</v>
      </c>
      <c r="AJA2" t="s">
        <v>1451</v>
      </c>
      <c r="AJB2" t="s">
        <v>2654</v>
      </c>
      <c r="AJC2" t="s">
        <v>1234</v>
      </c>
      <c r="AJD2" t="s">
        <v>2460</v>
      </c>
      <c r="AJE2" t="s">
        <v>2525</v>
      </c>
      <c r="AJF2" t="s">
        <v>1280</v>
      </c>
      <c r="AJG2" t="s">
        <v>794</v>
      </c>
      <c r="AJH2" t="s">
        <v>254</v>
      </c>
      <c r="AJI2" t="s">
        <v>1645</v>
      </c>
      <c r="AJJ2" t="s">
        <v>2665</v>
      </c>
      <c r="AJK2" t="s">
        <v>1222</v>
      </c>
      <c r="AJL2" t="s">
        <v>1626</v>
      </c>
      <c r="AJM2" t="s">
        <v>1981</v>
      </c>
      <c r="AJN2" t="s">
        <v>59</v>
      </c>
      <c r="AJO2" t="s">
        <v>1384</v>
      </c>
      <c r="AJP2" t="s">
        <v>568</v>
      </c>
      <c r="AJQ2" t="s">
        <v>1653</v>
      </c>
      <c r="AJR2" t="s">
        <v>738</v>
      </c>
      <c r="AJS2" t="s">
        <v>1097</v>
      </c>
      <c r="AJT2" t="s">
        <v>1650</v>
      </c>
      <c r="AJU2" t="s">
        <v>1759</v>
      </c>
      <c r="AJV2" t="s">
        <v>2486</v>
      </c>
      <c r="AJW2" t="s">
        <v>2685</v>
      </c>
      <c r="AJX2" t="s">
        <v>1093</v>
      </c>
      <c r="AJY2" t="s">
        <v>2595</v>
      </c>
      <c r="AJZ2" t="s">
        <v>1730</v>
      </c>
      <c r="AKA2" t="s">
        <v>117</v>
      </c>
      <c r="AKB2" t="s">
        <v>2696</v>
      </c>
      <c r="AKC2" t="s">
        <v>630</v>
      </c>
      <c r="AKD2" t="s">
        <v>197</v>
      </c>
      <c r="AKE2" t="s">
        <v>1437</v>
      </c>
      <c r="AKF2" t="s">
        <v>1552</v>
      </c>
      <c r="AKG2" t="s">
        <v>313</v>
      </c>
      <c r="AKH2" t="s">
        <v>1790</v>
      </c>
      <c r="AKI2" t="s">
        <v>893</v>
      </c>
      <c r="AKJ2" t="s">
        <v>1290</v>
      </c>
      <c r="AKK2" t="s">
        <v>2197</v>
      </c>
      <c r="AKL2" t="s">
        <v>1686</v>
      </c>
      <c r="AKM2" t="s">
        <v>2336</v>
      </c>
      <c r="AKN2" t="s">
        <v>197</v>
      </c>
      <c r="AKO2" t="s">
        <v>2719</v>
      </c>
      <c r="AKP2" t="s">
        <v>1753</v>
      </c>
      <c r="AKQ2" t="s">
        <v>564</v>
      </c>
      <c r="AKR2" t="s">
        <v>38</v>
      </c>
      <c r="AKS2" t="s">
        <v>898</v>
      </c>
      <c r="AKT2" t="s">
        <v>1261</v>
      </c>
      <c r="AKU2" t="s">
        <v>1753</v>
      </c>
      <c r="AKV2" t="s">
        <v>1517</v>
      </c>
      <c r="AKW2" t="s">
        <v>412</v>
      </c>
      <c r="AKX2" t="s">
        <v>2628</v>
      </c>
      <c r="AKY2" t="s">
        <v>1680</v>
      </c>
      <c r="AKZ2" t="s">
        <v>279</v>
      </c>
      <c r="ALA2" t="s">
        <v>2395</v>
      </c>
      <c r="ALB2" t="s">
        <v>931</v>
      </c>
      <c r="ALC2" t="s">
        <v>422</v>
      </c>
      <c r="ALD2" t="s">
        <v>141</v>
      </c>
      <c r="ALE2" t="s">
        <v>197</v>
      </c>
      <c r="ALF2" t="s">
        <v>1243</v>
      </c>
      <c r="ALG2" t="s">
        <v>2748</v>
      </c>
      <c r="ALH2" t="s">
        <v>1530</v>
      </c>
      <c r="ALI2" t="s">
        <v>2336</v>
      </c>
      <c r="ALJ2" t="s">
        <v>725</v>
      </c>
      <c r="ALK2" t="s">
        <v>1384</v>
      </c>
      <c r="ALL2" t="s">
        <v>613</v>
      </c>
      <c r="ALM2" t="s">
        <v>530</v>
      </c>
    </row>
    <row r="3" spans="1:1001" ht="29.4" customHeight="1" x14ac:dyDescent="0.3">
      <c r="A3" s="1" t="s">
        <v>2</v>
      </c>
      <c r="B3" t="s">
        <v>14</v>
      </c>
      <c r="C3" t="s">
        <v>23</v>
      </c>
      <c r="D3" t="s">
        <v>32</v>
      </c>
      <c r="E3" t="s">
        <v>39</v>
      </c>
      <c r="F3" t="s">
        <v>46</v>
      </c>
      <c r="G3" t="s">
        <v>54</v>
      </c>
      <c r="H3" t="s">
        <v>60</v>
      </c>
      <c r="I3" t="s">
        <v>66</v>
      </c>
      <c r="J3" t="s">
        <v>71</v>
      </c>
      <c r="K3" t="s">
        <v>75</v>
      </c>
      <c r="L3" t="s">
        <v>81</v>
      </c>
      <c r="M3" t="s">
        <v>86</v>
      </c>
      <c r="N3" t="s">
        <v>90</v>
      </c>
      <c r="O3" t="s">
        <v>23</v>
      </c>
      <c r="P3" t="s">
        <v>98</v>
      </c>
      <c r="Q3" t="s">
        <v>102</v>
      </c>
      <c r="R3" t="s">
        <v>108</v>
      </c>
      <c r="S3" t="s">
        <v>113</v>
      </c>
      <c r="T3" t="s">
        <v>118</v>
      </c>
      <c r="U3" t="s">
        <v>121</v>
      </c>
      <c r="V3" t="s">
        <v>126</v>
      </c>
      <c r="W3" t="s">
        <v>131</v>
      </c>
      <c r="X3" t="s">
        <v>135</v>
      </c>
      <c r="Y3" t="s">
        <v>138</v>
      </c>
      <c r="Z3" t="s">
        <v>142</v>
      </c>
      <c r="AA3" t="s">
        <v>145</v>
      </c>
      <c r="AB3" t="s">
        <v>148</v>
      </c>
      <c r="AC3" t="s">
        <v>152</v>
      </c>
      <c r="AD3" t="s">
        <v>156</v>
      </c>
      <c r="AE3" t="s">
        <v>160</v>
      </c>
      <c r="AF3" t="s">
        <v>164</v>
      </c>
      <c r="AG3" t="s">
        <v>169</v>
      </c>
      <c r="AH3" t="s">
        <v>173</v>
      </c>
      <c r="AI3" t="s">
        <v>177</v>
      </c>
      <c r="AJ3" t="s">
        <v>182</v>
      </c>
      <c r="AK3" t="s">
        <v>186</v>
      </c>
      <c r="AL3" t="s">
        <v>169</v>
      </c>
      <c r="AM3" t="s">
        <v>194</v>
      </c>
      <c r="AN3" t="s">
        <v>198</v>
      </c>
      <c r="AO3" t="s">
        <v>202</v>
      </c>
      <c r="AP3" t="s">
        <v>206</v>
      </c>
      <c r="AQ3" t="s">
        <v>211</v>
      </c>
      <c r="AR3" t="s">
        <v>215</v>
      </c>
      <c r="AS3" t="s">
        <v>219</v>
      </c>
      <c r="AT3" t="s">
        <v>223</v>
      </c>
      <c r="AU3" t="s">
        <v>227</v>
      </c>
      <c r="AV3" t="s">
        <v>231</v>
      </c>
      <c r="AW3" t="s">
        <v>235</v>
      </c>
      <c r="AX3" t="s">
        <v>239</v>
      </c>
      <c r="AY3" t="s">
        <v>243</v>
      </c>
      <c r="AZ3" t="s">
        <v>247</v>
      </c>
      <c r="BA3" t="s">
        <v>251</v>
      </c>
      <c r="BB3" t="s">
        <v>255</v>
      </c>
      <c r="BC3" t="s">
        <v>259</v>
      </c>
      <c r="BD3" t="s">
        <v>263</v>
      </c>
      <c r="BE3" t="s">
        <v>268</v>
      </c>
      <c r="BF3" t="s">
        <v>272</v>
      </c>
      <c r="BG3" t="s">
        <v>276</v>
      </c>
      <c r="BH3" t="s">
        <v>280</v>
      </c>
      <c r="BI3" t="s">
        <v>284</v>
      </c>
      <c r="BJ3" t="s">
        <v>288</v>
      </c>
      <c r="BK3" t="s">
        <v>292</v>
      </c>
      <c r="BL3" t="s">
        <v>268</v>
      </c>
      <c r="BM3" t="s">
        <v>186</v>
      </c>
      <c r="BN3" t="s">
        <v>302</v>
      </c>
      <c r="BO3" t="s">
        <v>306</v>
      </c>
      <c r="BP3" t="s">
        <v>310</v>
      </c>
      <c r="BQ3" t="s">
        <v>314</v>
      </c>
      <c r="BR3" t="s">
        <v>318</v>
      </c>
      <c r="BS3" t="s">
        <v>321</v>
      </c>
      <c r="BT3" t="s">
        <v>325</v>
      </c>
      <c r="BU3" t="s">
        <v>329</v>
      </c>
      <c r="BV3" t="s">
        <v>333</v>
      </c>
      <c r="BW3" t="s">
        <v>337</v>
      </c>
      <c r="BX3" t="s">
        <v>340</v>
      </c>
      <c r="BY3" t="s">
        <v>344</v>
      </c>
      <c r="BZ3" t="s">
        <v>348</v>
      </c>
      <c r="CA3" t="s">
        <v>352</v>
      </c>
      <c r="CB3" t="s">
        <v>356</v>
      </c>
      <c r="CC3" t="s">
        <v>360</v>
      </c>
      <c r="CD3" t="s">
        <v>363</v>
      </c>
      <c r="CE3" t="s">
        <v>367</v>
      </c>
      <c r="CF3" t="s">
        <v>371</v>
      </c>
      <c r="CG3" t="s">
        <v>374</v>
      </c>
      <c r="CH3" t="s">
        <v>378</v>
      </c>
      <c r="CI3" t="s">
        <v>382</v>
      </c>
      <c r="CJ3" t="s">
        <v>386</v>
      </c>
      <c r="CK3" t="s">
        <v>390</v>
      </c>
      <c r="CL3" t="s">
        <v>394</v>
      </c>
      <c r="CM3" t="s">
        <v>398</v>
      </c>
      <c r="CN3" t="s">
        <v>402</v>
      </c>
      <c r="CO3" t="s">
        <v>406</v>
      </c>
      <c r="CP3" t="s">
        <v>352</v>
      </c>
      <c r="CQ3" t="s">
        <v>86</v>
      </c>
      <c r="CR3" t="s">
        <v>416</v>
      </c>
      <c r="CS3" t="s">
        <v>420</v>
      </c>
      <c r="CT3" t="s">
        <v>423</v>
      </c>
      <c r="CU3" t="s">
        <v>427</v>
      </c>
      <c r="CV3" t="s">
        <v>430</v>
      </c>
      <c r="CW3" t="s">
        <v>434</v>
      </c>
      <c r="CX3" t="s">
        <v>438</v>
      </c>
      <c r="CY3" t="s">
        <v>442</v>
      </c>
      <c r="CZ3" t="s">
        <v>446</v>
      </c>
      <c r="DA3" t="s">
        <v>450</v>
      </c>
      <c r="DB3" t="s">
        <v>454</v>
      </c>
      <c r="DC3" t="s">
        <v>458</v>
      </c>
      <c r="DD3" t="s">
        <v>352</v>
      </c>
      <c r="DE3" t="s">
        <v>215</v>
      </c>
      <c r="DF3" t="s">
        <v>468</v>
      </c>
      <c r="DG3" t="s">
        <v>344</v>
      </c>
      <c r="DH3" t="s">
        <v>118</v>
      </c>
      <c r="DI3" t="s">
        <v>478</v>
      </c>
      <c r="DJ3" t="s">
        <v>374</v>
      </c>
      <c r="DK3" t="s">
        <v>337</v>
      </c>
      <c r="DL3" t="s">
        <v>487</v>
      </c>
      <c r="DM3" t="s">
        <v>491</v>
      </c>
      <c r="DN3" t="s">
        <v>495</v>
      </c>
      <c r="DO3" t="s">
        <v>498</v>
      </c>
      <c r="DP3" t="s">
        <v>502</v>
      </c>
      <c r="DQ3" t="s">
        <v>506</v>
      </c>
      <c r="DR3" t="s">
        <v>510</v>
      </c>
      <c r="DS3" t="s">
        <v>513</v>
      </c>
      <c r="DT3" t="s">
        <v>516</v>
      </c>
      <c r="DU3" t="s">
        <v>160</v>
      </c>
      <c r="DV3" t="s">
        <v>523</v>
      </c>
      <c r="DW3" t="s">
        <v>527</v>
      </c>
      <c r="DX3" t="s">
        <v>531</v>
      </c>
      <c r="DY3" t="s">
        <v>535</v>
      </c>
      <c r="DZ3" t="s">
        <v>539</v>
      </c>
      <c r="EA3" t="s">
        <v>543</v>
      </c>
      <c r="EB3" t="s">
        <v>547</v>
      </c>
      <c r="EC3" t="s">
        <v>551</v>
      </c>
      <c r="ED3" t="s">
        <v>554</v>
      </c>
      <c r="EE3" t="s">
        <v>558</v>
      </c>
      <c r="EF3" t="s">
        <v>562</v>
      </c>
      <c r="EG3" t="s">
        <v>565</v>
      </c>
      <c r="EH3" t="s">
        <v>394</v>
      </c>
      <c r="EI3" t="s">
        <v>569</v>
      </c>
      <c r="EJ3" t="s">
        <v>572</v>
      </c>
      <c r="EK3" t="s">
        <v>576</v>
      </c>
      <c r="EL3" t="s">
        <v>580</v>
      </c>
      <c r="EM3" t="s">
        <v>583</v>
      </c>
      <c r="EN3" t="s">
        <v>378</v>
      </c>
      <c r="EO3" t="s">
        <v>590</v>
      </c>
      <c r="EP3" t="s">
        <v>594</v>
      </c>
      <c r="EQ3" t="s">
        <v>598</v>
      </c>
      <c r="ER3" t="s">
        <v>602</v>
      </c>
      <c r="ES3" t="s">
        <v>606</v>
      </c>
      <c r="ET3" t="s">
        <v>610</v>
      </c>
      <c r="EU3" t="s">
        <v>614</v>
      </c>
      <c r="EV3" t="s">
        <v>617</v>
      </c>
      <c r="EW3" t="s">
        <v>620</v>
      </c>
      <c r="EX3" t="s">
        <v>624</v>
      </c>
      <c r="EY3" t="s">
        <v>627</v>
      </c>
      <c r="EZ3" t="s">
        <v>631</v>
      </c>
      <c r="FA3" t="s">
        <v>635</v>
      </c>
      <c r="FB3" t="s">
        <v>637</v>
      </c>
      <c r="FC3" t="s">
        <v>640</v>
      </c>
      <c r="FD3" t="s">
        <v>643</v>
      </c>
      <c r="FE3" t="s">
        <v>647</v>
      </c>
      <c r="FF3" t="s">
        <v>651</v>
      </c>
      <c r="FG3" t="s">
        <v>655</v>
      </c>
      <c r="FH3" t="s">
        <v>516</v>
      </c>
      <c r="FI3" t="s">
        <v>661</v>
      </c>
      <c r="FJ3" t="s">
        <v>665</v>
      </c>
      <c r="FK3" t="s">
        <v>669</v>
      </c>
      <c r="FL3" t="s">
        <v>673</v>
      </c>
      <c r="FM3" t="s">
        <v>677</v>
      </c>
      <c r="FN3" t="s">
        <v>680</v>
      </c>
      <c r="FO3" t="s">
        <v>684</v>
      </c>
      <c r="FP3" t="s">
        <v>688</v>
      </c>
      <c r="FQ3" t="s">
        <v>690</v>
      </c>
      <c r="FR3" t="s">
        <v>693</v>
      </c>
      <c r="FS3" t="s">
        <v>696</v>
      </c>
      <c r="FT3" t="s">
        <v>700</v>
      </c>
      <c r="FU3" t="s">
        <v>704</v>
      </c>
      <c r="FV3" t="s">
        <v>142</v>
      </c>
      <c r="FW3" t="s">
        <v>710</v>
      </c>
      <c r="FX3" t="s">
        <v>713</v>
      </c>
      <c r="FY3" t="s">
        <v>717</v>
      </c>
      <c r="FZ3" t="s">
        <v>720</v>
      </c>
      <c r="GA3" t="s">
        <v>723</v>
      </c>
      <c r="GB3" t="s">
        <v>726</v>
      </c>
      <c r="GC3" t="s">
        <v>620</v>
      </c>
      <c r="GD3" t="s">
        <v>732</v>
      </c>
      <c r="GE3" t="s">
        <v>735</v>
      </c>
      <c r="GF3" t="s">
        <v>739</v>
      </c>
      <c r="GG3" t="s">
        <v>743</v>
      </c>
      <c r="GH3" t="s">
        <v>747</v>
      </c>
      <c r="GI3" t="s">
        <v>627</v>
      </c>
      <c r="GJ3" t="s">
        <v>430</v>
      </c>
      <c r="GK3" t="s">
        <v>757</v>
      </c>
      <c r="GL3" t="s">
        <v>760</v>
      </c>
      <c r="GM3" t="s">
        <v>569</v>
      </c>
      <c r="GN3" t="s">
        <v>765</v>
      </c>
      <c r="GO3" t="s">
        <v>769</v>
      </c>
      <c r="GP3" t="s">
        <v>164</v>
      </c>
      <c r="GQ3" t="s">
        <v>774</v>
      </c>
      <c r="GR3" t="s">
        <v>32</v>
      </c>
      <c r="GS3" t="s">
        <v>781</v>
      </c>
      <c r="GT3" t="s">
        <v>160</v>
      </c>
      <c r="GU3" t="s">
        <v>787</v>
      </c>
      <c r="GV3" t="s">
        <v>791</v>
      </c>
      <c r="GW3" t="s">
        <v>795</v>
      </c>
      <c r="GX3" t="s">
        <v>798</v>
      </c>
      <c r="GY3" t="s">
        <v>801</v>
      </c>
      <c r="GZ3" t="s">
        <v>805</v>
      </c>
      <c r="HA3" t="s">
        <v>808</v>
      </c>
      <c r="HB3" t="s">
        <v>812</v>
      </c>
      <c r="HC3" t="s">
        <v>815</v>
      </c>
      <c r="HD3" t="s">
        <v>817</v>
      </c>
      <c r="HE3" t="s">
        <v>820</v>
      </c>
      <c r="HF3" t="s">
        <v>824</v>
      </c>
      <c r="HG3" t="s">
        <v>828</v>
      </c>
      <c r="HH3" t="s">
        <v>831</v>
      </c>
      <c r="HI3" t="s">
        <v>834</v>
      </c>
      <c r="HJ3" t="s">
        <v>837</v>
      </c>
      <c r="HK3" t="s">
        <v>841</v>
      </c>
      <c r="HL3" t="s">
        <v>845</v>
      </c>
      <c r="HM3" t="s">
        <v>848</v>
      </c>
      <c r="HN3" t="s">
        <v>851</v>
      </c>
      <c r="HO3" t="s">
        <v>450</v>
      </c>
      <c r="HP3" t="s">
        <v>856</v>
      </c>
      <c r="HQ3" t="s">
        <v>340</v>
      </c>
      <c r="HR3" t="s">
        <v>531</v>
      </c>
      <c r="HS3" t="s">
        <v>866</v>
      </c>
      <c r="HT3" t="s">
        <v>870</v>
      </c>
      <c r="HU3" t="s">
        <v>874</v>
      </c>
      <c r="HV3" t="s">
        <v>878</v>
      </c>
      <c r="HW3" t="s">
        <v>881</v>
      </c>
      <c r="HX3" t="s">
        <v>884</v>
      </c>
      <c r="HY3" t="s">
        <v>887</v>
      </c>
      <c r="HZ3" t="s">
        <v>890</v>
      </c>
      <c r="IA3" t="s">
        <v>468</v>
      </c>
      <c r="IB3" t="s">
        <v>896</v>
      </c>
      <c r="IC3" t="s">
        <v>899</v>
      </c>
      <c r="ID3" t="s">
        <v>576</v>
      </c>
      <c r="IE3" t="s">
        <v>905</v>
      </c>
      <c r="IF3" t="s">
        <v>909</v>
      </c>
      <c r="IG3" t="s">
        <v>118</v>
      </c>
      <c r="IH3" t="s">
        <v>915</v>
      </c>
      <c r="II3" t="s">
        <v>918</v>
      </c>
      <c r="IJ3" t="s">
        <v>921</v>
      </c>
      <c r="IK3" t="s">
        <v>925</v>
      </c>
      <c r="IL3" t="s">
        <v>928</v>
      </c>
      <c r="IM3" t="s">
        <v>932</v>
      </c>
      <c r="IN3" t="s">
        <v>935</v>
      </c>
      <c r="IO3" t="s">
        <v>939</v>
      </c>
      <c r="IP3" t="s">
        <v>943</v>
      </c>
      <c r="IQ3" t="s">
        <v>614</v>
      </c>
      <c r="IR3" t="s">
        <v>637</v>
      </c>
      <c r="IS3" t="s">
        <v>950</v>
      </c>
      <c r="IT3" t="s">
        <v>953</v>
      </c>
      <c r="IU3" t="s">
        <v>956</v>
      </c>
      <c r="IV3" t="s">
        <v>959</v>
      </c>
      <c r="IW3" t="s">
        <v>962</v>
      </c>
      <c r="IX3" t="s">
        <v>966</v>
      </c>
      <c r="IY3" t="s">
        <v>186</v>
      </c>
      <c r="IZ3" t="s">
        <v>972</v>
      </c>
      <c r="JA3" t="s">
        <v>975</v>
      </c>
      <c r="JB3" t="s">
        <v>979</v>
      </c>
      <c r="JC3" t="s">
        <v>981</v>
      </c>
      <c r="JD3" t="s">
        <v>984</v>
      </c>
      <c r="JE3" t="s">
        <v>594</v>
      </c>
      <c r="JF3" t="s">
        <v>580</v>
      </c>
      <c r="JG3" t="s">
        <v>992</v>
      </c>
      <c r="JH3" t="s">
        <v>820</v>
      </c>
      <c r="JI3" t="s">
        <v>997</v>
      </c>
      <c r="JJ3" t="s">
        <v>1000</v>
      </c>
      <c r="JK3" t="s">
        <v>1004</v>
      </c>
      <c r="JL3" t="s">
        <v>1007</v>
      </c>
      <c r="JM3" t="s">
        <v>1009</v>
      </c>
      <c r="JN3" t="s">
        <v>1012</v>
      </c>
      <c r="JO3" t="s">
        <v>1016</v>
      </c>
      <c r="JP3" t="s">
        <v>344</v>
      </c>
      <c r="JQ3" t="s">
        <v>1022</v>
      </c>
      <c r="JR3" t="s">
        <v>1026</v>
      </c>
      <c r="JS3" t="s">
        <v>1029</v>
      </c>
      <c r="JT3" t="s">
        <v>66</v>
      </c>
      <c r="JU3" t="s">
        <v>1033</v>
      </c>
      <c r="JV3" t="s">
        <v>1036</v>
      </c>
      <c r="JW3" t="s">
        <v>1040</v>
      </c>
      <c r="JX3" t="s">
        <v>446</v>
      </c>
      <c r="JY3" t="s">
        <v>1046</v>
      </c>
      <c r="JZ3" t="s">
        <v>1049</v>
      </c>
      <c r="KA3" t="s">
        <v>1053</v>
      </c>
      <c r="KB3" t="s">
        <v>1055</v>
      </c>
      <c r="KC3" t="s">
        <v>1059</v>
      </c>
      <c r="KD3" t="s">
        <v>1062</v>
      </c>
      <c r="KE3" t="s">
        <v>1065</v>
      </c>
      <c r="KF3" t="s">
        <v>1068</v>
      </c>
      <c r="KG3" t="s">
        <v>688</v>
      </c>
      <c r="KH3" t="s">
        <v>1073</v>
      </c>
      <c r="KI3" t="s">
        <v>1076</v>
      </c>
      <c r="KJ3" t="s">
        <v>1080</v>
      </c>
      <c r="KK3" t="s">
        <v>624</v>
      </c>
      <c r="KL3" t="s">
        <v>1084</v>
      </c>
      <c r="KM3" t="s">
        <v>1087</v>
      </c>
      <c r="KN3" t="s">
        <v>1090</v>
      </c>
      <c r="KO3" t="s">
        <v>1094</v>
      </c>
      <c r="KP3" t="s">
        <v>1098</v>
      </c>
      <c r="KQ3" t="s">
        <v>1101</v>
      </c>
      <c r="KR3" t="s">
        <v>263</v>
      </c>
      <c r="KS3" t="s">
        <v>1106</v>
      </c>
      <c r="KT3" t="s">
        <v>402</v>
      </c>
      <c r="KU3" t="s">
        <v>1111</v>
      </c>
      <c r="KV3" t="s">
        <v>617</v>
      </c>
      <c r="KW3" t="s">
        <v>1116</v>
      </c>
      <c r="KX3" t="s">
        <v>1120</v>
      </c>
      <c r="KY3" t="s">
        <v>1123</v>
      </c>
      <c r="KZ3" t="s">
        <v>1126</v>
      </c>
      <c r="LA3" t="s">
        <v>1128</v>
      </c>
      <c r="LB3" t="s">
        <v>1132</v>
      </c>
      <c r="LC3" t="s">
        <v>572</v>
      </c>
      <c r="LD3" t="s">
        <v>1136</v>
      </c>
      <c r="LE3" t="s">
        <v>1139</v>
      </c>
      <c r="LF3" t="s">
        <v>1142</v>
      </c>
      <c r="LG3" t="s">
        <v>1144</v>
      </c>
      <c r="LH3" t="s">
        <v>1148</v>
      </c>
      <c r="LI3" t="s">
        <v>420</v>
      </c>
      <c r="LJ3" t="s">
        <v>1154</v>
      </c>
      <c r="LK3" t="s">
        <v>1158</v>
      </c>
      <c r="LL3" t="s">
        <v>1162</v>
      </c>
      <c r="LM3" t="s">
        <v>1166</v>
      </c>
      <c r="LN3" t="s">
        <v>1170</v>
      </c>
      <c r="LO3" t="s">
        <v>760</v>
      </c>
      <c r="LP3" t="s">
        <v>1176</v>
      </c>
      <c r="LQ3" t="s">
        <v>1029</v>
      </c>
      <c r="LR3" t="s">
        <v>1182</v>
      </c>
      <c r="LS3" t="s">
        <v>1184</v>
      </c>
      <c r="LT3" t="s">
        <v>1187</v>
      </c>
      <c r="LU3" t="s">
        <v>1191</v>
      </c>
      <c r="LV3" t="s">
        <v>1195</v>
      </c>
      <c r="LW3" t="s">
        <v>1198</v>
      </c>
      <c r="LX3" t="s">
        <v>1201</v>
      </c>
      <c r="LY3" t="s">
        <v>1205</v>
      </c>
      <c r="LZ3" t="s">
        <v>1016</v>
      </c>
      <c r="MA3" t="s">
        <v>972</v>
      </c>
      <c r="MB3" t="s">
        <v>959</v>
      </c>
      <c r="MC3" t="s">
        <v>1216</v>
      </c>
      <c r="MD3" t="s">
        <v>943</v>
      </c>
      <c r="ME3" t="s">
        <v>1223</v>
      </c>
      <c r="MF3" t="s">
        <v>442</v>
      </c>
      <c r="MG3" t="s">
        <v>1228</v>
      </c>
      <c r="MH3" t="s">
        <v>1232</v>
      </c>
      <c r="MI3" t="s">
        <v>1235</v>
      </c>
      <c r="MJ3" t="s">
        <v>356</v>
      </c>
      <c r="MK3" t="s">
        <v>1241</v>
      </c>
      <c r="ML3" t="s">
        <v>1244</v>
      </c>
      <c r="MM3" t="s">
        <v>1247</v>
      </c>
      <c r="MN3" t="s">
        <v>769</v>
      </c>
      <c r="MO3" t="s">
        <v>1253</v>
      </c>
      <c r="MP3" t="s">
        <v>1256</v>
      </c>
      <c r="MQ3" t="s">
        <v>1258</v>
      </c>
      <c r="MR3" t="s">
        <v>1262</v>
      </c>
      <c r="MS3" t="s">
        <v>1265</v>
      </c>
      <c r="MT3" t="s">
        <v>160</v>
      </c>
      <c r="MU3" t="s">
        <v>1271</v>
      </c>
      <c r="MV3" t="s">
        <v>1275</v>
      </c>
      <c r="MW3" t="s">
        <v>726</v>
      </c>
      <c r="MX3" t="s">
        <v>1281</v>
      </c>
      <c r="MY3" t="s">
        <v>673</v>
      </c>
      <c r="MZ3" t="s">
        <v>1287</v>
      </c>
      <c r="NA3" t="s">
        <v>1291</v>
      </c>
      <c r="NB3" t="s">
        <v>1294</v>
      </c>
      <c r="NC3" t="s">
        <v>1296</v>
      </c>
      <c r="ND3" t="s">
        <v>458</v>
      </c>
      <c r="NE3" t="s">
        <v>1302</v>
      </c>
      <c r="NF3" t="s">
        <v>1271</v>
      </c>
      <c r="NG3" t="s">
        <v>1307</v>
      </c>
      <c r="NH3" t="s">
        <v>1311</v>
      </c>
      <c r="NI3" t="s">
        <v>1314</v>
      </c>
      <c r="NJ3" t="s">
        <v>1318</v>
      </c>
      <c r="NK3" t="s">
        <v>1321</v>
      </c>
      <c r="NL3" t="s">
        <v>1324</v>
      </c>
      <c r="NM3" t="s">
        <v>1327</v>
      </c>
      <c r="NN3" t="s">
        <v>1331</v>
      </c>
      <c r="NO3" t="s">
        <v>1335</v>
      </c>
      <c r="NP3" t="s">
        <v>1338</v>
      </c>
      <c r="NQ3" t="s">
        <v>1341</v>
      </c>
      <c r="NR3" t="s">
        <v>1344</v>
      </c>
      <c r="NS3" t="s">
        <v>1347</v>
      </c>
      <c r="NT3" t="s">
        <v>1351</v>
      </c>
      <c r="NU3" t="s">
        <v>1354</v>
      </c>
      <c r="NV3" t="s">
        <v>527</v>
      </c>
      <c r="NW3" t="s">
        <v>1359</v>
      </c>
      <c r="NX3" t="s">
        <v>1363</v>
      </c>
      <c r="NY3" t="s">
        <v>206</v>
      </c>
      <c r="NZ3" t="s">
        <v>1068</v>
      </c>
      <c r="OA3" t="s">
        <v>1369</v>
      </c>
      <c r="OB3" t="s">
        <v>1128</v>
      </c>
      <c r="OC3" t="s">
        <v>781</v>
      </c>
      <c r="OD3" t="s">
        <v>1376</v>
      </c>
      <c r="OE3" t="s">
        <v>647</v>
      </c>
      <c r="OF3" t="s">
        <v>1381</v>
      </c>
      <c r="OG3" t="s">
        <v>1385</v>
      </c>
      <c r="OH3" t="s">
        <v>1389</v>
      </c>
      <c r="OI3" t="s">
        <v>769</v>
      </c>
      <c r="OJ3" t="s">
        <v>1321</v>
      </c>
      <c r="OK3" t="s">
        <v>1395</v>
      </c>
      <c r="OL3" t="s">
        <v>1399</v>
      </c>
      <c r="OM3" t="s">
        <v>1402</v>
      </c>
      <c r="ON3" t="s">
        <v>1404</v>
      </c>
      <c r="OO3" t="s">
        <v>1407</v>
      </c>
      <c r="OP3" t="s">
        <v>1410</v>
      </c>
      <c r="OQ3" t="s">
        <v>953</v>
      </c>
      <c r="OR3" t="s">
        <v>1417</v>
      </c>
      <c r="OS3" t="s">
        <v>1420</v>
      </c>
      <c r="OT3" t="s">
        <v>1423</v>
      </c>
      <c r="OU3" t="s">
        <v>1427</v>
      </c>
      <c r="OV3" t="s">
        <v>1431</v>
      </c>
      <c r="OW3" t="s">
        <v>1434</v>
      </c>
      <c r="OX3" t="s">
        <v>1359</v>
      </c>
      <c r="OY3" t="s">
        <v>54</v>
      </c>
      <c r="OZ3" t="s">
        <v>1443</v>
      </c>
      <c r="PA3" t="s">
        <v>1446</v>
      </c>
      <c r="PB3" t="s">
        <v>1385</v>
      </c>
      <c r="PC3" t="s">
        <v>1452</v>
      </c>
      <c r="PD3" t="s">
        <v>1455</v>
      </c>
      <c r="PE3" t="s">
        <v>1457</v>
      </c>
      <c r="PF3" t="s">
        <v>1460</v>
      </c>
      <c r="PG3" t="s">
        <v>1463</v>
      </c>
      <c r="PH3" t="s">
        <v>1465</v>
      </c>
      <c r="PI3" t="s">
        <v>1468</v>
      </c>
      <c r="PJ3" t="s">
        <v>962</v>
      </c>
      <c r="PK3" t="s">
        <v>1474</v>
      </c>
      <c r="PL3" t="s">
        <v>1477</v>
      </c>
      <c r="PM3" t="s">
        <v>1481</v>
      </c>
      <c r="PN3" t="s">
        <v>1344</v>
      </c>
      <c r="PO3" t="s">
        <v>420</v>
      </c>
      <c r="PP3" t="s">
        <v>1489</v>
      </c>
      <c r="PQ3" t="s">
        <v>1492</v>
      </c>
      <c r="PR3" t="s">
        <v>1495</v>
      </c>
      <c r="PS3" t="s">
        <v>1498</v>
      </c>
      <c r="PT3" t="s">
        <v>1502</v>
      </c>
      <c r="PU3" t="s">
        <v>1505</v>
      </c>
      <c r="PV3" t="s">
        <v>360</v>
      </c>
      <c r="PW3" t="s">
        <v>669</v>
      </c>
      <c r="PX3" t="s">
        <v>801</v>
      </c>
      <c r="PY3" t="s">
        <v>1514</v>
      </c>
      <c r="PZ3" t="s">
        <v>1347</v>
      </c>
      <c r="QA3" t="s">
        <v>1016</v>
      </c>
      <c r="QB3" t="s">
        <v>1520</v>
      </c>
      <c r="QC3" t="s">
        <v>1523</v>
      </c>
      <c r="QD3" t="s">
        <v>1526</v>
      </c>
      <c r="QE3" t="s">
        <v>1528</v>
      </c>
      <c r="QF3" t="s">
        <v>1531</v>
      </c>
      <c r="QG3" t="s">
        <v>1101</v>
      </c>
      <c r="QH3" t="s">
        <v>640</v>
      </c>
      <c r="QI3" t="s">
        <v>1538</v>
      </c>
      <c r="QJ3" t="s">
        <v>1542</v>
      </c>
      <c r="QK3" t="s">
        <v>259</v>
      </c>
      <c r="QL3" t="s">
        <v>558</v>
      </c>
      <c r="QM3" t="s">
        <v>259</v>
      </c>
      <c r="QN3" t="s">
        <v>1550</v>
      </c>
      <c r="QO3" t="s">
        <v>1553</v>
      </c>
      <c r="QP3" t="s">
        <v>1557</v>
      </c>
      <c r="QQ3" t="s">
        <v>1560</v>
      </c>
      <c r="QR3" t="s">
        <v>398</v>
      </c>
      <c r="QS3" t="s">
        <v>1566</v>
      </c>
      <c r="QT3" t="s">
        <v>1568</v>
      </c>
      <c r="QU3" t="s">
        <v>1571</v>
      </c>
      <c r="QV3" t="s">
        <v>1084</v>
      </c>
      <c r="QW3" t="s">
        <v>427</v>
      </c>
      <c r="QX3" t="s">
        <v>815</v>
      </c>
      <c r="QY3" t="s">
        <v>468</v>
      </c>
      <c r="QZ3" t="s">
        <v>1582</v>
      </c>
      <c r="RA3" t="s">
        <v>1584</v>
      </c>
      <c r="RB3" t="s">
        <v>458</v>
      </c>
      <c r="RC3" t="s">
        <v>1590</v>
      </c>
      <c r="RD3" t="s">
        <v>1594</v>
      </c>
      <c r="RE3" t="s">
        <v>1598</v>
      </c>
      <c r="RF3" t="s">
        <v>102</v>
      </c>
      <c r="RG3" t="s">
        <v>1603</v>
      </c>
      <c r="RH3" t="s">
        <v>1605</v>
      </c>
      <c r="RI3" t="s">
        <v>1468</v>
      </c>
      <c r="RJ3" t="s">
        <v>1609</v>
      </c>
      <c r="RK3" t="s">
        <v>1191</v>
      </c>
      <c r="RL3" t="s">
        <v>1614</v>
      </c>
      <c r="RM3" t="s">
        <v>1618</v>
      </c>
      <c r="RN3" t="s">
        <v>1621</v>
      </c>
      <c r="RO3" t="s">
        <v>1623</v>
      </c>
      <c r="RP3" t="s">
        <v>1523</v>
      </c>
      <c r="RQ3" t="s">
        <v>1630</v>
      </c>
      <c r="RR3" t="s">
        <v>1009</v>
      </c>
      <c r="RS3" t="s">
        <v>1635</v>
      </c>
      <c r="RT3" t="s">
        <v>1639</v>
      </c>
      <c r="RU3" t="s">
        <v>1641</v>
      </c>
      <c r="RV3" t="s">
        <v>1062</v>
      </c>
      <c r="RW3" t="s">
        <v>757</v>
      </c>
      <c r="RX3" t="s">
        <v>1648</v>
      </c>
      <c r="RY3" t="s">
        <v>1630</v>
      </c>
      <c r="RZ3" t="s">
        <v>1654</v>
      </c>
      <c r="SA3" t="s">
        <v>1657</v>
      </c>
      <c r="SB3" t="s">
        <v>1661</v>
      </c>
      <c r="SC3" t="s">
        <v>1664</v>
      </c>
      <c r="SD3" t="s">
        <v>1668</v>
      </c>
      <c r="SE3" t="s">
        <v>1671</v>
      </c>
      <c r="SF3" t="s">
        <v>1674</v>
      </c>
      <c r="SG3" t="s">
        <v>1170</v>
      </c>
      <c r="SH3" t="s">
        <v>1681</v>
      </c>
      <c r="SI3" t="s">
        <v>427</v>
      </c>
      <c r="SJ3" t="s">
        <v>992</v>
      </c>
      <c r="SK3" t="s">
        <v>1687</v>
      </c>
      <c r="SL3" t="s">
        <v>928</v>
      </c>
      <c r="SM3" t="s">
        <v>1205</v>
      </c>
      <c r="SN3" t="s">
        <v>434</v>
      </c>
      <c r="SO3" t="s">
        <v>1697</v>
      </c>
      <c r="SP3" t="s">
        <v>98</v>
      </c>
      <c r="SQ3" t="s">
        <v>1701</v>
      </c>
      <c r="SR3" t="s">
        <v>1703</v>
      </c>
      <c r="SS3" t="s">
        <v>992</v>
      </c>
      <c r="ST3" t="s">
        <v>1708</v>
      </c>
      <c r="SU3" t="s">
        <v>1710</v>
      </c>
      <c r="SV3" t="s">
        <v>1106</v>
      </c>
      <c r="SW3" t="s">
        <v>1714</v>
      </c>
      <c r="SX3" t="s">
        <v>1718</v>
      </c>
      <c r="SY3" t="s">
        <v>1721</v>
      </c>
      <c r="SZ3" t="s">
        <v>1302</v>
      </c>
      <c r="TA3" t="s">
        <v>848</v>
      </c>
      <c r="TB3" t="s">
        <v>1727</v>
      </c>
      <c r="TC3" t="s">
        <v>1142</v>
      </c>
      <c r="TD3" t="s">
        <v>1732</v>
      </c>
      <c r="TE3" t="s">
        <v>590</v>
      </c>
      <c r="TF3" t="s">
        <v>1735</v>
      </c>
      <c r="TG3" t="s">
        <v>1738</v>
      </c>
      <c r="TH3" t="s">
        <v>1742</v>
      </c>
      <c r="TI3" t="s">
        <v>1745</v>
      </c>
      <c r="TJ3" t="s">
        <v>1748</v>
      </c>
      <c r="TK3" t="s">
        <v>1750</v>
      </c>
      <c r="TL3" t="s">
        <v>896</v>
      </c>
      <c r="TM3" t="s">
        <v>1754</v>
      </c>
      <c r="TN3" t="s">
        <v>1757</v>
      </c>
      <c r="TO3" t="s">
        <v>1760</v>
      </c>
      <c r="TP3" t="s">
        <v>1762</v>
      </c>
      <c r="TQ3" t="s">
        <v>1764</v>
      </c>
      <c r="TR3" t="s">
        <v>1766</v>
      </c>
      <c r="TS3" t="s">
        <v>1768</v>
      </c>
      <c r="TT3" t="s">
        <v>1771</v>
      </c>
      <c r="TU3" t="s">
        <v>138</v>
      </c>
      <c r="TV3" t="s">
        <v>569</v>
      </c>
      <c r="TW3" t="s">
        <v>1776</v>
      </c>
      <c r="TX3" t="s">
        <v>1779</v>
      </c>
      <c r="TY3" t="s">
        <v>1026</v>
      </c>
      <c r="TZ3" t="s">
        <v>1784</v>
      </c>
      <c r="UA3" t="s">
        <v>1787</v>
      </c>
      <c r="UB3" t="s">
        <v>1791</v>
      </c>
      <c r="UC3" t="s">
        <v>1068</v>
      </c>
      <c r="UD3" t="s">
        <v>1795</v>
      </c>
      <c r="UE3" t="s">
        <v>617</v>
      </c>
      <c r="UF3" t="s">
        <v>1799</v>
      </c>
      <c r="UG3" t="s">
        <v>1648</v>
      </c>
      <c r="UH3" t="s">
        <v>1803</v>
      </c>
      <c r="UI3" t="s">
        <v>1805</v>
      </c>
      <c r="UJ3" t="s">
        <v>1808</v>
      </c>
      <c r="UK3" t="s">
        <v>1811</v>
      </c>
      <c r="UL3" t="s">
        <v>1814</v>
      </c>
      <c r="UM3" t="s">
        <v>673</v>
      </c>
      <c r="UN3" t="s">
        <v>1489</v>
      </c>
      <c r="UO3" t="s">
        <v>824</v>
      </c>
      <c r="UP3" t="s">
        <v>1823</v>
      </c>
      <c r="UQ3" t="s">
        <v>1281</v>
      </c>
      <c r="UR3" t="s">
        <v>1162</v>
      </c>
      <c r="US3" t="s">
        <v>1829</v>
      </c>
      <c r="UT3" t="s">
        <v>1832</v>
      </c>
      <c r="UU3" t="s">
        <v>402</v>
      </c>
      <c r="UV3" t="s">
        <v>1603</v>
      </c>
      <c r="UW3" t="s">
        <v>1838</v>
      </c>
      <c r="UX3" t="s">
        <v>554</v>
      </c>
      <c r="UY3" t="s">
        <v>1844</v>
      </c>
      <c r="UZ3" t="s">
        <v>981</v>
      </c>
      <c r="VA3" t="s">
        <v>1848</v>
      </c>
      <c r="VB3" t="s">
        <v>1598</v>
      </c>
      <c r="VC3" t="s">
        <v>1853</v>
      </c>
      <c r="VD3" t="s">
        <v>1855</v>
      </c>
      <c r="VE3" t="s">
        <v>1858</v>
      </c>
      <c r="VF3" t="s">
        <v>834</v>
      </c>
      <c r="VG3" t="s">
        <v>1863</v>
      </c>
      <c r="VH3" t="s">
        <v>1557</v>
      </c>
      <c r="VI3" t="s">
        <v>1868</v>
      </c>
      <c r="VJ3" t="s">
        <v>1871</v>
      </c>
      <c r="VK3" t="s">
        <v>1710</v>
      </c>
      <c r="VL3" t="s">
        <v>310</v>
      </c>
      <c r="VM3" t="s">
        <v>1808</v>
      </c>
      <c r="VN3" t="s">
        <v>1881</v>
      </c>
      <c r="VO3" t="s">
        <v>1407</v>
      </c>
      <c r="VP3" t="s">
        <v>1664</v>
      </c>
      <c r="VQ3" t="s">
        <v>824</v>
      </c>
      <c r="VR3" t="s">
        <v>1046</v>
      </c>
      <c r="VS3" t="s">
        <v>1891</v>
      </c>
      <c r="VT3" t="s">
        <v>1894</v>
      </c>
      <c r="VU3" t="s">
        <v>14</v>
      </c>
      <c r="VV3" t="s">
        <v>1898</v>
      </c>
      <c r="VW3" t="s">
        <v>1901</v>
      </c>
      <c r="VX3" t="s">
        <v>1904</v>
      </c>
      <c r="VY3" t="s">
        <v>1907</v>
      </c>
      <c r="VZ3" t="s">
        <v>1910</v>
      </c>
      <c r="WA3" t="s">
        <v>1913</v>
      </c>
      <c r="WB3" t="s">
        <v>696</v>
      </c>
      <c r="WC3" t="s">
        <v>1917</v>
      </c>
      <c r="WD3" t="s">
        <v>1080</v>
      </c>
      <c r="WE3" t="s">
        <v>1327</v>
      </c>
      <c r="WF3" t="s">
        <v>1923</v>
      </c>
      <c r="WG3" t="s">
        <v>1258</v>
      </c>
      <c r="WH3" t="s">
        <v>513</v>
      </c>
      <c r="WI3" t="s">
        <v>1930</v>
      </c>
      <c r="WJ3" t="s">
        <v>801</v>
      </c>
      <c r="WK3" t="s">
        <v>1933</v>
      </c>
      <c r="WL3" t="s">
        <v>1937</v>
      </c>
      <c r="WM3" t="s">
        <v>1941</v>
      </c>
      <c r="WN3" t="s">
        <v>624</v>
      </c>
      <c r="WO3" t="s">
        <v>1947</v>
      </c>
      <c r="WP3" t="s">
        <v>1950</v>
      </c>
      <c r="WQ3" t="s">
        <v>1953</v>
      </c>
      <c r="WR3" t="s">
        <v>943</v>
      </c>
      <c r="WS3" t="s">
        <v>739</v>
      </c>
      <c r="WT3" t="s">
        <v>1335</v>
      </c>
      <c r="WU3" t="s">
        <v>1265</v>
      </c>
      <c r="WV3" t="s">
        <v>1963</v>
      </c>
      <c r="WW3" t="s">
        <v>1814</v>
      </c>
      <c r="WX3" t="s">
        <v>1968</v>
      </c>
      <c r="WY3" t="s">
        <v>1971</v>
      </c>
      <c r="WZ3" t="s">
        <v>54</v>
      </c>
      <c r="XA3" t="s">
        <v>1976</v>
      </c>
      <c r="XB3" t="s">
        <v>1978</v>
      </c>
      <c r="XC3" t="s">
        <v>1982</v>
      </c>
      <c r="XD3" t="s">
        <v>590</v>
      </c>
      <c r="XE3" t="s">
        <v>1986</v>
      </c>
      <c r="XF3" t="s">
        <v>1811</v>
      </c>
      <c r="XG3" t="s">
        <v>1991</v>
      </c>
      <c r="XH3" t="s">
        <v>1994</v>
      </c>
      <c r="XI3" t="s">
        <v>1997</v>
      </c>
      <c r="XJ3" t="s">
        <v>2000</v>
      </c>
      <c r="XK3" t="s">
        <v>2003</v>
      </c>
      <c r="XL3" t="s">
        <v>1523</v>
      </c>
      <c r="XM3" t="s">
        <v>2006</v>
      </c>
      <c r="XN3" t="s">
        <v>1223</v>
      </c>
      <c r="XO3" t="s">
        <v>2010</v>
      </c>
      <c r="XP3" t="s">
        <v>939</v>
      </c>
      <c r="XQ3" t="s">
        <v>2014</v>
      </c>
      <c r="XR3" t="s">
        <v>2017</v>
      </c>
      <c r="XS3" t="s">
        <v>2019</v>
      </c>
      <c r="XT3" t="s">
        <v>1697</v>
      </c>
      <c r="XU3" t="s">
        <v>2024</v>
      </c>
      <c r="XV3" t="s">
        <v>206</v>
      </c>
      <c r="XW3" t="s">
        <v>2029</v>
      </c>
      <c r="XX3" t="s">
        <v>321</v>
      </c>
      <c r="XY3" t="s">
        <v>2033</v>
      </c>
      <c r="XZ3" t="s">
        <v>2036</v>
      </c>
      <c r="YA3" t="s">
        <v>2038</v>
      </c>
      <c r="YB3" t="s">
        <v>2041</v>
      </c>
      <c r="YC3" t="s">
        <v>2044</v>
      </c>
      <c r="YD3" t="s">
        <v>959</v>
      </c>
      <c r="YE3" t="s">
        <v>108</v>
      </c>
      <c r="YF3" t="s">
        <v>2050</v>
      </c>
      <c r="YG3" t="s">
        <v>1296</v>
      </c>
      <c r="YH3" t="s">
        <v>2055</v>
      </c>
      <c r="YI3" t="s">
        <v>1668</v>
      </c>
      <c r="YJ3" t="s">
        <v>1223</v>
      </c>
      <c r="YK3" t="s">
        <v>2061</v>
      </c>
      <c r="YL3" t="s">
        <v>2063</v>
      </c>
      <c r="YM3" t="s">
        <v>1007</v>
      </c>
      <c r="YN3" t="s">
        <v>2068</v>
      </c>
      <c r="YO3" t="s">
        <v>333</v>
      </c>
      <c r="YP3" t="s">
        <v>1142</v>
      </c>
      <c r="YQ3" t="s">
        <v>434</v>
      </c>
      <c r="YR3" t="s">
        <v>2078</v>
      </c>
      <c r="YS3" t="s">
        <v>2080</v>
      </c>
      <c r="YT3" t="s">
        <v>450</v>
      </c>
      <c r="YU3" t="s">
        <v>1460</v>
      </c>
      <c r="YV3" t="s">
        <v>2086</v>
      </c>
      <c r="YW3" t="s">
        <v>565</v>
      </c>
      <c r="YX3" t="s">
        <v>2055</v>
      </c>
      <c r="YY3" t="s">
        <v>259</v>
      </c>
      <c r="YZ3" t="s">
        <v>2095</v>
      </c>
      <c r="ZA3" t="s">
        <v>673</v>
      </c>
      <c r="ZB3" t="s">
        <v>2099</v>
      </c>
      <c r="ZC3" t="s">
        <v>2102</v>
      </c>
      <c r="ZD3" t="s">
        <v>398</v>
      </c>
      <c r="ZE3" t="s">
        <v>458</v>
      </c>
      <c r="ZF3" t="s">
        <v>2108</v>
      </c>
      <c r="ZG3" t="s">
        <v>1253</v>
      </c>
      <c r="ZH3" t="s">
        <v>2113</v>
      </c>
      <c r="ZI3" t="s">
        <v>572</v>
      </c>
      <c r="ZJ3" t="s">
        <v>2118</v>
      </c>
      <c r="ZK3" t="s">
        <v>2122</v>
      </c>
      <c r="ZL3" t="s">
        <v>2124</v>
      </c>
      <c r="ZM3" t="s">
        <v>1641</v>
      </c>
      <c r="ZN3" t="s">
        <v>1369</v>
      </c>
      <c r="ZO3" t="s">
        <v>2131</v>
      </c>
      <c r="ZP3" t="s">
        <v>280</v>
      </c>
      <c r="ZQ3" t="s">
        <v>2135</v>
      </c>
      <c r="ZR3" t="s">
        <v>1244</v>
      </c>
      <c r="ZS3" t="s">
        <v>288</v>
      </c>
      <c r="ZT3" t="s">
        <v>2140</v>
      </c>
      <c r="ZU3" t="s">
        <v>1891</v>
      </c>
      <c r="ZV3" t="s">
        <v>2145</v>
      </c>
      <c r="ZW3" t="s">
        <v>1076</v>
      </c>
      <c r="ZX3" t="s">
        <v>2149</v>
      </c>
      <c r="ZY3" t="s">
        <v>2152</v>
      </c>
      <c r="ZZ3" t="s">
        <v>1917</v>
      </c>
      <c r="AAA3" t="s">
        <v>292</v>
      </c>
      <c r="AAB3" t="s">
        <v>2158</v>
      </c>
      <c r="AAC3" t="s">
        <v>1132</v>
      </c>
      <c r="AAD3" t="s">
        <v>866</v>
      </c>
      <c r="AAE3" t="s">
        <v>2164</v>
      </c>
      <c r="AAF3" t="s">
        <v>2168</v>
      </c>
      <c r="AAG3" t="s">
        <v>2170</v>
      </c>
      <c r="AAH3" t="s">
        <v>2172</v>
      </c>
      <c r="AAI3" t="s">
        <v>121</v>
      </c>
      <c r="AAJ3" t="s">
        <v>2178</v>
      </c>
      <c r="AAK3" t="s">
        <v>2180</v>
      </c>
      <c r="AAL3" t="s">
        <v>2183</v>
      </c>
      <c r="AAM3" t="s">
        <v>1630</v>
      </c>
      <c r="AAN3" t="s">
        <v>2187</v>
      </c>
      <c r="AAO3" t="s">
        <v>620</v>
      </c>
      <c r="AAP3" t="s">
        <v>1502</v>
      </c>
      <c r="AAQ3" t="s">
        <v>769</v>
      </c>
      <c r="AAR3" t="s">
        <v>2194</v>
      </c>
      <c r="AAS3" t="s">
        <v>798</v>
      </c>
      <c r="AAT3" t="s">
        <v>640</v>
      </c>
      <c r="AAU3" t="s">
        <v>1455</v>
      </c>
      <c r="AAV3" t="s">
        <v>1708</v>
      </c>
      <c r="AAW3" t="s">
        <v>527</v>
      </c>
      <c r="AAX3" t="s">
        <v>1764</v>
      </c>
      <c r="AAY3" t="s">
        <v>975</v>
      </c>
      <c r="AAZ3" t="s">
        <v>1531</v>
      </c>
      <c r="ABA3" t="s">
        <v>360</v>
      </c>
      <c r="ABB3" t="s">
        <v>2217</v>
      </c>
      <c r="ABC3" t="s">
        <v>704</v>
      </c>
      <c r="ABD3" t="s">
        <v>620</v>
      </c>
      <c r="ABE3" t="s">
        <v>2223</v>
      </c>
      <c r="ABF3" t="s">
        <v>1090</v>
      </c>
      <c r="ABG3" t="s">
        <v>2227</v>
      </c>
      <c r="ABH3" t="s">
        <v>2229</v>
      </c>
      <c r="ABI3" t="s">
        <v>2231</v>
      </c>
      <c r="ABJ3" t="s">
        <v>1779</v>
      </c>
      <c r="ABK3" t="s">
        <v>1087</v>
      </c>
      <c r="ABL3" t="s">
        <v>2236</v>
      </c>
      <c r="ABM3" t="s">
        <v>164</v>
      </c>
      <c r="ABN3" t="s">
        <v>2242</v>
      </c>
      <c r="ABO3" t="s">
        <v>2245</v>
      </c>
      <c r="ABP3" t="s">
        <v>2248</v>
      </c>
      <c r="ABQ3" t="s">
        <v>1495</v>
      </c>
      <c r="ABR3" t="s">
        <v>2253</v>
      </c>
      <c r="ABS3" t="s">
        <v>427</v>
      </c>
      <c r="ABT3" t="s">
        <v>569</v>
      </c>
      <c r="ABU3" t="s">
        <v>1923</v>
      </c>
      <c r="ABV3" t="s">
        <v>647</v>
      </c>
      <c r="ABW3" t="s">
        <v>506</v>
      </c>
      <c r="ABX3" t="s">
        <v>2264</v>
      </c>
      <c r="ABY3" t="s">
        <v>1009</v>
      </c>
      <c r="ABZ3" t="s">
        <v>2267</v>
      </c>
      <c r="ACA3" t="s">
        <v>1721</v>
      </c>
      <c r="ACB3" t="s">
        <v>2270</v>
      </c>
      <c r="ACC3" t="s">
        <v>1327</v>
      </c>
      <c r="ACD3" t="s">
        <v>2277</v>
      </c>
      <c r="ACE3" t="s">
        <v>39</v>
      </c>
      <c r="ACF3" t="s">
        <v>2236</v>
      </c>
      <c r="ACG3" t="s">
        <v>1427</v>
      </c>
      <c r="ACH3" t="s">
        <v>2284</v>
      </c>
      <c r="ACI3" t="s">
        <v>363</v>
      </c>
      <c r="ACJ3" t="s">
        <v>1766</v>
      </c>
      <c r="ACK3" t="s">
        <v>2291</v>
      </c>
      <c r="ACL3" t="s">
        <v>1016</v>
      </c>
      <c r="ACM3" t="s">
        <v>1933</v>
      </c>
      <c r="ACN3" t="s">
        <v>2299</v>
      </c>
      <c r="ACO3" t="s">
        <v>2302</v>
      </c>
      <c r="ACP3" t="s">
        <v>2305</v>
      </c>
      <c r="ACQ3" t="s">
        <v>1022</v>
      </c>
      <c r="ACR3" t="s">
        <v>1369</v>
      </c>
      <c r="ACS3" t="s">
        <v>1937</v>
      </c>
      <c r="ACT3" t="s">
        <v>2311</v>
      </c>
      <c r="ACU3" t="s">
        <v>760</v>
      </c>
      <c r="ACV3" t="s">
        <v>2316</v>
      </c>
      <c r="ACW3" t="s">
        <v>1891</v>
      </c>
      <c r="ACX3" t="s">
        <v>887</v>
      </c>
      <c r="ACY3" t="s">
        <v>2019</v>
      </c>
      <c r="ACZ3" t="s">
        <v>2322</v>
      </c>
      <c r="ADA3" t="s">
        <v>2164</v>
      </c>
      <c r="ADB3" t="s">
        <v>2326</v>
      </c>
      <c r="ADC3" t="s">
        <v>643</v>
      </c>
      <c r="ADD3" t="s">
        <v>1492</v>
      </c>
      <c r="ADE3" t="s">
        <v>2331</v>
      </c>
      <c r="ADF3" t="s">
        <v>1076</v>
      </c>
      <c r="ADG3" t="s">
        <v>2337</v>
      </c>
      <c r="ADH3" t="s">
        <v>2340</v>
      </c>
      <c r="ADI3" t="s">
        <v>1477</v>
      </c>
      <c r="ADJ3" t="s">
        <v>2344</v>
      </c>
      <c r="ADK3" t="s">
        <v>2347</v>
      </c>
      <c r="ADL3" t="s">
        <v>2349</v>
      </c>
      <c r="ADM3" t="s">
        <v>2353</v>
      </c>
      <c r="ADN3" t="s">
        <v>2356</v>
      </c>
      <c r="ADO3" t="s">
        <v>1742</v>
      </c>
      <c r="ADP3" t="s">
        <v>2145</v>
      </c>
      <c r="ADQ3" t="s">
        <v>1963</v>
      </c>
      <c r="ADR3" t="s">
        <v>2363</v>
      </c>
      <c r="ADS3" t="s">
        <v>2366</v>
      </c>
      <c r="ADT3" t="s">
        <v>2369</v>
      </c>
      <c r="ADU3" t="s">
        <v>2371</v>
      </c>
      <c r="ADV3" t="s">
        <v>2373</v>
      </c>
      <c r="ADW3" t="s">
        <v>2375</v>
      </c>
      <c r="ADX3" t="s">
        <v>2299</v>
      </c>
      <c r="ADY3" t="s">
        <v>1557</v>
      </c>
      <c r="ADZ3" t="s">
        <v>2383</v>
      </c>
      <c r="AEA3" t="s">
        <v>2386</v>
      </c>
      <c r="AEB3" t="s">
        <v>206</v>
      </c>
      <c r="AEC3" t="s">
        <v>651</v>
      </c>
      <c r="AED3" t="s">
        <v>925</v>
      </c>
      <c r="AEE3" t="s">
        <v>2396</v>
      </c>
      <c r="AEF3" t="s">
        <v>259</v>
      </c>
      <c r="AEG3" t="s">
        <v>2291</v>
      </c>
      <c r="AEH3" t="s">
        <v>2401</v>
      </c>
      <c r="AEI3" t="s">
        <v>2404</v>
      </c>
      <c r="AEJ3" t="s">
        <v>2407</v>
      </c>
      <c r="AEK3" t="s">
        <v>2409</v>
      </c>
      <c r="AEL3" t="s">
        <v>2412</v>
      </c>
      <c r="AEM3" t="s">
        <v>182</v>
      </c>
      <c r="AEN3" t="s">
        <v>1184</v>
      </c>
      <c r="AEO3" t="s">
        <v>2418</v>
      </c>
      <c r="AEP3" t="s">
        <v>2420</v>
      </c>
      <c r="AEQ3" t="s">
        <v>1808</v>
      </c>
      <c r="AER3" t="s">
        <v>2426</v>
      </c>
      <c r="AES3" t="s">
        <v>223</v>
      </c>
      <c r="AET3" t="s">
        <v>558</v>
      </c>
      <c r="AEU3" t="s">
        <v>1395</v>
      </c>
      <c r="AEV3" t="s">
        <v>321</v>
      </c>
      <c r="AEW3" t="s">
        <v>356</v>
      </c>
      <c r="AEX3" t="s">
        <v>2436</v>
      </c>
      <c r="AEY3" t="s">
        <v>2438</v>
      </c>
      <c r="AEZ3" t="s">
        <v>2442</v>
      </c>
      <c r="AFA3" t="s">
        <v>423</v>
      </c>
      <c r="AFB3" t="s">
        <v>2253</v>
      </c>
      <c r="AFC3" t="s">
        <v>2450</v>
      </c>
      <c r="AFD3" t="s">
        <v>2453</v>
      </c>
      <c r="AFE3" t="s">
        <v>1742</v>
      </c>
      <c r="AFF3" t="s">
        <v>427</v>
      </c>
      <c r="AFG3" t="s">
        <v>2248</v>
      </c>
      <c r="AFH3" t="s">
        <v>2464</v>
      </c>
      <c r="AFI3" t="s">
        <v>1661</v>
      </c>
      <c r="AFJ3" t="s">
        <v>1431</v>
      </c>
      <c r="AFK3" t="s">
        <v>2470</v>
      </c>
      <c r="AFL3" t="s">
        <v>2472</v>
      </c>
      <c r="AFM3" t="s">
        <v>1389</v>
      </c>
      <c r="AFN3" t="s">
        <v>1223</v>
      </c>
      <c r="AFO3" t="s">
        <v>831</v>
      </c>
      <c r="AFP3" t="s">
        <v>2479</v>
      </c>
      <c r="AFQ3" t="s">
        <v>2482</v>
      </c>
      <c r="AFR3" t="s">
        <v>2484</v>
      </c>
      <c r="AFS3" t="s">
        <v>2487</v>
      </c>
      <c r="AFT3" t="s">
        <v>23</v>
      </c>
      <c r="AFU3" t="s">
        <v>329</v>
      </c>
      <c r="AFV3" t="s">
        <v>1327</v>
      </c>
      <c r="AFW3" t="s">
        <v>710</v>
      </c>
      <c r="AFX3" t="s">
        <v>2497</v>
      </c>
      <c r="AFY3" t="s">
        <v>2499</v>
      </c>
      <c r="AFZ3" t="s">
        <v>787</v>
      </c>
      <c r="AGA3" t="s">
        <v>2503</v>
      </c>
      <c r="AGB3" t="s">
        <v>2506</v>
      </c>
      <c r="AGC3" t="s">
        <v>1791</v>
      </c>
      <c r="AGD3" t="s">
        <v>1291</v>
      </c>
      <c r="AGE3" t="s">
        <v>2511</v>
      </c>
      <c r="AGF3" t="s">
        <v>684</v>
      </c>
      <c r="AGG3" t="s">
        <v>2436</v>
      </c>
      <c r="AGH3" t="s">
        <v>186</v>
      </c>
      <c r="AGI3" t="s">
        <v>1710</v>
      </c>
      <c r="AGJ3" t="s">
        <v>1953</v>
      </c>
      <c r="AGK3" t="s">
        <v>2349</v>
      </c>
      <c r="AGL3" t="s">
        <v>2526</v>
      </c>
      <c r="AGM3" t="s">
        <v>710</v>
      </c>
      <c r="AGN3" t="s">
        <v>2531</v>
      </c>
      <c r="AGO3" t="s">
        <v>2534</v>
      </c>
      <c r="AGP3" t="s">
        <v>98</v>
      </c>
      <c r="AGQ3" t="s">
        <v>635</v>
      </c>
      <c r="AGR3" t="s">
        <v>2540</v>
      </c>
      <c r="AGS3" t="s">
        <v>2543</v>
      </c>
      <c r="AGT3" t="s">
        <v>2545</v>
      </c>
      <c r="AGU3" t="s">
        <v>2277</v>
      </c>
      <c r="AGV3" t="s">
        <v>2549</v>
      </c>
      <c r="AGW3" t="s">
        <v>2180</v>
      </c>
      <c r="AGX3" t="s">
        <v>1101</v>
      </c>
      <c r="AGY3" t="s">
        <v>2555</v>
      </c>
      <c r="AGZ3" t="s">
        <v>2464</v>
      </c>
      <c r="AHA3" t="s">
        <v>2305</v>
      </c>
      <c r="AHB3" t="s">
        <v>2086</v>
      </c>
      <c r="AHC3" t="s">
        <v>2561</v>
      </c>
      <c r="AHD3" t="s">
        <v>1614</v>
      </c>
      <c r="AHE3" t="s">
        <v>1941</v>
      </c>
      <c r="AHF3" t="s">
        <v>434</v>
      </c>
      <c r="AHG3" t="s">
        <v>2248</v>
      </c>
      <c r="AHH3" t="s">
        <v>32</v>
      </c>
      <c r="AHI3" t="s">
        <v>1738</v>
      </c>
      <c r="AHJ3" t="s">
        <v>416</v>
      </c>
      <c r="AHK3" t="s">
        <v>1566</v>
      </c>
      <c r="AHL3" t="s">
        <v>539</v>
      </c>
      <c r="AHM3" t="s">
        <v>2095</v>
      </c>
      <c r="AHN3" t="s">
        <v>984</v>
      </c>
      <c r="AHO3" t="s">
        <v>1498</v>
      </c>
      <c r="AHP3" t="s">
        <v>2585</v>
      </c>
      <c r="AHQ3" t="s">
        <v>2068</v>
      </c>
      <c r="AHR3" t="s">
        <v>1265</v>
      </c>
      <c r="AHS3" t="s">
        <v>690</v>
      </c>
      <c r="AHT3" t="s">
        <v>2593</v>
      </c>
      <c r="AHU3" t="s">
        <v>1318</v>
      </c>
      <c r="AHV3" t="s">
        <v>2598</v>
      </c>
      <c r="AHW3" t="s">
        <v>2601</v>
      </c>
      <c r="AHX3" t="s">
        <v>1978</v>
      </c>
      <c r="AHY3" t="s">
        <v>2604</v>
      </c>
      <c r="AHZ3" t="s">
        <v>2606</v>
      </c>
      <c r="AIA3" t="s">
        <v>1481</v>
      </c>
      <c r="AIB3" t="s">
        <v>2487</v>
      </c>
      <c r="AIC3" t="s">
        <v>2610</v>
      </c>
      <c r="AID3" t="s">
        <v>1994</v>
      </c>
      <c r="AIE3" t="s">
        <v>2614</v>
      </c>
      <c r="AIF3" t="s">
        <v>2616</v>
      </c>
      <c r="AIG3" t="s">
        <v>1745</v>
      </c>
      <c r="AIH3" t="s">
        <v>118</v>
      </c>
      <c r="AII3" t="s">
        <v>2622</v>
      </c>
      <c r="AIJ3" t="s">
        <v>909</v>
      </c>
      <c r="AIK3" t="s">
        <v>1799</v>
      </c>
      <c r="AIL3" t="s">
        <v>1474</v>
      </c>
      <c r="AIM3" t="s">
        <v>2014</v>
      </c>
      <c r="AIN3" t="s">
        <v>71</v>
      </c>
      <c r="AIO3" t="s">
        <v>1933</v>
      </c>
      <c r="AIP3" t="s">
        <v>1046</v>
      </c>
      <c r="AIQ3" t="s">
        <v>2636</v>
      </c>
      <c r="AIR3" t="s">
        <v>268</v>
      </c>
      <c r="AIS3" t="s">
        <v>2484</v>
      </c>
      <c r="AIT3" t="s">
        <v>554</v>
      </c>
      <c r="AIU3" t="s">
        <v>1191</v>
      </c>
      <c r="AIV3" t="s">
        <v>2644</v>
      </c>
      <c r="AIW3" t="s">
        <v>2593</v>
      </c>
      <c r="AIX3" t="s">
        <v>890</v>
      </c>
      <c r="AIY3" t="s">
        <v>2649</v>
      </c>
      <c r="AIZ3" t="s">
        <v>2651</v>
      </c>
      <c r="AJA3" t="s">
        <v>1098</v>
      </c>
      <c r="AJB3" t="s">
        <v>2655</v>
      </c>
      <c r="AJC3" t="s">
        <v>2585</v>
      </c>
      <c r="AJD3" t="s">
        <v>1991</v>
      </c>
      <c r="AJE3" t="s">
        <v>1354</v>
      </c>
      <c r="AJF3" t="s">
        <v>1154</v>
      </c>
      <c r="AJG3" t="s">
        <v>1664</v>
      </c>
      <c r="AJH3" t="s">
        <v>348</v>
      </c>
      <c r="AJI3" t="s">
        <v>2229</v>
      </c>
      <c r="AJJ3" t="s">
        <v>2666</v>
      </c>
      <c r="AJK3" t="s">
        <v>2668</v>
      </c>
      <c r="AJL3" t="s">
        <v>2450</v>
      </c>
      <c r="AJM3" t="s">
        <v>2033</v>
      </c>
      <c r="AJN3" t="s">
        <v>943</v>
      </c>
      <c r="AJO3" t="s">
        <v>1399</v>
      </c>
      <c r="AJP3" t="s">
        <v>2675</v>
      </c>
      <c r="AJQ3" t="s">
        <v>2223</v>
      </c>
      <c r="AJR3" t="s">
        <v>1154</v>
      </c>
      <c r="AJS3" t="s">
        <v>2679</v>
      </c>
      <c r="AJT3" t="s">
        <v>2681</v>
      </c>
      <c r="AJU3" t="s">
        <v>215</v>
      </c>
      <c r="AJV3" t="s">
        <v>1787</v>
      </c>
      <c r="AJW3" t="s">
        <v>2686</v>
      </c>
      <c r="AJX3" t="s">
        <v>1542</v>
      </c>
      <c r="AJY3" t="s">
        <v>2691</v>
      </c>
      <c r="AJZ3" t="s">
        <v>1324</v>
      </c>
      <c r="AKA3" t="s">
        <v>837</v>
      </c>
      <c r="AKB3" t="s">
        <v>2420</v>
      </c>
      <c r="AKC3" t="s">
        <v>2699</v>
      </c>
      <c r="AKD3" t="s">
        <v>2701</v>
      </c>
      <c r="AKE3" t="s">
        <v>1598</v>
      </c>
      <c r="AKF3" t="s">
        <v>2061</v>
      </c>
      <c r="AKG3" t="s">
        <v>2707</v>
      </c>
      <c r="AKH3" t="s">
        <v>2709</v>
      </c>
      <c r="AKI3" t="s">
        <v>1111</v>
      </c>
      <c r="AKJ3" t="s">
        <v>1855</v>
      </c>
      <c r="AKK3" t="s">
        <v>1568</v>
      </c>
      <c r="AKL3" t="s">
        <v>874</v>
      </c>
      <c r="AKM3" t="s">
        <v>2050</v>
      </c>
      <c r="AKN3" t="s">
        <v>2236</v>
      </c>
      <c r="AKO3" t="s">
        <v>614</v>
      </c>
      <c r="AKP3" t="s">
        <v>2721</v>
      </c>
      <c r="AKQ3" t="s">
        <v>2723</v>
      </c>
      <c r="AKR3" t="s">
        <v>817</v>
      </c>
      <c r="AKS3" t="s">
        <v>1681</v>
      </c>
      <c r="AKT3" t="s">
        <v>337</v>
      </c>
      <c r="AKU3" t="s">
        <v>2055</v>
      </c>
      <c r="AKV3" t="s">
        <v>1154</v>
      </c>
      <c r="AKW3" t="s">
        <v>2731</v>
      </c>
      <c r="AKX3" t="s">
        <v>1542</v>
      </c>
      <c r="AKY3" t="s">
        <v>2340</v>
      </c>
      <c r="AKZ3" t="s">
        <v>2736</v>
      </c>
      <c r="ALA3" t="s">
        <v>815</v>
      </c>
      <c r="ALB3" t="s">
        <v>2739</v>
      </c>
      <c r="ALC3" t="s">
        <v>2041</v>
      </c>
      <c r="ALD3" t="s">
        <v>2373</v>
      </c>
      <c r="ALE3" t="s">
        <v>2744</v>
      </c>
      <c r="ALF3" t="s">
        <v>498</v>
      </c>
      <c r="ALG3" t="s">
        <v>194</v>
      </c>
      <c r="ALH3" t="s">
        <v>1324</v>
      </c>
      <c r="ALI3" t="s">
        <v>325</v>
      </c>
      <c r="ALJ3" t="s">
        <v>516</v>
      </c>
      <c r="ALK3" t="s">
        <v>1410</v>
      </c>
      <c r="ALL3" t="s">
        <v>1732</v>
      </c>
      <c r="ALM3" t="s">
        <v>1000</v>
      </c>
    </row>
    <row r="4" spans="1:1001" ht="29.4" customHeight="1" x14ac:dyDescent="0.3">
      <c r="A4" s="1" t="s">
        <v>3</v>
      </c>
      <c r="B4" t="s">
        <v>15</v>
      </c>
      <c r="C4" t="s">
        <v>24</v>
      </c>
      <c r="D4" t="s">
        <v>33</v>
      </c>
      <c r="E4" t="s">
        <v>40</v>
      </c>
      <c r="F4" t="s">
        <v>47</v>
      </c>
      <c r="G4" t="s">
        <v>55</v>
      </c>
      <c r="H4" t="s">
        <v>61</v>
      </c>
      <c r="I4" t="s">
        <v>67</v>
      </c>
      <c r="J4" t="s">
        <v>72</v>
      </c>
      <c r="K4" t="s">
        <v>76</v>
      </c>
      <c r="L4" t="s">
        <v>82</v>
      </c>
      <c r="M4" t="s">
        <v>87</v>
      </c>
      <c r="N4" t="s">
        <v>91</v>
      </c>
      <c r="O4" t="s">
        <v>94</v>
      </c>
      <c r="P4" t="s">
        <v>99</v>
      </c>
      <c r="Q4" t="s">
        <v>103</v>
      </c>
      <c r="R4" t="s">
        <v>109</v>
      </c>
      <c r="S4" t="s">
        <v>114</v>
      </c>
      <c r="T4" t="s">
        <v>119</v>
      </c>
      <c r="U4" t="s">
        <v>122</v>
      </c>
      <c r="V4" t="s">
        <v>127</v>
      </c>
      <c r="W4" t="s">
        <v>132</v>
      </c>
      <c r="X4" t="s">
        <v>119</v>
      </c>
      <c r="Y4" t="s">
        <v>139</v>
      </c>
      <c r="Z4" t="s">
        <v>24</v>
      </c>
      <c r="AA4" t="s">
        <v>146</v>
      </c>
      <c r="AB4" t="s">
        <v>149</v>
      </c>
      <c r="AC4" t="s">
        <v>153</v>
      </c>
      <c r="AD4" t="s">
        <v>157</v>
      </c>
      <c r="AE4" t="s">
        <v>161</v>
      </c>
      <c r="AF4" t="s">
        <v>165</v>
      </c>
      <c r="AG4" t="s">
        <v>170</v>
      </c>
      <c r="AH4" t="s">
        <v>174</v>
      </c>
      <c r="AI4" t="s">
        <v>178</v>
      </c>
      <c r="AJ4" t="s">
        <v>183</v>
      </c>
      <c r="AK4" t="s">
        <v>187</v>
      </c>
      <c r="AL4" t="s">
        <v>191</v>
      </c>
      <c r="AM4" t="s">
        <v>195</v>
      </c>
      <c r="AN4" t="s">
        <v>199</v>
      </c>
      <c r="AO4" t="s">
        <v>203</v>
      </c>
      <c r="AP4" t="s">
        <v>207</v>
      </c>
      <c r="AQ4" t="s">
        <v>212</v>
      </c>
      <c r="AR4" t="s">
        <v>216</v>
      </c>
      <c r="AS4" t="s">
        <v>220</v>
      </c>
      <c r="AT4" t="s">
        <v>224</v>
      </c>
      <c r="AU4" t="s">
        <v>228</v>
      </c>
      <c r="AV4" t="s">
        <v>232</v>
      </c>
      <c r="AW4" t="s">
        <v>236</v>
      </c>
      <c r="AX4" t="s">
        <v>240</v>
      </c>
      <c r="AY4" t="s">
        <v>244</v>
      </c>
      <c r="AZ4" t="s">
        <v>248</v>
      </c>
      <c r="BA4" t="s">
        <v>252</v>
      </c>
      <c r="BB4" t="s">
        <v>256</v>
      </c>
      <c r="BC4" t="s">
        <v>260</v>
      </c>
      <c r="BD4" t="s">
        <v>264</v>
      </c>
      <c r="BE4" t="s">
        <v>269</v>
      </c>
      <c r="BF4" t="s">
        <v>273</v>
      </c>
      <c r="BG4" t="s">
        <v>277</v>
      </c>
      <c r="BH4" t="s">
        <v>281</v>
      </c>
      <c r="BI4" t="s">
        <v>285</v>
      </c>
      <c r="BJ4" t="s">
        <v>289</v>
      </c>
      <c r="BK4" t="s">
        <v>293</v>
      </c>
      <c r="BL4" t="s">
        <v>146</v>
      </c>
      <c r="BM4" t="s">
        <v>299</v>
      </c>
      <c r="BN4" t="s">
        <v>303</v>
      </c>
      <c r="BO4" t="s">
        <v>307</v>
      </c>
      <c r="BP4" t="s">
        <v>311</v>
      </c>
      <c r="BQ4" t="s">
        <v>315</v>
      </c>
      <c r="BR4" t="s">
        <v>103</v>
      </c>
      <c r="BS4" t="s">
        <v>322</v>
      </c>
      <c r="BT4" t="s">
        <v>326</v>
      </c>
      <c r="BU4" t="s">
        <v>330</v>
      </c>
      <c r="BV4" t="s">
        <v>334</v>
      </c>
      <c r="BW4" t="s">
        <v>61</v>
      </c>
      <c r="BX4" t="s">
        <v>341</v>
      </c>
      <c r="BY4" t="s">
        <v>345</v>
      </c>
      <c r="BZ4" t="s">
        <v>349</v>
      </c>
      <c r="CA4" t="s">
        <v>353</v>
      </c>
      <c r="CB4" t="s">
        <v>357</v>
      </c>
      <c r="CC4" t="s">
        <v>361</v>
      </c>
      <c r="CD4" t="s">
        <v>364</v>
      </c>
      <c r="CE4" t="s">
        <v>368</v>
      </c>
      <c r="CF4" t="s">
        <v>372</v>
      </c>
      <c r="CG4" t="s">
        <v>375</v>
      </c>
      <c r="CH4" t="s">
        <v>379</v>
      </c>
      <c r="CI4" t="s">
        <v>383</v>
      </c>
      <c r="CJ4" t="s">
        <v>387</v>
      </c>
      <c r="CK4" t="s">
        <v>391</v>
      </c>
      <c r="CL4" t="s">
        <v>395</v>
      </c>
      <c r="CM4" t="s">
        <v>399</v>
      </c>
      <c r="CN4" t="s">
        <v>403</v>
      </c>
      <c r="CO4" t="s">
        <v>407</v>
      </c>
      <c r="CP4" t="s">
        <v>410</v>
      </c>
      <c r="CQ4" t="s">
        <v>413</v>
      </c>
      <c r="CR4" t="s">
        <v>417</v>
      </c>
      <c r="CS4" t="s">
        <v>303</v>
      </c>
      <c r="CT4" t="s">
        <v>424</v>
      </c>
      <c r="CU4" t="s">
        <v>428</v>
      </c>
      <c r="CV4" t="s">
        <v>431</v>
      </c>
      <c r="CW4" t="s">
        <v>435</v>
      </c>
      <c r="CX4" t="s">
        <v>439</v>
      </c>
      <c r="CY4" t="s">
        <v>443</v>
      </c>
      <c r="CZ4" t="s">
        <v>447</v>
      </c>
      <c r="DA4" t="s">
        <v>451</v>
      </c>
      <c r="DB4" t="s">
        <v>455</v>
      </c>
      <c r="DC4" t="s">
        <v>459</v>
      </c>
      <c r="DD4" t="s">
        <v>462</v>
      </c>
      <c r="DE4" t="s">
        <v>465</v>
      </c>
      <c r="DF4" t="s">
        <v>469</v>
      </c>
      <c r="DG4" t="s">
        <v>472</v>
      </c>
      <c r="DH4" t="s">
        <v>475</v>
      </c>
      <c r="DI4" t="s">
        <v>479</v>
      </c>
      <c r="DJ4" t="s">
        <v>481</v>
      </c>
      <c r="DK4" t="s">
        <v>484</v>
      </c>
      <c r="DL4" t="s">
        <v>488</v>
      </c>
      <c r="DM4" t="s">
        <v>492</v>
      </c>
      <c r="DN4" t="s">
        <v>496</v>
      </c>
      <c r="DO4" t="s">
        <v>499</v>
      </c>
      <c r="DP4" t="s">
        <v>503</v>
      </c>
      <c r="DQ4" t="s">
        <v>507</v>
      </c>
      <c r="DR4" t="s">
        <v>511</v>
      </c>
      <c r="DS4" t="s">
        <v>514</v>
      </c>
      <c r="DT4" t="s">
        <v>517</v>
      </c>
      <c r="DU4" t="s">
        <v>520</v>
      </c>
      <c r="DV4" t="s">
        <v>524</v>
      </c>
      <c r="DW4" t="s">
        <v>528</v>
      </c>
      <c r="DX4" t="s">
        <v>532</v>
      </c>
      <c r="DY4" t="s">
        <v>536</v>
      </c>
      <c r="DZ4" t="s">
        <v>540</v>
      </c>
      <c r="EA4" t="s">
        <v>544</v>
      </c>
      <c r="EB4" t="s">
        <v>548</v>
      </c>
      <c r="EC4" t="s">
        <v>552</v>
      </c>
      <c r="ED4" t="s">
        <v>555</v>
      </c>
      <c r="EE4" t="s">
        <v>559</v>
      </c>
      <c r="EF4" t="s">
        <v>536</v>
      </c>
      <c r="EG4" t="s">
        <v>122</v>
      </c>
      <c r="EH4" t="s">
        <v>428</v>
      </c>
      <c r="EI4" t="s">
        <v>207</v>
      </c>
      <c r="EJ4" t="s">
        <v>573</v>
      </c>
      <c r="EK4" t="s">
        <v>577</v>
      </c>
      <c r="EL4" t="s">
        <v>199</v>
      </c>
      <c r="EM4" t="s">
        <v>584</v>
      </c>
      <c r="EN4" t="s">
        <v>587</v>
      </c>
      <c r="EO4" t="s">
        <v>591</v>
      </c>
      <c r="EP4" t="s">
        <v>595</v>
      </c>
      <c r="EQ4" t="s">
        <v>599</v>
      </c>
      <c r="ER4" t="s">
        <v>603</v>
      </c>
      <c r="ES4" t="s">
        <v>607</v>
      </c>
      <c r="ET4" t="s">
        <v>611</v>
      </c>
      <c r="EU4" t="s">
        <v>94</v>
      </c>
      <c r="EV4" t="s">
        <v>618</v>
      </c>
      <c r="EW4" t="s">
        <v>621</v>
      </c>
      <c r="EX4" t="s">
        <v>67</v>
      </c>
      <c r="EY4" t="s">
        <v>628</v>
      </c>
      <c r="EZ4" t="s">
        <v>632</v>
      </c>
      <c r="FA4" t="s">
        <v>451</v>
      </c>
      <c r="FB4" t="s">
        <v>277</v>
      </c>
      <c r="FC4" t="s">
        <v>228</v>
      </c>
      <c r="FD4" t="s">
        <v>644</v>
      </c>
      <c r="FE4" t="s">
        <v>648</v>
      </c>
      <c r="FF4" t="s">
        <v>652</v>
      </c>
      <c r="FG4" t="s">
        <v>656</v>
      </c>
      <c r="FH4" t="s">
        <v>658</v>
      </c>
      <c r="FI4" t="s">
        <v>662</v>
      </c>
      <c r="FJ4" t="s">
        <v>666</v>
      </c>
      <c r="FK4" t="s">
        <v>670</v>
      </c>
      <c r="FL4" t="s">
        <v>674</v>
      </c>
      <c r="FM4" t="s">
        <v>678</v>
      </c>
      <c r="FN4" t="s">
        <v>681</v>
      </c>
      <c r="FO4" t="s">
        <v>685</v>
      </c>
      <c r="FP4" t="s">
        <v>488</v>
      </c>
      <c r="FQ4" t="s">
        <v>691</v>
      </c>
      <c r="FR4" t="s">
        <v>694</v>
      </c>
      <c r="FS4" t="s">
        <v>697</v>
      </c>
      <c r="FT4" t="s">
        <v>701</v>
      </c>
      <c r="FU4" t="s">
        <v>87</v>
      </c>
      <c r="FV4" t="s">
        <v>707</v>
      </c>
      <c r="FW4" t="s">
        <v>711</v>
      </c>
      <c r="FX4" t="s">
        <v>714</v>
      </c>
      <c r="FY4" t="s">
        <v>718</v>
      </c>
      <c r="FZ4" t="s">
        <v>721</v>
      </c>
      <c r="GA4" t="s">
        <v>178</v>
      </c>
      <c r="GB4" t="s">
        <v>236</v>
      </c>
      <c r="GC4" t="s">
        <v>729</v>
      </c>
      <c r="GD4" t="s">
        <v>733</v>
      </c>
      <c r="GE4" t="s">
        <v>736</v>
      </c>
      <c r="GF4" t="s">
        <v>740</v>
      </c>
      <c r="GG4" t="s">
        <v>744</v>
      </c>
      <c r="GH4" t="s">
        <v>748</v>
      </c>
      <c r="GI4" t="s">
        <v>751</v>
      </c>
      <c r="GJ4" t="s">
        <v>754</v>
      </c>
      <c r="GK4" t="s">
        <v>758</v>
      </c>
      <c r="GL4" t="s">
        <v>761</v>
      </c>
      <c r="GM4" t="s">
        <v>763</v>
      </c>
      <c r="GN4" t="s">
        <v>766</v>
      </c>
      <c r="GO4" t="s">
        <v>770</v>
      </c>
      <c r="GP4" t="s">
        <v>224</v>
      </c>
      <c r="GQ4" t="s">
        <v>775</v>
      </c>
      <c r="GR4" t="s">
        <v>778</v>
      </c>
      <c r="GS4" t="s">
        <v>782</v>
      </c>
      <c r="GT4" t="s">
        <v>785</v>
      </c>
      <c r="GU4" t="s">
        <v>788</v>
      </c>
      <c r="GV4" t="s">
        <v>792</v>
      </c>
      <c r="GW4" t="s">
        <v>796</v>
      </c>
      <c r="GX4" t="s">
        <v>520</v>
      </c>
      <c r="GY4" t="s">
        <v>802</v>
      </c>
      <c r="GZ4" t="s">
        <v>806</v>
      </c>
      <c r="HA4" t="s">
        <v>809</v>
      </c>
      <c r="HB4" t="s">
        <v>770</v>
      </c>
      <c r="HC4" t="s">
        <v>165</v>
      </c>
      <c r="HD4" t="s">
        <v>818</v>
      </c>
      <c r="HE4" t="s">
        <v>821</v>
      </c>
      <c r="HF4" t="s">
        <v>825</v>
      </c>
      <c r="HG4" t="s">
        <v>829</v>
      </c>
      <c r="HH4" t="s">
        <v>832</v>
      </c>
      <c r="HI4" t="s">
        <v>835</v>
      </c>
      <c r="HJ4" t="s">
        <v>838</v>
      </c>
      <c r="HK4" t="s">
        <v>842</v>
      </c>
      <c r="HL4" t="s">
        <v>846</v>
      </c>
      <c r="HM4" t="s">
        <v>849</v>
      </c>
      <c r="HN4" t="s">
        <v>852</v>
      </c>
      <c r="HO4" t="s">
        <v>277</v>
      </c>
      <c r="HP4" t="s">
        <v>857</v>
      </c>
      <c r="HQ4" t="s">
        <v>860</v>
      </c>
      <c r="HR4" t="s">
        <v>863</v>
      </c>
      <c r="HS4" t="s">
        <v>867</v>
      </c>
      <c r="HT4" t="s">
        <v>871</v>
      </c>
      <c r="HU4" t="s">
        <v>875</v>
      </c>
      <c r="HV4" t="s">
        <v>879</v>
      </c>
      <c r="HW4" t="s">
        <v>341</v>
      </c>
      <c r="HX4" t="s">
        <v>170</v>
      </c>
      <c r="HY4" t="s">
        <v>888</v>
      </c>
      <c r="HZ4" t="s">
        <v>891</v>
      </c>
      <c r="IA4" t="s">
        <v>559</v>
      </c>
      <c r="IB4" t="s">
        <v>236</v>
      </c>
      <c r="IC4" t="s">
        <v>900</v>
      </c>
      <c r="ID4" t="s">
        <v>103</v>
      </c>
      <c r="IE4" t="s">
        <v>906</v>
      </c>
      <c r="IF4" t="s">
        <v>109</v>
      </c>
      <c r="IG4" t="s">
        <v>912</v>
      </c>
      <c r="IH4" t="s">
        <v>916</v>
      </c>
      <c r="II4" t="s">
        <v>919</v>
      </c>
      <c r="IJ4" t="s">
        <v>922</v>
      </c>
      <c r="IK4" t="s">
        <v>926</v>
      </c>
      <c r="IL4" t="s">
        <v>929</v>
      </c>
      <c r="IM4" t="s">
        <v>933</v>
      </c>
      <c r="IN4" t="s">
        <v>936</v>
      </c>
      <c r="IO4" t="s">
        <v>940</v>
      </c>
      <c r="IP4" t="s">
        <v>256</v>
      </c>
      <c r="IQ4" t="s">
        <v>203</v>
      </c>
      <c r="IR4" t="s">
        <v>947</v>
      </c>
      <c r="IS4" t="s">
        <v>951</v>
      </c>
      <c r="IT4" t="s">
        <v>954</v>
      </c>
      <c r="IU4" t="s">
        <v>957</v>
      </c>
      <c r="IV4" t="s">
        <v>960</v>
      </c>
      <c r="IW4" t="s">
        <v>963</v>
      </c>
      <c r="IX4" t="s">
        <v>967</v>
      </c>
      <c r="IY4" t="s">
        <v>970</v>
      </c>
      <c r="IZ4" t="s">
        <v>61</v>
      </c>
      <c r="JA4" t="s">
        <v>976</v>
      </c>
      <c r="JB4" t="s">
        <v>933</v>
      </c>
      <c r="JC4" t="s">
        <v>982</v>
      </c>
      <c r="JD4" t="s">
        <v>407</v>
      </c>
      <c r="JE4" t="s">
        <v>986</v>
      </c>
      <c r="JF4" t="s">
        <v>989</v>
      </c>
      <c r="JG4" t="s">
        <v>993</v>
      </c>
      <c r="JH4" t="s">
        <v>670</v>
      </c>
      <c r="JI4" t="s">
        <v>998</v>
      </c>
      <c r="JJ4" t="s">
        <v>1001</v>
      </c>
      <c r="JK4" t="s">
        <v>656</v>
      </c>
      <c r="JL4" t="s">
        <v>835</v>
      </c>
      <c r="JM4" t="s">
        <v>875</v>
      </c>
      <c r="JN4" t="s">
        <v>1013</v>
      </c>
      <c r="JO4" t="s">
        <v>1017</v>
      </c>
      <c r="JP4" t="s">
        <v>1020</v>
      </c>
      <c r="JQ4" t="s">
        <v>1023</v>
      </c>
      <c r="JR4" t="s">
        <v>1027</v>
      </c>
      <c r="JS4" t="s">
        <v>40</v>
      </c>
      <c r="JT4" t="s">
        <v>998</v>
      </c>
      <c r="JU4" t="s">
        <v>1034</v>
      </c>
      <c r="JV4" t="s">
        <v>1037</v>
      </c>
      <c r="JW4" t="s">
        <v>1041</v>
      </c>
      <c r="JX4" t="s">
        <v>1043</v>
      </c>
      <c r="JY4" t="s">
        <v>1047</v>
      </c>
      <c r="JZ4" t="s">
        <v>1050</v>
      </c>
      <c r="KA4" t="s">
        <v>289</v>
      </c>
      <c r="KB4" t="s">
        <v>1056</v>
      </c>
      <c r="KC4" t="s">
        <v>1060</v>
      </c>
      <c r="KD4" t="s">
        <v>1063</v>
      </c>
      <c r="KE4" t="s">
        <v>792</v>
      </c>
      <c r="KF4" t="s">
        <v>157</v>
      </c>
      <c r="KG4" t="s">
        <v>1071</v>
      </c>
      <c r="KH4" t="s">
        <v>867</v>
      </c>
      <c r="KI4" t="s">
        <v>1077</v>
      </c>
      <c r="KJ4" t="s">
        <v>1081</v>
      </c>
      <c r="KK4" t="s">
        <v>511</v>
      </c>
      <c r="KL4" t="s">
        <v>1085</v>
      </c>
      <c r="KM4" t="s">
        <v>1088</v>
      </c>
      <c r="KN4" t="s">
        <v>1091</v>
      </c>
      <c r="KO4" t="s">
        <v>1095</v>
      </c>
      <c r="KP4" t="s">
        <v>1099</v>
      </c>
      <c r="KQ4" t="s">
        <v>1102</v>
      </c>
      <c r="KR4" t="s">
        <v>863</v>
      </c>
      <c r="KS4" t="s">
        <v>678</v>
      </c>
      <c r="KT4" t="s">
        <v>1108</v>
      </c>
      <c r="KU4" t="s">
        <v>1060</v>
      </c>
      <c r="KV4" t="s">
        <v>1114</v>
      </c>
      <c r="KW4" t="s">
        <v>1117</v>
      </c>
      <c r="KX4" t="s">
        <v>1121</v>
      </c>
      <c r="KY4" t="s">
        <v>1124</v>
      </c>
      <c r="KZ4" t="s">
        <v>132</v>
      </c>
      <c r="LA4" t="s">
        <v>1129</v>
      </c>
      <c r="LB4" t="s">
        <v>220</v>
      </c>
      <c r="LC4" t="s">
        <v>1134</v>
      </c>
      <c r="LD4" t="s">
        <v>1137</v>
      </c>
      <c r="LE4" t="s">
        <v>1140</v>
      </c>
      <c r="LF4" t="s">
        <v>256</v>
      </c>
      <c r="LG4" t="s">
        <v>1145</v>
      </c>
      <c r="LH4" t="s">
        <v>1149</v>
      </c>
      <c r="LI4" t="s">
        <v>307</v>
      </c>
      <c r="LJ4" t="s">
        <v>1155</v>
      </c>
      <c r="LK4" t="s">
        <v>1159</v>
      </c>
      <c r="LL4" t="s">
        <v>1163</v>
      </c>
      <c r="LM4" t="s">
        <v>1167</v>
      </c>
      <c r="LN4" t="s">
        <v>1171</v>
      </c>
      <c r="LO4" t="s">
        <v>1174</v>
      </c>
      <c r="LP4" t="s">
        <v>1177</v>
      </c>
      <c r="LQ4" t="s">
        <v>697</v>
      </c>
      <c r="LR4" t="s">
        <v>559</v>
      </c>
      <c r="LS4" t="s">
        <v>462</v>
      </c>
      <c r="LT4" t="s">
        <v>1188</v>
      </c>
      <c r="LU4" t="s">
        <v>1192</v>
      </c>
      <c r="LV4" t="s">
        <v>1196</v>
      </c>
      <c r="LW4" t="s">
        <v>1199</v>
      </c>
      <c r="LX4" t="s">
        <v>1202</v>
      </c>
      <c r="LY4" t="s">
        <v>1206</v>
      </c>
      <c r="LZ4" t="s">
        <v>963</v>
      </c>
      <c r="MA4" t="s">
        <v>1210</v>
      </c>
      <c r="MB4" t="s">
        <v>1213</v>
      </c>
      <c r="MC4" t="s">
        <v>1217</v>
      </c>
      <c r="MD4" t="s">
        <v>1220</v>
      </c>
      <c r="ME4" t="s">
        <v>1224</v>
      </c>
      <c r="MF4" t="s">
        <v>520</v>
      </c>
      <c r="MG4" t="s">
        <v>1229</v>
      </c>
      <c r="MH4" t="s">
        <v>740</v>
      </c>
      <c r="MI4" t="s">
        <v>520</v>
      </c>
      <c r="MJ4" t="s">
        <v>1238</v>
      </c>
      <c r="MK4" t="s">
        <v>1159</v>
      </c>
      <c r="ML4" t="s">
        <v>1245</v>
      </c>
      <c r="MM4" t="s">
        <v>1248</v>
      </c>
      <c r="MN4" t="s">
        <v>1250</v>
      </c>
      <c r="MO4" t="s">
        <v>1254</v>
      </c>
      <c r="MP4" t="s">
        <v>678</v>
      </c>
      <c r="MQ4" t="s">
        <v>1259</v>
      </c>
      <c r="MR4" t="s">
        <v>1263</v>
      </c>
      <c r="MS4" t="s">
        <v>1266</v>
      </c>
      <c r="MT4" t="s">
        <v>1269</v>
      </c>
      <c r="MU4" t="s">
        <v>1272</v>
      </c>
      <c r="MV4" t="s">
        <v>1276</v>
      </c>
      <c r="MW4" t="s">
        <v>372</v>
      </c>
      <c r="MX4" t="s">
        <v>1282</v>
      </c>
      <c r="MY4" t="s">
        <v>1284</v>
      </c>
      <c r="MZ4" t="s">
        <v>1288</v>
      </c>
      <c r="NA4" t="s">
        <v>1292</v>
      </c>
      <c r="NB4" t="s">
        <v>475</v>
      </c>
      <c r="NC4" t="s">
        <v>1297</v>
      </c>
      <c r="ND4" t="s">
        <v>1299</v>
      </c>
      <c r="NE4" t="s">
        <v>1303</v>
      </c>
      <c r="NF4" t="s">
        <v>1305</v>
      </c>
      <c r="NG4" t="s">
        <v>1308</v>
      </c>
      <c r="NH4" t="s">
        <v>1312</v>
      </c>
      <c r="NI4" t="s">
        <v>1315</v>
      </c>
      <c r="NJ4" t="s">
        <v>1056</v>
      </c>
      <c r="NK4" t="s">
        <v>1322</v>
      </c>
      <c r="NL4" t="s">
        <v>1325</v>
      </c>
      <c r="NM4" t="s">
        <v>1328</v>
      </c>
      <c r="NN4" t="s">
        <v>1332</v>
      </c>
      <c r="NO4" t="s">
        <v>1336</v>
      </c>
      <c r="NP4" t="s">
        <v>1339</v>
      </c>
      <c r="NQ4" t="s">
        <v>1342</v>
      </c>
      <c r="NR4" t="s">
        <v>1345</v>
      </c>
      <c r="NS4" t="s">
        <v>1348</v>
      </c>
      <c r="NT4" t="s">
        <v>1352</v>
      </c>
      <c r="NU4" t="s">
        <v>1355</v>
      </c>
      <c r="NV4" t="s">
        <v>1357</v>
      </c>
      <c r="NW4" t="s">
        <v>1360</v>
      </c>
      <c r="NX4" t="s">
        <v>1364</v>
      </c>
      <c r="NY4" t="s">
        <v>1366</v>
      </c>
      <c r="NZ4" t="s">
        <v>1355</v>
      </c>
      <c r="OA4" t="s">
        <v>395</v>
      </c>
      <c r="OB4" t="s">
        <v>1371</v>
      </c>
      <c r="OC4" t="s">
        <v>1041</v>
      </c>
      <c r="OD4" t="s">
        <v>838</v>
      </c>
      <c r="OE4" t="s">
        <v>1081</v>
      </c>
      <c r="OF4" t="s">
        <v>1382</v>
      </c>
      <c r="OG4" t="s">
        <v>1386</v>
      </c>
      <c r="OH4" t="s">
        <v>1390</v>
      </c>
      <c r="OI4" t="s">
        <v>1390</v>
      </c>
      <c r="OJ4" t="s">
        <v>775</v>
      </c>
      <c r="OK4" t="s">
        <v>1396</v>
      </c>
      <c r="OL4" t="s">
        <v>1400</v>
      </c>
      <c r="OM4" t="s">
        <v>1315</v>
      </c>
      <c r="ON4" t="s">
        <v>1405</v>
      </c>
      <c r="OO4" t="s">
        <v>1408</v>
      </c>
      <c r="OP4" t="s">
        <v>1411</v>
      </c>
      <c r="OQ4" t="s">
        <v>1414</v>
      </c>
      <c r="OR4" t="s">
        <v>1418</v>
      </c>
      <c r="OS4" t="s">
        <v>1421</v>
      </c>
      <c r="OT4" t="s">
        <v>1424</v>
      </c>
      <c r="OU4" t="s">
        <v>1428</v>
      </c>
      <c r="OV4" t="s">
        <v>1432</v>
      </c>
      <c r="OW4" t="s">
        <v>1435</v>
      </c>
      <c r="OX4" t="s">
        <v>1438</v>
      </c>
      <c r="OY4" t="s">
        <v>1441</v>
      </c>
      <c r="OZ4" t="s">
        <v>718</v>
      </c>
      <c r="PA4" t="s">
        <v>1447</v>
      </c>
      <c r="PB4" t="s">
        <v>1449</v>
      </c>
      <c r="PC4" t="s">
        <v>1453</v>
      </c>
      <c r="PD4" t="s">
        <v>778</v>
      </c>
      <c r="PE4" t="s">
        <v>1458</v>
      </c>
      <c r="PF4" t="s">
        <v>165</v>
      </c>
      <c r="PG4" t="s">
        <v>315</v>
      </c>
      <c r="PH4" t="s">
        <v>1466</v>
      </c>
      <c r="PI4" t="s">
        <v>1469</v>
      </c>
      <c r="PJ4" t="s">
        <v>252</v>
      </c>
      <c r="PK4" t="s">
        <v>1475</v>
      </c>
      <c r="PL4" t="s">
        <v>1478</v>
      </c>
      <c r="PM4" t="s">
        <v>1482</v>
      </c>
      <c r="PN4" t="s">
        <v>754</v>
      </c>
      <c r="PO4" t="s">
        <v>1486</v>
      </c>
      <c r="PP4" t="s">
        <v>1441</v>
      </c>
      <c r="PQ4" t="s">
        <v>1493</v>
      </c>
      <c r="PR4" t="s">
        <v>1496</v>
      </c>
      <c r="PS4" t="s">
        <v>1499</v>
      </c>
      <c r="PT4" t="s">
        <v>244</v>
      </c>
      <c r="PU4" t="s">
        <v>1155</v>
      </c>
      <c r="PV4" t="s">
        <v>1507</v>
      </c>
      <c r="PW4" t="s">
        <v>1509</v>
      </c>
      <c r="PX4" t="s">
        <v>1512</v>
      </c>
      <c r="PY4" t="s">
        <v>1091</v>
      </c>
      <c r="PZ4" t="s">
        <v>87</v>
      </c>
      <c r="QA4" t="s">
        <v>1518</v>
      </c>
      <c r="QB4" t="s">
        <v>1085</v>
      </c>
      <c r="QC4" t="s">
        <v>1524</v>
      </c>
      <c r="QD4" t="s">
        <v>224</v>
      </c>
      <c r="QE4" t="s">
        <v>1292</v>
      </c>
      <c r="QF4" t="s">
        <v>1390</v>
      </c>
      <c r="QG4" t="s">
        <v>1533</v>
      </c>
      <c r="QH4" t="s">
        <v>383</v>
      </c>
      <c r="QI4" t="s">
        <v>1539</v>
      </c>
      <c r="QJ4" t="s">
        <v>1543</v>
      </c>
      <c r="QK4" t="s">
        <v>15</v>
      </c>
      <c r="QL4" t="s">
        <v>802</v>
      </c>
      <c r="QM4" t="s">
        <v>1547</v>
      </c>
      <c r="QN4" t="s">
        <v>1056</v>
      </c>
      <c r="QO4" t="s">
        <v>1554</v>
      </c>
      <c r="QP4" t="s">
        <v>1558</v>
      </c>
      <c r="QQ4" t="s">
        <v>165</v>
      </c>
      <c r="QR4" t="s">
        <v>1563</v>
      </c>
      <c r="QS4" t="s">
        <v>888</v>
      </c>
      <c r="QT4" t="s">
        <v>1569</v>
      </c>
      <c r="QU4" t="s">
        <v>1572</v>
      </c>
      <c r="QV4" t="s">
        <v>1574</v>
      </c>
      <c r="QW4" t="s">
        <v>1576</v>
      </c>
      <c r="QX4" t="s">
        <v>1579</v>
      </c>
      <c r="QY4" t="s">
        <v>775</v>
      </c>
      <c r="QZ4" t="s">
        <v>976</v>
      </c>
      <c r="RA4" t="s">
        <v>1585</v>
      </c>
      <c r="RB4" t="s">
        <v>1588</v>
      </c>
      <c r="RC4" t="s">
        <v>1591</v>
      </c>
      <c r="RD4" t="s">
        <v>1595</v>
      </c>
      <c r="RE4" t="s">
        <v>1599</v>
      </c>
      <c r="RF4" t="s">
        <v>1601</v>
      </c>
      <c r="RG4" t="s">
        <v>736</v>
      </c>
      <c r="RH4" t="s">
        <v>1606</v>
      </c>
      <c r="RI4" t="s">
        <v>1077</v>
      </c>
      <c r="RJ4" t="s">
        <v>1610</v>
      </c>
      <c r="RK4" t="s">
        <v>1612</v>
      </c>
      <c r="RL4" t="s">
        <v>1615</v>
      </c>
      <c r="RM4" t="s">
        <v>1619</v>
      </c>
      <c r="RN4" t="s">
        <v>1453</v>
      </c>
      <c r="RO4" t="s">
        <v>1624</v>
      </c>
      <c r="RP4" t="s">
        <v>1627</v>
      </c>
      <c r="RQ4" t="s">
        <v>1631</v>
      </c>
      <c r="RR4" t="s">
        <v>1220</v>
      </c>
      <c r="RS4" t="s">
        <v>1636</v>
      </c>
      <c r="RT4" t="s">
        <v>1020</v>
      </c>
      <c r="RU4" t="s">
        <v>922</v>
      </c>
      <c r="RV4" t="s">
        <v>1643</v>
      </c>
      <c r="RW4" t="s">
        <v>1646</v>
      </c>
      <c r="RX4" t="s">
        <v>670</v>
      </c>
      <c r="RY4" t="s">
        <v>1651</v>
      </c>
      <c r="RZ4" t="s">
        <v>1655</v>
      </c>
      <c r="SA4" t="s">
        <v>1658</v>
      </c>
      <c r="SB4" t="s">
        <v>1662</v>
      </c>
      <c r="SC4" t="s">
        <v>1665</v>
      </c>
      <c r="SD4" t="s">
        <v>1669</v>
      </c>
      <c r="SE4" t="s">
        <v>1672</v>
      </c>
      <c r="SF4" t="s">
        <v>1675</v>
      </c>
      <c r="SG4" t="s">
        <v>1678</v>
      </c>
      <c r="SH4" t="s">
        <v>1678</v>
      </c>
      <c r="SI4" t="s">
        <v>72</v>
      </c>
      <c r="SJ4" t="s">
        <v>976</v>
      </c>
      <c r="SK4" t="s">
        <v>1688</v>
      </c>
      <c r="SL4" t="s">
        <v>1691</v>
      </c>
      <c r="SM4" t="s">
        <v>1693</v>
      </c>
      <c r="SN4" t="s">
        <v>322</v>
      </c>
      <c r="SO4" t="s">
        <v>1698</v>
      </c>
      <c r="SP4" t="s">
        <v>399</v>
      </c>
      <c r="SQ4" t="s">
        <v>203</v>
      </c>
      <c r="SR4" t="s">
        <v>1704</v>
      </c>
      <c r="SS4" t="s">
        <v>1706</v>
      </c>
      <c r="ST4" t="s">
        <v>1114</v>
      </c>
      <c r="SU4" t="s">
        <v>611</v>
      </c>
      <c r="SV4" t="s">
        <v>1496</v>
      </c>
      <c r="SW4" t="s">
        <v>1715</v>
      </c>
      <c r="SX4" t="s">
        <v>1719</v>
      </c>
      <c r="SY4" t="s">
        <v>353</v>
      </c>
      <c r="SZ4" t="s">
        <v>1724</v>
      </c>
      <c r="TA4" t="s">
        <v>383</v>
      </c>
      <c r="TB4" t="s">
        <v>1728</v>
      </c>
      <c r="TC4" t="s">
        <v>1728</v>
      </c>
      <c r="TD4" t="s">
        <v>1724</v>
      </c>
      <c r="TE4" t="s">
        <v>1512</v>
      </c>
      <c r="TF4" t="s">
        <v>1688</v>
      </c>
      <c r="TG4" t="s">
        <v>1739</v>
      </c>
      <c r="TH4" t="s">
        <v>1085</v>
      </c>
      <c r="TI4" t="s">
        <v>1746</v>
      </c>
      <c r="TJ4" t="s">
        <v>520</v>
      </c>
      <c r="TK4" t="s">
        <v>1543</v>
      </c>
      <c r="TL4" t="s">
        <v>860</v>
      </c>
      <c r="TM4" t="s">
        <v>524</v>
      </c>
      <c r="TN4" t="s">
        <v>72</v>
      </c>
      <c r="TO4" t="s">
        <v>758</v>
      </c>
      <c r="TP4" t="s">
        <v>652</v>
      </c>
      <c r="TQ4" t="s">
        <v>165</v>
      </c>
      <c r="TR4" t="s">
        <v>666</v>
      </c>
      <c r="TS4" t="s">
        <v>1678</v>
      </c>
      <c r="TT4" t="s">
        <v>1085</v>
      </c>
      <c r="TU4" t="s">
        <v>1220</v>
      </c>
      <c r="TV4" t="s">
        <v>1411</v>
      </c>
      <c r="TW4" t="s">
        <v>1777</v>
      </c>
      <c r="TX4" t="s">
        <v>1780</v>
      </c>
      <c r="TY4" t="s">
        <v>1782</v>
      </c>
      <c r="TZ4" t="s">
        <v>1785</v>
      </c>
      <c r="UA4" t="s">
        <v>1788</v>
      </c>
      <c r="UB4" t="s">
        <v>1355</v>
      </c>
      <c r="UC4" t="s">
        <v>1163</v>
      </c>
      <c r="UD4" t="s">
        <v>1796</v>
      </c>
      <c r="UE4" t="s">
        <v>849</v>
      </c>
      <c r="UF4" t="s">
        <v>1800</v>
      </c>
      <c r="UG4" t="s">
        <v>662</v>
      </c>
      <c r="UH4" t="s">
        <v>871</v>
      </c>
      <c r="UI4" t="s">
        <v>459</v>
      </c>
      <c r="UJ4" t="s">
        <v>1809</v>
      </c>
      <c r="UK4" t="s">
        <v>1812</v>
      </c>
      <c r="UL4" t="s">
        <v>1815</v>
      </c>
      <c r="UM4" t="s">
        <v>900</v>
      </c>
      <c r="UN4" t="s">
        <v>1149</v>
      </c>
      <c r="UO4" t="s">
        <v>1820</v>
      </c>
      <c r="UP4" t="s">
        <v>1303</v>
      </c>
      <c r="UQ4" t="s">
        <v>1693</v>
      </c>
      <c r="UR4" t="s">
        <v>1827</v>
      </c>
      <c r="US4" t="s">
        <v>199</v>
      </c>
      <c r="UT4" t="s">
        <v>1833</v>
      </c>
      <c r="UU4" t="s">
        <v>528</v>
      </c>
      <c r="UV4" t="s">
        <v>1117</v>
      </c>
      <c r="UW4" t="s">
        <v>1839</v>
      </c>
      <c r="UX4" t="s">
        <v>1842</v>
      </c>
      <c r="UY4" t="s">
        <v>555</v>
      </c>
      <c r="UZ4" t="s">
        <v>417</v>
      </c>
      <c r="VA4" t="s">
        <v>1849</v>
      </c>
      <c r="VB4" t="s">
        <v>1851</v>
      </c>
      <c r="VC4" t="s">
        <v>954</v>
      </c>
      <c r="VD4" t="s">
        <v>1856</v>
      </c>
      <c r="VE4" t="s">
        <v>1114</v>
      </c>
      <c r="VF4" t="s">
        <v>1861</v>
      </c>
      <c r="VG4" t="s">
        <v>1864</v>
      </c>
      <c r="VH4" t="s">
        <v>1512</v>
      </c>
      <c r="VI4" t="s">
        <v>1869</v>
      </c>
      <c r="VJ4" t="s">
        <v>1872</v>
      </c>
      <c r="VK4" t="s">
        <v>1874</v>
      </c>
      <c r="VL4" t="s">
        <v>1869</v>
      </c>
      <c r="VM4" t="s">
        <v>1879</v>
      </c>
      <c r="VN4" t="s">
        <v>1882</v>
      </c>
      <c r="VO4" t="s">
        <v>1885</v>
      </c>
      <c r="VP4" t="s">
        <v>1202</v>
      </c>
      <c r="VQ4" t="s">
        <v>1856</v>
      </c>
      <c r="VR4" t="s">
        <v>1889</v>
      </c>
      <c r="VS4" t="s">
        <v>1892</v>
      </c>
      <c r="VT4" t="s">
        <v>1895</v>
      </c>
      <c r="VU4" t="s">
        <v>15</v>
      </c>
      <c r="VV4" t="s">
        <v>1899</v>
      </c>
      <c r="VW4" t="s">
        <v>1902</v>
      </c>
      <c r="VX4" t="s">
        <v>1905</v>
      </c>
      <c r="VY4" t="s">
        <v>1908</v>
      </c>
      <c r="VZ4" t="s">
        <v>1911</v>
      </c>
      <c r="WA4" t="s">
        <v>1914</v>
      </c>
      <c r="WB4" t="s">
        <v>492</v>
      </c>
      <c r="WC4" t="s">
        <v>252</v>
      </c>
      <c r="WD4" t="s">
        <v>1390</v>
      </c>
      <c r="WE4" t="s">
        <v>1920</v>
      </c>
      <c r="WF4" t="s">
        <v>1924</v>
      </c>
      <c r="WG4" t="s">
        <v>1926</v>
      </c>
      <c r="WH4" t="s">
        <v>1928</v>
      </c>
      <c r="WI4" t="s">
        <v>685</v>
      </c>
      <c r="WJ4" t="s">
        <v>1874</v>
      </c>
      <c r="WK4" t="s">
        <v>1934</v>
      </c>
      <c r="WL4" t="s">
        <v>1938</v>
      </c>
      <c r="WM4" t="s">
        <v>1942</v>
      </c>
      <c r="WN4" t="s">
        <v>1944</v>
      </c>
      <c r="WO4" t="s">
        <v>439</v>
      </c>
      <c r="WP4" t="s">
        <v>849</v>
      </c>
      <c r="WQ4" t="s">
        <v>697</v>
      </c>
      <c r="WR4" t="s">
        <v>1955</v>
      </c>
      <c r="WS4" t="s">
        <v>1944</v>
      </c>
      <c r="WT4" t="s">
        <v>1959</v>
      </c>
      <c r="WU4" t="s">
        <v>1961</v>
      </c>
      <c r="WV4" t="s">
        <v>1833</v>
      </c>
      <c r="WW4" t="s">
        <v>1966</v>
      </c>
      <c r="WX4" t="s">
        <v>1969</v>
      </c>
      <c r="WY4" t="s">
        <v>1137</v>
      </c>
      <c r="WZ4" t="s">
        <v>1588</v>
      </c>
      <c r="XA4" t="s">
        <v>1518</v>
      </c>
      <c r="XB4" t="s">
        <v>1979</v>
      </c>
      <c r="XC4" t="s">
        <v>1911</v>
      </c>
      <c r="XD4" t="s">
        <v>1984</v>
      </c>
      <c r="XE4" t="s">
        <v>1987</v>
      </c>
      <c r="XF4" t="s">
        <v>1864</v>
      </c>
      <c r="XG4" t="s">
        <v>1992</v>
      </c>
      <c r="XH4" t="s">
        <v>1995</v>
      </c>
      <c r="XI4" t="s">
        <v>1998</v>
      </c>
      <c r="XJ4" t="s">
        <v>91</v>
      </c>
      <c r="XK4" t="s">
        <v>1889</v>
      </c>
      <c r="XL4" t="s">
        <v>203</v>
      </c>
      <c r="XM4" t="s">
        <v>2007</v>
      </c>
      <c r="XN4" t="s">
        <v>1984</v>
      </c>
      <c r="XO4" t="s">
        <v>281</v>
      </c>
      <c r="XP4" t="s">
        <v>1220</v>
      </c>
      <c r="XQ4" t="s">
        <v>2015</v>
      </c>
      <c r="XR4" t="s">
        <v>216</v>
      </c>
      <c r="XS4" t="s">
        <v>517</v>
      </c>
      <c r="XT4" t="s">
        <v>2021</v>
      </c>
      <c r="XU4" t="s">
        <v>345</v>
      </c>
      <c r="XV4" t="s">
        <v>2027</v>
      </c>
      <c r="XW4" t="s">
        <v>2030</v>
      </c>
      <c r="XX4" t="s">
        <v>929</v>
      </c>
      <c r="XY4" t="s">
        <v>849</v>
      </c>
      <c r="XZ4" t="s">
        <v>1288</v>
      </c>
      <c r="YA4" t="s">
        <v>2039</v>
      </c>
      <c r="YB4" t="s">
        <v>1879</v>
      </c>
      <c r="YC4" t="s">
        <v>2045</v>
      </c>
      <c r="YD4" t="s">
        <v>1979</v>
      </c>
      <c r="YE4" t="s">
        <v>361</v>
      </c>
      <c r="YF4" t="s">
        <v>989</v>
      </c>
      <c r="YG4" t="s">
        <v>2053</v>
      </c>
      <c r="YH4" t="s">
        <v>2056</v>
      </c>
      <c r="YI4" t="s">
        <v>788</v>
      </c>
      <c r="YJ4" t="s">
        <v>603</v>
      </c>
      <c r="YK4" t="s">
        <v>33</v>
      </c>
      <c r="YL4" t="s">
        <v>2064</v>
      </c>
      <c r="YM4" t="s">
        <v>87</v>
      </c>
      <c r="YN4" t="s">
        <v>2069</v>
      </c>
      <c r="YO4" t="s">
        <v>788</v>
      </c>
      <c r="YP4" t="s">
        <v>2073</v>
      </c>
      <c r="YQ4" t="s">
        <v>2076</v>
      </c>
      <c r="YR4" t="s">
        <v>1469</v>
      </c>
      <c r="YS4" t="s">
        <v>2081</v>
      </c>
      <c r="YT4" t="s">
        <v>778</v>
      </c>
      <c r="YU4" t="s">
        <v>2084</v>
      </c>
      <c r="YV4" t="s">
        <v>2087</v>
      </c>
      <c r="YW4" t="s">
        <v>2090</v>
      </c>
      <c r="YX4" t="s">
        <v>792</v>
      </c>
      <c r="YY4" t="s">
        <v>2093</v>
      </c>
      <c r="YZ4" t="s">
        <v>424</v>
      </c>
      <c r="ZA4" t="s">
        <v>1558</v>
      </c>
      <c r="ZB4" t="s">
        <v>1292</v>
      </c>
      <c r="ZC4" t="s">
        <v>2103</v>
      </c>
      <c r="ZD4" t="s">
        <v>863</v>
      </c>
      <c r="ZE4" t="s">
        <v>2106</v>
      </c>
      <c r="ZF4" t="s">
        <v>132</v>
      </c>
      <c r="ZG4" t="s">
        <v>2110</v>
      </c>
      <c r="ZH4" t="s">
        <v>718</v>
      </c>
      <c r="ZI4" t="s">
        <v>2116</v>
      </c>
      <c r="ZJ4" t="s">
        <v>2119</v>
      </c>
      <c r="ZK4" t="s">
        <v>1595</v>
      </c>
      <c r="ZL4" t="s">
        <v>2125</v>
      </c>
      <c r="ZM4" t="s">
        <v>1050</v>
      </c>
      <c r="ZN4" t="s">
        <v>2129</v>
      </c>
      <c r="ZO4" t="s">
        <v>1688</v>
      </c>
      <c r="ZP4" t="s">
        <v>2133</v>
      </c>
      <c r="ZQ4" t="s">
        <v>2136</v>
      </c>
      <c r="ZR4" t="s">
        <v>1034</v>
      </c>
      <c r="ZS4" t="s">
        <v>1145</v>
      </c>
      <c r="ZT4" t="s">
        <v>2141</v>
      </c>
      <c r="ZU4" t="s">
        <v>1651</v>
      </c>
      <c r="ZV4" t="s">
        <v>2146</v>
      </c>
      <c r="ZW4" t="s">
        <v>1453</v>
      </c>
      <c r="ZX4" t="s">
        <v>1719</v>
      </c>
      <c r="ZY4" t="s">
        <v>2153</v>
      </c>
      <c r="ZZ4" t="s">
        <v>1371</v>
      </c>
      <c r="AAA4" t="s">
        <v>447</v>
      </c>
      <c r="AAB4" t="s">
        <v>2159</v>
      </c>
      <c r="AAC4" t="s">
        <v>103</v>
      </c>
      <c r="AAD4" t="s">
        <v>2162</v>
      </c>
      <c r="AAE4" t="s">
        <v>2165</v>
      </c>
      <c r="AAF4" t="s">
        <v>285</v>
      </c>
      <c r="AAG4" t="s">
        <v>821</v>
      </c>
      <c r="AAH4" t="s">
        <v>2173</v>
      </c>
      <c r="AAI4" t="s">
        <v>2175</v>
      </c>
      <c r="AAJ4" t="s">
        <v>1137</v>
      </c>
      <c r="AAK4" t="s">
        <v>2181</v>
      </c>
      <c r="AAL4" t="s">
        <v>2184</v>
      </c>
      <c r="AAM4" t="s">
        <v>139</v>
      </c>
      <c r="AAN4" t="s">
        <v>149</v>
      </c>
      <c r="AAO4" t="s">
        <v>2189</v>
      </c>
      <c r="AAP4" t="s">
        <v>1809</v>
      </c>
      <c r="AAQ4" t="s">
        <v>2192</v>
      </c>
      <c r="AAR4" t="s">
        <v>2195</v>
      </c>
      <c r="AAS4" t="s">
        <v>368</v>
      </c>
      <c r="AAT4" t="s">
        <v>2199</v>
      </c>
      <c r="AAU4" t="s">
        <v>2201</v>
      </c>
      <c r="AAV4" t="s">
        <v>2203</v>
      </c>
      <c r="AAW4" t="s">
        <v>2205</v>
      </c>
      <c r="AAX4" t="s">
        <v>2208</v>
      </c>
      <c r="AAY4" t="s">
        <v>1245</v>
      </c>
      <c r="AAZ4" t="s">
        <v>475</v>
      </c>
      <c r="ABA4" t="s">
        <v>2214</v>
      </c>
      <c r="ABB4" t="s">
        <v>2218</v>
      </c>
      <c r="ABC4" t="s">
        <v>1017</v>
      </c>
      <c r="ABD4" t="s">
        <v>963</v>
      </c>
      <c r="ABE4" t="s">
        <v>1902</v>
      </c>
      <c r="ABF4" t="s">
        <v>2225</v>
      </c>
      <c r="ABG4" t="s">
        <v>24</v>
      </c>
      <c r="ABH4" t="s">
        <v>1987</v>
      </c>
      <c r="ABI4" t="s">
        <v>1788</v>
      </c>
      <c r="ABJ4" t="s">
        <v>761</v>
      </c>
      <c r="ABK4" t="s">
        <v>2234</v>
      </c>
      <c r="ABL4" t="s">
        <v>2237</v>
      </c>
      <c r="ABM4" t="s">
        <v>2240</v>
      </c>
      <c r="ABN4" t="s">
        <v>2243</v>
      </c>
      <c r="ABO4" t="s">
        <v>2246</v>
      </c>
      <c r="ABP4" t="s">
        <v>67</v>
      </c>
      <c r="ABQ4" t="s">
        <v>2250</v>
      </c>
      <c r="ABR4" t="s">
        <v>1224</v>
      </c>
      <c r="ABS4" t="s">
        <v>1114</v>
      </c>
      <c r="ABT4" t="s">
        <v>1800</v>
      </c>
      <c r="ABU4" t="s">
        <v>2257</v>
      </c>
      <c r="ABV4" t="s">
        <v>2259</v>
      </c>
      <c r="ABW4" t="s">
        <v>2262</v>
      </c>
      <c r="ABX4" t="s">
        <v>503</v>
      </c>
      <c r="ABY4" t="s">
        <v>1493</v>
      </c>
      <c r="ABZ4" t="s">
        <v>748</v>
      </c>
      <c r="ACA4" t="s">
        <v>492</v>
      </c>
      <c r="ACB4" t="s">
        <v>2271</v>
      </c>
      <c r="ACC4" t="s">
        <v>2274</v>
      </c>
      <c r="ACD4" t="s">
        <v>2278</v>
      </c>
      <c r="ACE4" t="s">
        <v>2250</v>
      </c>
      <c r="ACF4" t="s">
        <v>1942</v>
      </c>
      <c r="ACG4" t="s">
        <v>2282</v>
      </c>
      <c r="ACH4" t="s">
        <v>2285</v>
      </c>
      <c r="ACI4" t="s">
        <v>2287</v>
      </c>
      <c r="ACJ4" t="s">
        <v>2289</v>
      </c>
      <c r="ACK4" t="s">
        <v>2292</v>
      </c>
      <c r="ACL4" t="s">
        <v>998</v>
      </c>
      <c r="ACM4" t="s">
        <v>1400</v>
      </c>
      <c r="ACN4" t="s">
        <v>2205</v>
      </c>
      <c r="ACO4" t="s">
        <v>2303</v>
      </c>
      <c r="ACP4" t="s">
        <v>1928</v>
      </c>
      <c r="ACQ4" t="s">
        <v>2307</v>
      </c>
      <c r="ACR4" t="s">
        <v>611</v>
      </c>
      <c r="ACS4" t="s">
        <v>2274</v>
      </c>
      <c r="ACT4" t="s">
        <v>2312</v>
      </c>
      <c r="ACU4" t="s">
        <v>2314</v>
      </c>
      <c r="ACV4" t="s">
        <v>424</v>
      </c>
      <c r="ACW4" t="s">
        <v>875</v>
      </c>
      <c r="ACX4" t="s">
        <v>1601</v>
      </c>
      <c r="ACY4" t="s">
        <v>311</v>
      </c>
      <c r="ACZ4" t="s">
        <v>114</v>
      </c>
      <c r="ADA4" t="s">
        <v>2324</v>
      </c>
      <c r="ADB4" t="s">
        <v>1248</v>
      </c>
      <c r="ADC4" t="s">
        <v>1979</v>
      </c>
      <c r="ADD4" t="s">
        <v>2184</v>
      </c>
      <c r="ADE4" t="s">
        <v>2332</v>
      </c>
      <c r="ADF4" t="s">
        <v>2334</v>
      </c>
      <c r="ADG4" t="s">
        <v>1071</v>
      </c>
      <c r="ADH4" t="s">
        <v>514</v>
      </c>
      <c r="ADI4" t="s">
        <v>2342</v>
      </c>
      <c r="ADJ4" t="s">
        <v>387</v>
      </c>
      <c r="ADK4" t="s">
        <v>1438</v>
      </c>
      <c r="ADL4" t="s">
        <v>2350</v>
      </c>
      <c r="ADM4" t="s">
        <v>1071</v>
      </c>
      <c r="ADN4" t="s">
        <v>2357</v>
      </c>
      <c r="ADO4" t="s">
        <v>55</v>
      </c>
      <c r="ADP4" t="s">
        <v>1998</v>
      </c>
      <c r="ADQ4" t="s">
        <v>573</v>
      </c>
      <c r="ADR4" t="s">
        <v>2364</v>
      </c>
      <c r="ADS4" t="s">
        <v>2367</v>
      </c>
      <c r="ADT4" t="s">
        <v>1063</v>
      </c>
      <c r="ADU4" t="s">
        <v>1348</v>
      </c>
      <c r="ADV4" t="s">
        <v>1905</v>
      </c>
      <c r="ADW4" t="s">
        <v>2376</v>
      </c>
      <c r="ADX4" t="s">
        <v>2379</v>
      </c>
      <c r="ADY4" t="s">
        <v>15</v>
      </c>
      <c r="ADZ4" t="s">
        <v>2384</v>
      </c>
      <c r="AEA4" t="s">
        <v>2387</v>
      </c>
      <c r="AEB4" t="s">
        <v>2389</v>
      </c>
      <c r="AEC4" t="s">
        <v>2391</v>
      </c>
      <c r="AED4" t="s">
        <v>2393</v>
      </c>
      <c r="AEE4" t="s">
        <v>455</v>
      </c>
      <c r="AEF4" t="s">
        <v>666</v>
      </c>
      <c r="AEG4" t="s">
        <v>2399</v>
      </c>
      <c r="AEH4" t="s">
        <v>2402</v>
      </c>
      <c r="AEI4" t="s">
        <v>2405</v>
      </c>
      <c r="AEJ4" t="s">
        <v>821</v>
      </c>
      <c r="AEK4" t="s">
        <v>2410</v>
      </c>
      <c r="AEL4" t="s">
        <v>2199</v>
      </c>
      <c r="AEM4" t="s">
        <v>2415</v>
      </c>
      <c r="AEN4" t="s">
        <v>40</v>
      </c>
      <c r="AEO4" t="s">
        <v>1698</v>
      </c>
      <c r="AEP4" t="s">
        <v>2421</v>
      </c>
      <c r="AEQ4" t="s">
        <v>2424</v>
      </c>
      <c r="AER4" t="s">
        <v>2289</v>
      </c>
      <c r="AES4" t="s">
        <v>303</v>
      </c>
      <c r="AET4" t="s">
        <v>2429</v>
      </c>
      <c r="AEU4" t="s">
        <v>2278</v>
      </c>
      <c r="AEV4" t="s">
        <v>252</v>
      </c>
      <c r="AEW4" t="s">
        <v>2434</v>
      </c>
      <c r="AEX4" t="s">
        <v>806</v>
      </c>
      <c r="AEY4" t="s">
        <v>2439</v>
      </c>
      <c r="AEZ4" t="s">
        <v>2443</v>
      </c>
      <c r="AFA4" t="s">
        <v>2446</v>
      </c>
      <c r="AFB4" t="s">
        <v>2393</v>
      </c>
      <c r="AFC4" t="s">
        <v>2451</v>
      </c>
      <c r="AFD4" t="s">
        <v>2454</v>
      </c>
      <c r="AFE4" t="s">
        <v>2456</v>
      </c>
      <c r="AFF4" t="s">
        <v>341</v>
      </c>
      <c r="AFG4" t="s">
        <v>2461</v>
      </c>
      <c r="AFH4" t="s">
        <v>2465</v>
      </c>
      <c r="AFI4" t="s">
        <v>2467</v>
      </c>
      <c r="AFJ4" t="s">
        <v>2402</v>
      </c>
      <c r="AFK4" t="s">
        <v>2334</v>
      </c>
      <c r="AFL4" t="s">
        <v>299</v>
      </c>
      <c r="AFM4" t="s">
        <v>2474</v>
      </c>
      <c r="AFN4" t="s">
        <v>2476</v>
      </c>
      <c r="AFO4" t="s">
        <v>2021</v>
      </c>
      <c r="AFP4" t="s">
        <v>2480</v>
      </c>
      <c r="AFQ4" t="s">
        <v>1129</v>
      </c>
      <c r="AFR4" t="s">
        <v>838</v>
      </c>
      <c r="AFS4" t="s">
        <v>2173</v>
      </c>
      <c r="AFT4" t="s">
        <v>2490</v>
      </c>
      <c r="AFU4" t="s">
        <v>666</v>
      </c>
      <c r="AFV4" t="s">
        <v>2332</v>
      </c>
      <c r="AFW4" t="s">
        <v>2495</v>
      </c>
      <c r="AFX4" t="s">
        <v>888</v>
      </c>
      <c r="AFY4" t="s">
        <v>2500</v>
      </c>
      <c r="AFZ4" t="s">
        <v>2391</v>
      </c>
      <c r="AGA4" t="s">
        <v>2504</v>
      </c>
      <c r="AGB4" t="s">
        <v>2278</v>
      </c>
      <c r="AGC4" t="s">
        <v>1411</v>
      </c>
      <c r="AGD4" t="s">
        <v>857</v>
      </c>
      <c r="AGE4" t="s">
        <v>2512</v>
      </c>
      <c r="AGF4" t="s">
        <v>2514</v>
      </c>
      <c r="AGG4" t="s">
        <v>1475</v>
      </c>
      <c r="AGH4" t="s">
        <v>1266</v>
      </c>
      <c r="AGI4" t="s">
        <v>2518</v>
      </c>
      <c r="AGJ4" t="s">
        <v>2520</v>
      </c>
      <c r="AGK4" t="s">
        <v>2523</v>
      </c>
      <c r="AGL4" t="s">
        <v>2527</v>
      </c>
      <c r="AGM4" t="s">
        <v>1155</v>
      </c>
      <c r="AGN4" t="s">
        <v>2532</v>
      </c>
      <c r="AGO4" t="s">
        <v>2535</v>
      </c>
      <c r="AGP4" t="s">
        <v>1099</v>
      </c>
      <c r="AGQ4" t="s">
        <v>888</v>
      </c>
      <c r="AGR4" t="s">
        <v>2541</v>
      </c>
      <c r="AGS4" t="s">
        <v>170</v>
      </c>
      <c r="AGT4" t="s">
        <v>936</v>
      </c>
      <c r="AGU4" t="s">
        <v>1238</v>
      </c>
      <c r="AGV4" t="s">
        <v>2429</v>
      </c>
      <c r="AGW4" t="s">
        <v>2551</v>
      </c>
      <c r="AGX4" t="s">
        <v>2324</v>
      </c>
      <c r="AGY4" t="s">
        <v>1889</v>
      </c>
      <c r="AGZ4" t="s">
        <v>2557</v>
      </c>
      <c r="AHA4" t="s">
        <v>1533</v>
      </c>
      <c r="AHB4" t="s">
        <v>1998</v>
      </c>
      <c r="AHC4" t="s">
        <v>2562</v>
      </c>
      <c r="AHD4" t="s">
        <v>2564</v>
      </c>
      <c r="AHE4" t="s">
        <v>2566</v>
      </c>
      <c r="AHF4" t="s">
        <v>2568</v>
      </c>
      <c r="AHG4" t="s">
        <v>2570</v>
      </c>
      <c r="AHH4" t="s">
        <v>2572</v>
      </c>
      <c r="AHI4" t="s">
        <v>714</v>
      </c>
      <c r="AHJ4" t="s">
        <v>806</v>
      </c>
      <c r="AHK4" t="s">
        <v>153</v>
      </c>
      <c r="AHL4" t="s">
        <v>431</v>
      </c>
      <c r="AHM4" t="s">
        <v>2579</v>
      </c>
      <c r="AHN4" t="s">
        <v>514</v>
      </c>
      <c r="AHO4" t="s">
        <v>2583</v>
      </c>
      <c r="AHP4" t="s">
        <v>2586</v>
      </c>
      <c r="AHQ4" t="s">
        <v>548</v>
      </c>
      <c r="AHR4" t="s">
        <v>1355</v>
      </c>
      <c r="AHS4" t="s">
        <v>2591</v>
      </c>
      <c r="AHT4" t="s">
        <v>1992</v>
      </c>
      <c r="AHU4" t="s">
        <v>2596</v>
      </c>
      <c r="AHV4" t="s">
        <v>2599</v>
      </c>
      <c r="AHW4" t="s">
        <v>1188</v>
      </c>
      <c r="AHX4" t="s">
        <v>1524</v>
      </c>
      <c r="AHY4" t="s">
        <v>281</v>
      </c>
      <c r="AHZ4" t="s">
        <v>1724</v>
      </c>
      <c r="AIA4" t="s">
        <v>232</v>
      </c>
      <c r="AIB4" t="s">
        <v>1864</v>
      </c>
      <c r="AIC4" t="s">
        <v>2611</v>
      </c>
      <c r="AID4" t="s">
        <v>334</v>
      </c>
      <c r="AIE4" t="s">
        <v>912</v>
      </c>
      <c r="AIF4" t="s">
        <v>912</v>
      </c>
      <c r="AIG4" t="s">
        <v>1382</v>
      </c>
      <c r="AIH4" t="s">
        <v>2619</v>
      </c>
      <c r="AII4" t="s">
        <v>2623</v>
      </c>
      <c r="AIJ4" t="s">
        <v>1411</v>
      </c>
      <c r="AIK4" t="s">
        <v>2421</v>
      </c>
      <c r="AIL4" t="s">
        <v>2629</v>
      </c>
      <c r="AIM4" t="s">
        <v>475</v>
      </c>
      <c r="AIN4" t="s">
        <v>2282</v>
      </c>
      <c r="AIO4" t="s">
        <v>2633</v>
      </c>
      <c r="AIP4" t="s">
        <v>2282</v>
      </c>
      <c r="AIQ4" t="s">
        <v>2637</v>
      </c>
      <c r="AIR4" t="s">
        <v>55</v>
      </c>
      <c r="AIS4" t="s">
        <v>157</v>
      </c>
      <c r="AIT4" t="s">
        <v>2641</v>
      </c>
      <c r="AIU4" t="s">
        <v>228</v>
      </c>
      <c r="AIV4" t="s">
        <v>1588</v>
      </c>
      <c r="AIW4" t="s">
        <v>2243</v>
      </c>
      <c r="AIX4" t="s">
        <v>2647</v>
      </c>
      <c r="AIY4" t="s">
        <v>1942</v>
      </c>
      <c r="AIZ4" t="s">
        <v>1339</v>
      </c>
      <c r="AJA4" t="s">
        <v>315</v>
      </c>
      <c r="AJB4" t="s">
        <v>1924</v>
      </c>
      <c r="AJC4" t="s">
        <v>375</v>
      </c>
      <c r="AJD4" t="s">
        <v>1050</v>
      </c>
      <c r="AJE4" t="s">
        <v>224</v>
      </c>
      <c r="AJF4" t="s">
        <v>2660</v>
      </c>
      <c r="AJG4" t="s">
        <v>2389</v>
      </c>
      <c r="AJH4" t="s">
        <v>1992</v>
      </c>
      <c r="AJI4" t="s">
        <v>2237</v>
      </c>
      <c r="AJJ4" t="s">
        <v>399</v>
      </c>
      <c r="AJK4" t="s">
        <v>2669</v>
      </c>
      <c r="AJL4" t="s">
        <v>1496</v>
      </c>
      <c r="AJM4" t="s">
        <v>1595</v>
      </c>
      <c r="AJN4" t="s">
        <v>1263</v>
      </c>
      <c r="AJO4" t="s">
        <v>2476</v>
      </c>
      <c r="AJP4" t="s">
        <v>1693</v>
      </c>
      <c r="AJQ4" t="s">
        <v>906</v>
      </c>
      <c r="AJR4" t="s">
        <v>2007</v>
      </c>
      <c r="AJS4" t="s">
        <v>573</v>
      </c>
      <c r="AJT4" t="s">
        <v>922</v>
      </c>
      <c r="AJU4" t="s">
        <v>766</v>
      </c>
      <c r="AJV4" t="s">
        <v>1827</v>
      </c>
      <c r="AJW4" t="s">
        <v>2687</v>
      </c>
      <c r="AJX4" t="s">
        <v>2689</v>
      </c>
      <c r="AJY4" t="s">
        <v>2692</v>
      </c>
      <c r="AJZ4" t="s">
        <v>2689</v>
      </c>
      <c r="AKA4" t="s">
        <v>2015</v>
      </c>
      <c r="AKB4" t="s">
        <v>2697</v>
      </c>
      <c r="AKC4" t="s">
        <v>345</v>
      </c>
      <c r="AKD4" t="s">
        <v>2702</v>
      </c>
      <c r="AKE4" t="s">
        <v>2704</v>
      </c>
      <c r="AKF4" t="s">
        <v>1145</v>
      </c>
      <c r="AKG4" t="s">
        <v>1124</v>
      </c>
      <c r="AKH4" t="s">
        <v>1658</v>
      </c>
      <c r="AKI4" t="s">
        <v>2711</v>
      </c>
      <c r="AKJ4" t="s">
        <v>2312</v>
      </c>
      <c r="AKK4" t="s">
        <v>1013</v>
      </c>
      <c r="AKL4" t="s">
        <v>2490</v>
      </c>
      <c r="AKM4" t="s">
        <v>2716</v>
      </c>
      <c r="AKN4" t="s">
        <v>1085</v>
      </c>
      <c r="AKO4" t="s">
        <v>2259</v>
      </c>
      <c r="AKP4" t="s">
        <v>2669</v>
      </c>
      <c r="AKQ4" t="s">
        <v>379</v>
      </c>
      <c r="AKR4" t="s">
        <v>1493</v>
      </c>
      <c r="AKS4" t="s">
        <v>1435</v>
      </c>
      <c r="AKT4" t="s">
        <v>1728</v>
      </c>
      <c r="AKU4" t="s">
        <v>2728</v>
      </c>
      <c r="AKV4" t="s">
        <v>666</v>
      </c>
      <c r="AKW4" t="s">
        <v>2732</v>
      </c>
      <c r="AKX4" t="s">
        <v>1466</v>
      </c>
      <c r="AKY4" t="s">
        <v>199</v>
      </c>
      <c r="AKZ4" t="s">
        <v>2566</v>
      </c>
      <c r="ALA4" t="s">
        <v>1414</v>
      </c>
      <c r="ALB4" t="s">
        <v>315</v>
      </c>
      <c r="ALC4" t="s">
        <v>2669</v>
      </c>
      <c r="ALD4" t="s">
        <v>2742</v>
      </c>
      <c r="ALE4" t="s">
        <v>2745</v>
      </c>
      <c r="ALF4" t="s">
        <v>228</v>
      </c>
      <c r="ALG4" t="s">
        <v>1914</v>
      </c>
      <c r="ALH4" t="s">
        <v>1077</v>
      </c>
      <c r="ALI4" t="s">
        <v>2518</v>
      </c>
      <c r="ALJ4" t="s">
        <v>2752</v>
      </c>
      <c r="ALK4" t="s">
        <v>2564</v>
      </c>
      <c r="ALL4" t="s">
        <v>1134</v>
      </c>
      <c r="ALM4" t="s">
        <v>2756</v>
      </c>
    </row>
    <row r="5" spans="1:1001" ht="29.4" customHeight="1" x14ac:dyDescent="0.3">
      <c r="A5" s="1" t="s">
        <v>4</v>
      </c>
      <c r="B5" t="s">
        <v>16</v>
      </c>
      <c r="C5" t="s">
        <v>25</v>
      </c>
      <c r="D5" t="s">
        <v>34</v>
      </c>
      <c r="E5" t="s">
        <v>25</v>
      </c>
      <c r="F5" t="s">
        <v>34</v>
      </c>
      <c r="G5" t="s">
        <v>56</v>
      </c>
      <c r="H5" t="s">
        <v>62</v>
      </c>
      <c r="I5" t="s">
        <v>34</v>
      </c>
      <c r="J5" t="s">
        <v>34</v>
      </c>
      <c r="K5" t="s">
        <v>62</v>
      </c>
      <c r="L5" t="s">
        <v>62</v>
      </c>
      <c r="M5" t="s">
        <v>25</v>
      </c>
      <c r="N5" t="s">
        <v>34</v>
      </c>
      <c r="O5" t="s">
        <v>95</v>
      </c>
      <c r="P5" t="s">
        <v>62</v>
      </c>
      <c r="Q5" t="s">
        <v>104</v>
      </c>
      <c r="R5" t="s">
        <v>95</v>
      </c>
      <c r="S5" t="s">
        <v>16</v>
      </c>
      <c r="T5" t="s">
        <v>25</v>
      </c>
      <c r="U5" t="s">
        <v>25</v>
      </c>
      <c r="V5" t="s">
        <v>128</v>
      </c>
      <c r="W5" t="s">
        <v>56</v>
      </c>
      <c r="X5" t="s">
        <v>34</v>
      </c>
      <c r="Y5" t="s">
        <v>95</v>
      </c>
      <c r="Z5" t="s">
        <v>62</v>
      </c>
      <c r="AA5" t="s">
        <v>56</v>
      </c>
      <c r="AB5" t="s">
        <v>128</v>
      </c>
      <c r="AC5" t="s">
        <v>62</v>
      </c>
      <c r="AD5" t="s">
        <v>104</v>
      </c>
      <c r="AE5" t="s">
        <v>56</v>
      </c>
      <c r="AF5" t="s">
        <v>16</v>
      </c>
      <c r="AG5" t="s">
        <v>62</v>
      </c>
      <c r="AH5" t="s">
        <v>25</v>
      </c>
      <c r="AI5" t="s">
        <v>16</v>
      </c>
      <c r="AJ5" t="s">
        <v>104</v>
      </c>
      <c r="AK5" t="s">
        <v>16</v>
      </c>
      <c r="AL5" t="s">
        <v>34</v>
      </c>
      <c r="AM5" t="s">
        <v>104</v>
      </c>
      <c r="AN5" t="s">
        <v>62</v>
      </c>
      <c r="AO5" t="s">
        <v>104</v>
      </c>
      <c r="AP5" t="s">
        <v>62</v>
      </c>
      <c r="AQ5" t="s">
        <v>16</v>
      </c>
      <c r="AR5" t="s">
        <v>56</v>
      </c>
      <c r="AS5" t="s">
        <v>16</v>
      </c>
      <c r="AT5" t="s">
        <v>95</v>
      </c>
      <c r="AU5" t="s">
        <v>16</v>
      </c>
      <c r="AV5" t="s">
        <v>104</v>
      </c>
      <c r="AW5" t="s">
        <v>16</v>
      </c>
      <c r="AX5" t="s">
        <v>104</v>
      </c>
      <c r="AY5" t="s">
        <v>56</v>
      </c>
      <c r="AZ5" t="s">
        <v>95</v>
      </c>
      <c r="BA5" t="s">
        <v>128</v>
      </c>
      <c r="BB5" t="s">
        <v>25</v>
      </c>
      <c r="BC5" t="s">
        <v>62</v>
      </c>
      <c r="BD5" t="s">
        <v>104</v>
      </c>
      <c r="BE5" t="s">
        <v>16</v>
      </c>
      <c r="BF5" t="s">
        <v>128</v>
      </c>
      <c r="BG5" t="s">
        <v>104</v>
      </c>
      <c r="BH5" t="s">
        <v>95</v>
      </c>
      <c r="BI5" t="s">
        <v>128</v>
      </c>
      <c r="BJ5" t="s">
        <v>62</v>
      </c>
      <c r="BK5" t="s">
        <v>62</v>
      </c>
      <c r="BL5" t="s">
        <v>56</v>
      </c>
      <c r="BM5" t="s">
        <v>16</v>
      </c>
      <c r="BN5" t="s">
        <v>62</v>
      </c>
      <c r="BO5" t="s">
        <v>34</v>
      </c>
      <c r="BP5" t="s">
        <v>62</v>
      </c>
      <c r="BQ5" t="s">
        <v>62</v>
      </c>
      <c r="BR5" t="s">
        <v>95</v>
      </c>
      <c r="BS5" t="s">
        <v>34</v>
      </c>
      <c r="BT5" t="s">
        <v>128</v>
      </c>
      <c r="BU5" t="s">
        <v>56</v>
      </c>
      <c r="BV5" t="s">
        <v>25</v>
      </c>
      <c r="BW5" t="s">
        <v>25</v>
      </c>
      <c r="BX5" t="s">
        <v>56</v>
      </c>
      <c r="BY5" t="s">
        <v>128</v>
      </c>
      <c r="BZ5" t="s">
        <v>25</v>
      </c>
      <c r="CA5" t="s">
        <v>62</v>
      </c>
      <c r="CB5" t="s">
        <v>16</v>
      </c>
      <c r="CC5" t="s">
        <v>56</v>
      </c>
      <c r="CD5" t="s">
        <v>16</v>
      </c>
      <c r="CE5" t="s">
        <v>16</v>
      </c>
      <c r="CF5" t="s">
        <v>34</v>
      </c>
      <c r="CG5" t="s">
        <v>16</v>
      </c>
      <c r="CH5" t="s">
        <v>128</v>
      </c>
      <c r="CI5" t="s">
        <v>25</v>
      </c>
      <c r="CJ5" t="s">
        <v>25</v>
      </c>
      <c r="CK5" t="s">
        <v>104</v>
      </c>
      <c r="CL5" t="s">
        <v>104</v>
      </c>
      <c r="CM5" t="s">
        <v>95</v>
      </c>
      <c r="CN5" t="s">
        <v>104</v>
      </c>
      <c r="CO5" t="s">
        <v>34</v>
      </c>
      <c r="CP5" t="s">
        <v>16</v>
      </c>
      <c r="CQ5" t="s">
        <v>128</v>
      </c>
      <c r="CR5" t="s">
        <v>128</v>
      </c>
      <c r="CS5" t="s">
        <v>95</v>
      </c>
      <c r="CT5" t="s">
        <v>104</v>
      </c>
      <c r="CU5" t="s">
        <v>95</v>
      </c>
      <c r="CV5" t="s">
        <v>62</v>
      </c>
      <c r="CW5" t="s">
        <v>128</v>
      </c>
      <c r="CX5" t="s">
        <v>56</v>
      </c>
      <c r="CY5" t="s">
        <v>95</v>
      </c>
      <c r="CZ5" t="s">
        <v>25</v>
      </c>
      <c r="DA5" t="s">
        <v>34</v>
      </c>
      <c r="DB5" t="s">
        <v>128</v>
      </c>
      <c r="DC5" t="s">
        <v>56</v>
      </c>
      <c r="DD5" t="s">
        <v>104</v>
      </c>
      <c r="DE5" t="s">
        <v>56</v>
      </c>
      <c r="DF5" t="s">
        <v>62</v>
      </c>
      <c r="DG5" t="s">
        <v>128</v>
      </c>
      <c r="DH5" t="s">
        <v>56</v>
      </c>
      <c r="DI5" t="s">
        <v>104</v>
      </c>
      <c r="DJ5" t="s">
        <v>104</v>
      </c>
      <c r="DK5" t="s">
        <v>95</v>
      </c>
      <c r="DL5" t="s">
        <v>25</v>
      </c>
      <c r="DM5" t="s">
        <v>56</v>
      </c>
      <c r="DN5" t="s">
        <v>95</v>
      </c>
      <c r="DO5" t="s">
        <v>56</v>
      </c>
      <c r="DP5" t="s">
        <v>95</v>
      </c>
      <c r="DQ5" t="s">
        <v>128</v>
      </c>
      <c r="DR5" t="s">
        <v>128</v>
      </c>
      <c r="DS5" t="s">
        <v>104</v>
      </c>
      <c r="DT5" t="s">
        <v>95</v>
      </c>
      <c r="DU5" t="s">
        <v>62</v>
      </c>
      <c r="DV5" t="s">
        <v>25</v>
      </c>
      <c r="DW5" t="s">
        <v>34</v>
      </c>
      <c r="DX5" t="s">
        <v>34</v>
      </c>
      <c r="DY5" t="s">
        <v>95</v>
      </c>
      <c r="DZ5" t="s">
        <v>104</v>
      </c>
      <c r="EA5" t="s">
        <v>16</v>
      </c>
      <c r="EB5" t="s">
        <v>104</v>
      </c>
      <c r="EC5" t="s">
        <v>56</v>
      </c>
      <c r="ED5" t="s">
        <v>62</v>
      </c>
      <c r="EE5" t="s">
        <v>62</v>
      </c>
      <c r="EF5" t="s">
        <v>62</v>
      </c>
      <c r="EG5" t="s">
        <v>56</v>
      </c>
      <c r="EH5" t="s">
        <v>104</v>
      </c>
      <c r="EI5" t="s">
        <v>25</v>
      </c>
      <c r="EJ5" t="s">
        <v>95</v>
      </c>
      <c r="EK5" t="s">
        <v>62</v>
      </c>
      <c r="EL5" t="s">
        <v>34</v>
      </c>
      <c r="EM5" t="s">
        <v>128</v>
      </c>
      <c r="EN5" t="s">
        <v>104</v>
      </c>
      <c r="EO5" t="s">
        <v>34</v>
      </c>
      <c r="EP5" t="s">
        <v>128</v>
      </c>
      <c r="EQ5" t="s">
        <v>25</v>
      </c>
      <c r="ER5" t="s">
        <v>34</v>
      </c>
      <c r="ES5" t="s">
        <v>95</v>
      </c>
      <c r="ET5" t="s">
        <v>16</v>
      </c>
      <c r="EU5" t="s">
        <v>128</v>
      </c>
      <c r="EV5" t="s">
        <v>95</v>
      </c>
      <c r="EW5" t="s">
        <v>104</v>
      </c>
      <c r="EX5" t="s">
        <v>128</v>
      </c>
      <c r="EY5" t="s">
        <v>34</v>
      </c>
      <c r="EZ5" t="s">
        <v>56</v>
      </c>
      <c r="FA5" t="s">
        <v>104</v>
      </c>
      <c r="FB5" t="s">
        <v>34</v>
      </c>
      <c r="FC5" t="s">
        <v>95</v>
      </c>
      <c r="FD5" t="s">
        <v>56</v>
      </c>
      <c r="FE5" t="s">
        <v>56</v>
      </c>
      <c r="FF5" t="s">
        <v>34</v>
      </c>
      <c r="FG5" t="s">
        <v>16</v>
      </c>
      <c r="FH5" t="s">
        <v>128</v>
      </c>
      <c r="FI5" t="s">
        <v>16</v>
      </c>
      <c r="FJ5" t="s">
        <v>56</v>
      </c>
      <c r="FK5" t="s">
        <v>16</v>
      </c>
      <c r="FL5" t="s">
        <v>95</v>
      </c>
      <c r="FM5" t="s">
        <v>62</v>
      </c>
      <c r="FN5" t="s">
        <v>104</v>
      </c>
      <c r="FO5" t="s">
        <v>104</v>
      </c>
      <c r="FP5" t="s">
        <v>34</v>
      </c>
      <c r="FQ5" t="s">
        <v>104</v>
      </c>
      <c r="FR5" t="s">
        <v>62</v>
      </c>
      <c r="FS5" t="s">
        <v>95</v>
      </c>
      <c r="FT5" t="s">
        <v>128</v>
      </c>
      <c r="FU5" t="s">
        <v>25</v>
      </c>
      <c r="FV5" t="s">
        <v>16</v>
      </c>
      <c r="FW5" t="s">
        <v>128</v>
      </c>
      <c r="FX5" t="s">
        <v>34</v>
      </c>
      <c r="FY5" t="s">
        <v>104</v>
      </c>
      <c r="FZ5" t="s">
        <v>25</v>
      </c>
      <c r="GA5" t="s">
        <v>62</v>
      </c>
      <c r="GB5" t="s">
        <v>56</v>
      </c>
      <c r="GC5" t="s">
        <v>104</v>
      </c>
      <c r="GD5" t="s">
        <v>128</v>
      </c>
      <c r="GE5" t="s">
        <v>104</v>
      </c>
      <c r="GF5" t="s">
        <v>25</v>
      </c>
      <c r="GG5" t="s">
        <v>25</v>
      </c>
      <c r="GH5" t="s">
        <v>128</v>
      </c>
      <c r="GI5" t="s">
        <v>128</v>
      </c>
      <c r="GJ5" t="s">
        <v>25</v>
      </c>
      <c r="GK5" t="s">
        <v>104</v>
      </c>
      <c r="GL5" t="s">
        <v>34</v>
      </c>
      <c r="GM5" t="s">
        <v>62</v>
      </c>
      <c r="GN5" t="s">
        <v>34</v>
      </c>
      <c r="GO5" t="s">
        <v>56</v>
      </c>
      <c r="GP5" t="s">
        <v>56</v>
      </c>
      <c r="GQ5" t="s">
        <v>25</v>
      </c>
      <c r="GR5" t="s">
        <v>16</v>
      </c>
      <c r="GS5" t="s">
        <v>16</v>
      </c>
      <c r="GT5" t="s">
        <v>16</v>
      </c>
      <c r="GU5" t="s">
        <v>95</v>
      </c>
      <c r="GV5" t="s">
        <v>95</v>
      </c>
      <c r="GW5" t="s">
        <v>62</v>
      </c>
      <c r="GX5" t="s">
        <v>95</v>
      </c>
      <c r="GY5" t="s">
        <v>128</v>
      </c>
      <c r="GZ5" t="s">
        <v>25</v>
      </c>
      <c r="HA5" t="s">
        <v>16</v>
      </c>
      <c r="HB5" t="s">
        <v>62</v>
      </c>
      <c r="HC5" t="s">
        <v>34</v>
      </c>
      <c r="HD5" t="s">
        <v>34</v>
      </c>
      <c r="HE5" t="s">
        <v>16</v>
      </c>
      <c r="HF5" t="s">
        <v>16</v>
      </c>
      <c r="HG5" t="s">
        <v>34</v>
      </c>
      <c r="HH5" t="s">
        <v>25</v>
      </c>
      <c r="HI5" t="s">
        <v>34</v>
      </c>
      <c r="HJ5" t="s">
        <v>62</v>
      </c>
      <c r="HK5" t="s">
        <v>16</v>
      </c>
      <c r="HL5" t="s">
        <v>16</v>
      </c>
      <c r="HM5" t="s">
        <v>34</v>
      </c>
      <c r="HN5" t="s">
        <v>62</v>
      </c>
      <c r="HO5" t="s">
        <v>56</v>
      </c>
      <c r="HP5" t="s">
        <v>104</v>
      </c>
      <c r="HQ5" t="s">
        <v>128</v>
      </c>
      <c r="HR5" t="s">
        <v>62</v>
      </c>
      <c r="HS5" t="s">
        <v>128</v>
      </c>
      <c r="HT5" t="s">
        <v>104</v>
      </c>
      <c r="HU5" t="s">
        <v>56</v>
      </c>
      <c r="HV5" t="s">
        <v>34</v>
      </c>
      <c r="HW5" t="s">
        <v>56</v>
      </c>
      <c r="HX5" t="s">
        <v>25</v>
      </c>
      <c r="HY5" t="s">
        <v>128</v>
      </c>
      <c r="HZ5" t="s">
        <v>104</v>
      </c>
      <c r="IA5" t="s">
        <v>56</v>
      </c>
      <c r="IB5" t="s">
        <v>95</v>
      </c>
      <c r="IC5" t="s">
        <v>56</v>
      </c>
      <c r="ID5" t="s">
        <v>25</v>
      </c>
      <c r="IE5" t="s">
        <v>62</v>
      </c>
      <c r="IF5" t="s">
        <v>34</v>
      </c>
      <c r="IG5" t="s">
        <v>16</v>
      </c>
      <c r="IH5" t="s">
        <v>62</v>
      </c>
      <c r="II5" t="s">
        <v>95</v>
      </c>
      <c r="IJ5" t="s">
        <v>25</v>
      </c>
      <c r="IK5" t="s">
        <v>95</v>
      </c>
      <c r="IL5" t="s">
        <v>128</v>
      </c>
      <c r="IM5" t="s">
        <v>25</v>
      </c>
      <c r="IN5" t="s">
        <v>62</v>
      </c>
      <c r="IO5" t="s">
        <v>34</v>
      </c>
      <c r="IP5" t="s">
        <v>16</v>
      </c>
      <c r="IQ5" t="s">
        <v>34</v>
      </c>
      <c r="IR5" t="s">
        <v>104</v>
      </c>
      <c r="IS5" t="s">
        <v>104</v>
      </c>
      <c r="IT5" t="s">
        <v>56</v>
      </c>
      <c r="IU5" t="s">
        <v>104</v>
      </c>
      <c r="IV5" t="s">
        <v>62</v>
      </c>
      <c r="IW5" t="s">
        <v>95</v>
      </c>
      <c r="IX5" t="s">
        <v>128</v>
      </c>
      <c r="IY5" t="s">
        <v>104</v>
      </c>
      <c r="IZ5" t="s">
        <v>95</v>
      </c>
      <c r="JA5" t="s">
        <v>104</v>
      </c>
      <c r="JB5" t="s">
        <v>56</v>
      </c>
      <c r="JC5" t="s">
        <v>62</v>
      </c>
      <c r="JD5" t="s">
        <v>104</v>
      </c>
      <c r="JE5" t="s">
        <v>25</v>
      </c>
      <c r="JF5" t="s">
        <v>25</v>
      </c>
      <c r="JG5" t="s">
        <v>25</v>
      </c>
      <c r="JH5" t="s">
        <v>34</v>
      </c>
      <c r="JI5" t="s">
        <v>95</v>
      </c>
      <c r="JJ5" t="s">
        <v>25</v>
      </c>
      <c r="JK5" t="s">
        <v>34</v>
      </c>
      <c r="JL5" t="s">
        <v>25</v>
      </c>
      <c r="JM5" t="s">
        <v>25</v>
      </c>
      <c r="JN5" t="s">
        <v>34</v>
      </c>
      <c r="JO5" t="s">
        <v>95</v>
      </c>
      <c r="JP5" t="s">
        <v>34</v>
      </c>
      <c r="JQ5" t="s">
        <v>16</v>
      </c>
      <c r="JR5" t="s">
        <v>95</v>
      </c>
      <c r="JS5" t="s">
        <v>128</v>
      </c>
      <c r="JT5" t="s">
        <v>95</v>
      </c>
      <c r="JU5" t="s">
        <v>128</v>
      </c>
      <c r="JV5" t="s">
        <v>16</v>
      </c>
      <c r="JW5" t="s">
        <v>95</v>
      </c>
      <c r="JX5" t="s">
        <v>128</v>
      </c>
      <c r="JY5" t="s">
        <v>16</v>
      </c>
      <c r="JZ5" t="s">
        <v>34</v>
      </c>
      <c r="KA5" t="s">
        <v>16</v>
      </c>
      <c r="KB5" t="s">
        <v>95</v>
      </c>
      <c r="KC5" t="s">
        <v>25</v>
      </c>
      <c r="KD5" t="s">
        <v>95</v>
      </c>
      <c r="KE5" t="s">
        <v>128</v>
      </c>
      <c r="KF5" t="s">
        <v>56</v>
      </c>
      <c r="KG5" t="s">
        <v>95</v>
      </c>
      <c r="KH5" t="s">
        <v>104</v>
      </c>
      <c r="KI5" t="s">
        <v>128</v>
      </c>
      <c r="KJ5" t="s">
        <v>34</v>
      </c>
      <c r="KK5" t="s">
        <v>25</v>
      </c>
      <c r="KL5" t="s">
        <v>95</v>
      </c>
      <c r="KM5" t="s">
        <v>62</v>
      </c>
      <c r="KN5" t="s">
        <v>56</v>
      </c>
      <c r="KO5" t="s">
        <v>128</v>
      </c>
      <c r="KP5" t="s">
        <v>25</v>
      </c>
      <c r="KQ5" t="s">
        <v>16</v>
      </c>
      <c r="KR5" t="s">
        <v>62</v>
      </c>
      <c r="KS5" t="s">
        <v>128</v>
      </c>
      <c r="KT5" t="s">
        <v>104</v>
      </c>
      <c r="KU5" t="s">
        <v>104</v>
      </c>
      <c r="KV5" t="s">
        <v>25</v>
      </c>
      <c r="KW5" t="s">
        <v>104</v>
      </c>
      <c r="KX5" t="s">
        <v>16</v>
      </c>
      <c r="KY5" t="s">
        <v>56</v>
      </c>
      <c r="KZ5" t="s">
        <v>128</v>
      </c>
      <c r="LA5" t="s">
        <v>95</v>
      </c>
      <c r="LB5" t="s">
        <v>34</v>
      </c>
      <c r="LC5" t="s">
        <v>25</v>
      </c>
      <c r="LD5" t="s">
        <v>104</v>
      </c>
      <c r="LE5" t="s">
        <v>95</v>
      </c>
      <c r="LF5" t="s">
        <v>16</v>
      </c>
      <c r="LG5" t="s">
        <v>104</v>
      </c>
      <c r="LH5" t="s">
        <v>104</v>
      </c>
      <c r="LI5" t="s">
        <v>104</v>
      </c>
      <c r="LJ5" t="s">
        <v>104</v>
      </c>
      <c r="LK5" t="s">
        <v>34</v>
      </c>
      <c r="LL5" t="s">
        <v>25</v>
      </c>
      <c r="LM5" t="s">
        <v>104</v>
      </c>
      <c r="LN5" t="s">
        <v>16</v>
      </c>
      <c r="LO5" t="s">
        <v>56</v>
      </c>
      <c r="LP5" t="s">
        <v>104</v>
      </c>
      <c r="LQ5" t="s">
        <v>104</v>
      </c>
      <c r="LR5" t="s">
        <v>128</v>
      </c>
      <c r="LS5" t="s">
        <v>25</v>
      </c>
      <c r="LT5" t="s">
        <v>62</v>
      </c>
      <c r="LU5" t="s">
        <v>95</v>
      </c>
      <c r="LV5" t="s">
        <v>95</v>
      </c>
      <c r="LW5" t="s">
        <v>128</v>
      </c>
      <c r="LX5" t="s">
        <v>104</v>
      </c>
      <c r="LY5" t="s">
        <v>16</v>
      </c>
      <c r="LZ5" t="s">
        <v>128</v>
      </c>
      <c r="MA5" t="s">
        <v>16</v>
      </c>
      <c r="MB5" t="s">
        <v>128</v>
      </c>
      <c r="MC5" t="s">
        <v>56</v>
      </c>
      <c r="MD5" t="s">
        <v>104</v>
      </c>
      <c r="ME5" t="s">
        <v>62</v>
      </c>
      <c r="MF5" t="s">
        <v>128</v>
      </c>
      <c r="MG5" t="s">
        <v>16</v>
      </c>
      <c r="MH5" t="s">
        <v>104</v>
      </c>
      <c r="MI5" t="s">
        <v>56</v>
      </c>
      <c r="MJ5" t="s">
        <v>128</v>
      </c>
      <c r="MK5" t="s">
        <v>95</v>
      </c>
      <c r="ML5" t="s">
        <v>56</v>
      </c>
      <c r="MM5" t="s">
        <v>62</v>
      </c>
      <c r="MN5" t="s">
        <v>62</v>
      </c>
      <c r="MO5" t="s">
        <v>25</v>
      </c>
      <c r="MP5" t="s">
        <v>62</v>
      </c>
      <c r="MQ5" t="s">
        <v>25</v>
      </c>
      <c r="MR5" t="s">
        <v>128</v>
      </c>
      <c r="MS5" t="s">
        <v>16</v>
      </c>
      <c r="MT5" t="s">
        <v>95</v>
      </c>
      <c r="MU5" t="s">
        <v>56</v>
      </c>
      <c r="MV5" t="s">
        <v>34</v>
      </c>
      <c r="MW5" t="s">
        <v>95</v>
      </c>
      <c r="MX5" t="s">
        <v>16</v>
      </c>
      <c r="MY5" t="s">
        <v>104</v>
      </c>
      <c r="MZ5" t="s">
        <v>56</v>
      </c>
      <c r="NA5" t="s">
        <v>34</v>
      </c>
      <c r="NB5" t="s">
        <v>25</v>
      </c>
      <c r="NC5" t="s">
        <v>62</v>
      </c>
      <c r="ND5" t="s">
        <v>95</v>
      </c>
      <c r="NE5" t="s">
        <v>128</v>
      </c>
      <c r="NF5" t="s">
        <v>128</v>
      </c>
      <c r="NG5" t="s">
        <v>128</v>
      </c>
      <c r="NH5" t="s">
        <v>95</v>
      </c>
      <c r="NI5" t="s">
        <v>25</v>
      </c>
      <c r="NJ5" t="s">
        <v>128</v>
      </c>
      <c r="NK5" t="s">
        <v>62</v>
      </c>
      <c r="NL5" t="s">
        <v>56</v>
      </c>
      <c r="NM5" t="s">
        <v>16</v>
      </c>
      <c r="NN5" t="s">
        <v>128</v>
      </c>
      <c r="NO5" t="s">
        <v>25</v>
      </c>
      <c r="NP5" t="s">
        <v>34</v>
      </c>
      <c r="NQ5" t="s">
        <v>34</v>
      </c>
      <c r="NR5" t="s">
        <v>56</v>
      </c>
      <c r="NS5" t="s">
        <v>95</v>
      </c>
      <c r="NT5" t="s">
        <v>62</v>
      </c>
      <c r="NU5" t="s">
        <v>25</v>
      </c>
      <c r="NV5" t="s">
        <v>16</v>
      </c>
      <c r="NW5" t="s">
        <v>104</v>
      </c>
      <c r="NX5" t="s">
        <v>128</v>
      </c>
      <c r="NY5" t="s">
        <v>62</v>
      </c>
      <c r="NZ5" t="s">
        <v>56</v>
      </c>
      <c r="OA5" t="s">
        <v>34</v>
      </c>
      <c r="OB5" t="s">
        <v>62</v>
      </c>
      <c r="OC5" t="s">
        <v>95</v>
      </c>
      <c r="OD5" t="s">
        <v>25</v>
      </c>
      <c r="OE5" t="s">
        <v>34</v>
      </c>
      <c r="OF5" t="s">
        <v>128</v>
      </c>
      <c r="OG5" t="s">
        <v>62</v>
      </c>
      <c r="OH5" t="s">
        <v>128</v>
      </c>
      <c r="OI5" t="s">
        <v>56</v>
      </c>
      <c r="OJ5" t="s">
        <v>95</v>
      </c>
      <c r="OK5" t="s">
        <v>25</v>
      </c>
      <c r="OL5" t="s">
        <v>34</v>
      </c>
      <c r="OM5" t="s">
        <v>104</v>
      </c>
      <c r="ON5" t="s">
        <v>128</v>
      </c>
      <c r="OO5" t="s">
        <v>25</v>
      </c>
      <c r="OP5" t="s">
        <v>104</v>
      </c>
      <c r="OQ5" t="s">
        <v>62</v>
      </c>
      <c r="OR5" t="s">
        <v>34</v>
      </c>
      <c r="OS5" t="s">
        <v>25</v>
      </c>
      <c r="OT5" t="s">
        <v>16</v>
      </c>
      <c r="OU5" t="s">
        <v>95</v>
      </c>
      <c r="OV5" t="s">
        <v>128</v>
      </c>
      <c r="OW5" t="s">
        <v>62</v>
      </c>
      <c r="OX5" t="s">
        <v>95</v>
      </c>
      <c r="OY5" t="s">
        <v>128</v>
      </c>
      <c r="OZ5" t="s">
        <v>104</v>
      </c>
      <c r="PA5" t="s">
        <v>104</v>
      </c>
      <c r="PB5" t="s">
        <v>62</v>
      </c>
      <c r="PC5" t="s">
        <v>128</v>
      </c>
      <c r="PD5" t="s">
        <v>34</v>
      </c>
      <c r="PE5" t="s">
        <v>34</v>
      </c>
      <c r="PF5" t="s">
        <v>34</v>
      </c>
      <c r="PG5" t="s">
        <v>128</v>
      </c>
      <c r="PH5" t="s">
        <v>16</v>
      </c>
      <c r="PI5" t="s">
        <v>62</v>
      </c>
      <c r="PJ5" t="s">
        <v>95</v>
      </c>
      <c r="PK5" t="s">
        <v>104</v>
      </c>
      <c r="PL5" t="s">
        <v>34</v>
      </c>
      <c r="PM5" t="s">
        <v>56</v>
      </c>
      <c r="PN5" t="s">
        <v>128</v>
      </c>
      <c r="PO5" t="s">
        <v>104</v>
      </c>
      <c r="PP5" t="s">
        <v>128</v>
      </c>
      <c r="PQ5" t="s">
        <v>25</v>
      </c>
      <c r="PR5" t="s">
        <v>34</v>
      </c>
      <c r="PS5" t="s">
        <v>62</v>
      </c>
      <c r="PT5" t="s">
        <v>56</v>
      </c>
      <c r="PU5" t="s">
        <v>25</v>
      </c>
      <c r="PV5" t="s">
        <v>62</v>
      </c>
      <c r="PW5" t="s">
        <v>56</v>
      </c>
      <c r="PX5" t="s">
        <v>25</v>
      </c>
      <c r="PY5" t="s">
        <v>128</v>
      </c>
      <c r="PZ5" t="s">
        <v>56</v>
      </c>
      <c r="QA5" t="s">
        <v>128</v>
      </c>
      <c r="QB5" t="s">
        <v>16</v>
      </c>
      <c r="QC5" t="s">
        <v>128</v>
      </c>
      <c r="QD5" t="s">
        <v>56</v>
      </c>
      <c r="QE5" t="s">
        <v>128</v>
      </c>
      <c r="QF5" t="s">
        <v>25</v>
      </c>
      <c r="QG5" t="s">
        <v>95</v>
      </c>
      <c r="QH5" t="s">
        <v>25</v>
      </c>
      <c r="QI5" t="s">
        <v>56</v>
      </c>
      <c r="QJ5" t="s">
        <v>25</v>
      </c>
      <c r="QK5" t="s">
        <v>62</v>
      </c>
      <c r="QL5" t="s">
        <v>25</v>
      </c>
      <c r="QM5" t="s">
        <v>104</v>
      </c>
      <c r="QN5" t="s">
        <v>25</v>
      </c>
      <c r="QO5" t="s">
        <v>34</v>
      </c>
      <c r="QP5" t="s">
        <v>25</v>
      </c>
      <c r="QQ5" t="s">
        <v>95</v>
      </c>
      <c r="QR5" t="s">
        <v>25</v>
      </c>
      <c r="QS5" t="s">
        <v>62</v>
      </c>
      <c r="QT5" t="s">
        <v>25</v>
      </c>
      <c r="QU5" t="s">
        <v>25</v>
      </c>
      <c r="QV5" t="s">
        <v>62</v>
      </c>
      <c r="QW5" t="s">
        <v>56</v>
      </c>
      <c r="QX5" t="s">
        <v>25</v>
      </c>
      <c r="QY5" t="s">
        <v>95</v>
      </c>
      <c r="QZ5" t="s">
        <v>95</v>
      </c>
      <c r="RA5" t="s">
        <v>95</v>
      </c>
      <c r="RB5" t="s">
        <v>16</v>
      </c>
      <c r="RC5" t="s">
        <v>16</v>
      </c>
      <c r="RD5" t="s">
        <v>104</v>
      </c>
      <c r="RE5" t="s">
        <v>62</v>
      </c>
      <c r="RF5" t="s">
        <v>128</v>
      </c>
      <c r="RG5" t="s">
        <v>128</v>
      </c>
      <c r="RH5" t="s">
        <v>104</v>
      </c>
      <c r="RI5" t="s">
        <v>128</v>
      </c>
      <c r="RJ5" t="s">
        <v>34</v>
      </c>
      <c r="RK5" t="s">
        <v>56</v>
      </c>
      <c r="RL5" t="s">
        <v>34</v>
      </c>
      <c r="RM5" t="s">
        <v>16</v>
      </c>
      <c r="RN5" t="s">
        <v>56</v>
      </c>
      <c r="RO5" t="s">
        <v>95</v>
      </c>
      <c r="RP5" t="s">
        <v>104</v>
      </c>
      <c r="RQ5" t="s">
        <v>56</v>
      </c>
      <c r="RR5" t="s">
        <v>95</v>
      </c>
      <c r="RS5" t="s">
        <v>62</v>
      </c>
      <c r="RT5" t="s">
        <v>128</v>
      </c>
      <c r="RU5" t="s">
        <v>95</v>
      </c>
      <c r="RV5" t="s">
        <v>34</v>
      </c>
      <c r="RW5" t="s">
        <v>62</v>
      </c>
      <c r="RX5" t="s">
        <v>34</v>
      </c>
      <c r="RY5" t="s">
        <v>25</v>
      </c>
      <c r="RZ5" t="s">
        <v>56</v>
      </c>
      <c r="SA5" t="s">
        <v>56</v>
      </c>
      <c r="SB5" t="s">
        <v>104</v>
      </c>
      <c r="SC5" t="s">
        <v>34</v>
      </c>
      <c r="SD5" t="s">
        <v>34</v>
      </c>
      <c r="SE5" t="s">
        <v>104</v>
      </c>
      <c r="SF5" t="s">
        <v>34</v>
      </c>
      <c r="SG5" t="s">
        <v>104</v>
      </c>
      <c r="SH5" t="s">
        <v>56</v>
      </c>
      <c r="SI5" t="s">
        <v>95</v>
      </c>
      <c r="SJ5" t="s">
        <v>34</v>
      </c>
      <c r="SK5" t="s">
        <v>62</v>
      </c>
      <c r="SL5" t="s">
        <v>62</v>
      </c>
      <c r="SM5" t="s">
        <v>56</v>
      </c>
      <c r="SN5" t="s">
        <v>25</v>
      </c>
      <c r="SO5" t="s">
        <v>62</v>
      </c>
      <c r="SP5" t="s">
        <v>56</v>
      </c>
      <c r="SQ5" t="s">
        <v>25</v>
      </c>
      <c r="SR5" t="s">
        <v>62</v>
      </c>
      <c r="SS5" t="s">
        <v>56</v>
      </c>
      <c r="ST5" t="s">
        <v>16</v>
      </c>
      <c r="SU5" t="s">
        <v>95</v>
      </c>
      <c r="SV5" t="s">
        <v>16</v>
      </c>
      <c r="SW5" t="s">
        <v>128</v>
      </c>
      <c r="SX5" t="s">
        <v>128</v>
      </c>
      <c r="SY5" t="s">
        <v>95</v>
      </c>
      <c r="SZ5" t="s">
        <v>16</v>
      </c>
      <c r="TA5" t="s">
        <v>128</v>
      </c>
      <c r="TB5" t="s">
        <v>16</v>
      </c>
      <c r="TC5" t="s">
        <v>62</v>
      </c>
      <c r="TD5" t="s">
        <v>34</v>
      </c>
      <c r="TE5" t="s">
        <v>62</v>
      </c>
      <c r="TF5" t="s">
        <v>34</v>
      </c>
      <c r="TG5" t="s">
        <v>34</v>
      </c>
      <c r="TH5" t="s">
        <v>95</v>
      </c>
      <c r="TI5" t="s">
        <v>56</v>
      </c>
      <c r="TJ5" t="s">
        <v>56</v>
      </c>
      <c r="TK5" t="s">
        <v>62</v>
      </c>
      <c r="TL5" t="s">
        <v>128</v>
      </c>
      <c r="TM5" t="s">
        <v>62</v>
      </c>
      <c r="TN5" t="s">
        <v>62</v>
      </c>
      <c r="TO5" t="s">
        <v>95</v>
      </c>
      <c r="TP5" t="s">
        <v>16</v>
      </c>
      <c r="TQ5" t="s">
        <v>62</v>
      </c>
      <c r="TR5" t="s">
        <v>128</v>
      </c>
      <c r="TS5" t="s">
        <v>25</v>
      </c>
      <c r="TT5" t="s">
        <v>62</v>
      </c>
      <c r="TU5" t="s">
        <v>128</v>
      </c>
      <c r="TV5" t="s">
        <v>16</v>
      </c>
      <c r="TW5" t="s">
        <v>62</v>
      </c>
      <c r="TX5" t="s">
        <v>62</v>
      </c>
      <c r="TY5" t="s">
        <v>16</v>
      </c>
      <c r="TZ5" t="s">
        <v>16</v>
      </c>
      <c r="UA5" t="s">
        <v>34</v>
      </c>
      <c r="UB5" t="s">
        <v>128</v>
      </c>
      <c r="UC5" t="s">
        <v>34</v>
      </c>
      <c r="UD5" t="s">
        <v>56</v>
      </c>
      <c r="UE5" t="s">
        <v>104</v>
      </c>
      <c r="UF5" t="s">
        <v>104</v>
      </c>
      <c r="UG5" t="s">
        <v>62</v>
      </c>
      <c r="UH5" t="s">
        <v>16</v>
      </c>
      <c r="UI5" t="s">
        <v>16</v>
      </c>
      <c r="UJ5" t="s">
        <v>62</v>
      </c>
      <c r="UK5" t="s">
        <v>25</v>
      </c>
      <c r="UL5" t="s">
        <v>56</v>
      </c>
      <c r="UM5" t="s">
        <v>56</v>
      </c>
      <c r="UN5" t="s">
        <v>16</v>
      </c>
      <c r="UO5" t="s">
        <v>95</v>
      </c>
      <c r="UP5" t="s">
        <v>62</v>
      </c>
      <c r="UQ5" t="s">
        <v>104</v>
      </c>
      <c r="UR5" t="s">
        <v>16</v>
      </c>
      <c r="US5" t="s">
        <v>128</v>
      </c>
      <c r="UT5" t="s">
        <v>25</v>
      </c>
      <c r="UU5" t="s">
        <v>34</v>
      </c>
      <c r="UV5" t="s">
        <v>95</v>
      </c>
      <c r="UW5" t="s">
        <v>56</v>
      </c>
      <c r="UX5" t="s">
        <v>25</v>
      </c>
      <c r="UY5" t="s">
        <v>95</v>
      </c>
      <c r="UZ5" t="s">
        <v>56</v>
      </c>
      <c r="VA5" t="s">
        <v>62</v>
      </c>
      <c r="VB5" t="s">
        <v>34</v>
      </c>
      <c r="VC5" t="s">
        <v>128</v>
      </c>
      <c r="VD5" t="s">
        <v>34</v>
      </c>
      <c r="VE5" t="s">
        <v>104</v>
      </c>
      <c r="VF5" t="s">
        <v>95</v>
      </c>
      <c r="VG5" t="s">
        <v>104</v>
      </c>
      <c r="VH5" t="s">
        <v>34</v>
      </c>
      <c r="VI5" t="s">
        <v>34</v>
      </c>
      <c r="VJ5" t="s">
        <v>56</v>
      </c>
      <c r="VK5" t="s">
        <v>16</v>
      </c>
      <c r="VL5" t="s">
        <v>16</v>
      </c>
      <c r="VM5" t="s">
        <v>104</v>
      </c>
      <c r="VN5" t="s">
        <v>95</v>
      </c>
      <c r="VO5" t="s">
        <v>95</v>
      </c>
      <c r="VP5" t="s">
        <v>104</v>
      </c>
      <c r="VQ5" t="s">
        <v>128</v>
      </c>
      <c r="VR5" t="s">
        <v>16</v>
      </c>
      <c r="VS5" t="s">
        <v>25</v>
      </c>
      <c r="VT5" t="s">
        <v>104</v>
      </c>
      <c r="VU5" t="s">
        <v>25</v>
      </c>
      <c r="VV5" t="s">
        <v>25</v>
      </c>
      <c r="VW5" t="s">
        <v>95</v>
      </c>
      <c r="VX5" t="s">
        <v>34</v>
      </c>
      <c r="VY5" t="s">
        <v>128</v>
      </c>
      <c r="VZ5" t="s">
        <v>104</v>
      </c>
      <c r="WA5" t="s">
        <v>95</v>
      </c>
      <c r="WB5" t="s">
        <v>56</v>
      </c>
      <c r="WC5" t="s">
        <v>25</v>
      </c>
      <c r="WD5" t="s">
        <v>16</v>
      </c>
      <c r="WE5" t="s">
        <v>25</v>
      </c>
      <c r="WF5" t="s">
        <v>56</v>
      </c>
      <c r="WG5" t="s">
        <v>95</v>
      </c>
      <c r="WH5" t="s">
        <v>34</v>
      </c>
      <c r="WI5" t="s">
        <v>128</v>
      </c>
      <c r="WJ5" t="s">
        <v>34</v>
      </c>
      <c r="WK5" t="s">
        <v>104</v>
      </c>
      <c r="WL5" t="s">
        <v>56</v>
      </c>
      <c r="WM5" t="s">
        <v>95</v>
      </c>
      <c r="WN5" t="s">
        <v>62</v>
      </c>
      <c r="WO5" t="s">
        <v>62</v>
      </c>
      <c r="WP5" t="s">
        <v>95</v>
      </c>
      <c r="WQ5" t="s">
        <v>128</v>
      </c>
      <c r="WR5" t="s">
        <v>16</v>
      </c>
      <c r="WS5" t="s">
        <v>104</v>
      </c>
      <c r="WT5" t="s">
        <v>34</v>
      </c>
      <c r="WU5" t="s">
        <v>16</v>
      </c>
      <c r="WV5" t="s">
        <v>16</v>
      </c>
      <c r="WW5" t="s">
        <v>128</v>
      </c>
      <c r="WX5" t="s">
        <v>62</v>
      </c>
      <c r="WY5" t="s">
        <v>104</v>
      </c>
      <c r="WZ5" t="s">
        <v>25</v>
      </c>
      <c r="XA5" t="s">
        <v>128</v>
      </c>
      <c r="XB5" t="s">
        <v>16</v>
      </c>
      <c r="XC5" t="s">
        <v>62</v>
      </c>
      <c r="XD5" t="s">
        <v>16</v>
      </c>
      <c r="XE5" t="s">
        <v>128</v>
      </c>
      <c r="XF5" t="s">
        <v>56</v>
      </c>
      <c r="XG5" t="s">
        <v>56</v>
      </c>
      <c r="XH5" t="s">
        <v>16</v>
      </c>
      <c r="XI5" t="s">
        <v>56</v>
      </c>
      <c r="XJ5" t="s">
        <v>128</v>
      </c>
      <c r="XK5" t="s">
        <v>56</v>
      </c>
      <c r="XL5" t="s">
        <v>16</v>
      </c>
      <c r="XM5" t="s">
        <v>16</v>
      </c>
      <c r="XN5" t="s">
        <v>34</v>
      </c>
      <c r="XO5" t="s">
        <v>62</v>
      </c>
      <c r="XP5" t="s">
        <v>95</v>
      </c>
      <c r="XQ5" t="s">
        <v>34</v>
      </c>
      <c r="XR5" t="s">
        <v>16</v>
      </c>
      <c r="XS5" t="s">
        <v>56</v>
      </c>
      <c r="XT5" t="s">
        <v>62</v>
      </c>
      <c r="XU5" t="s">
        <v>95</v>
      </c>
      <c r="XV5" t="s">
        <v>34</v>
      </c>
      <c r="XW5" t="s">
        <v>128</v>
      </c>
      <c r="XX5" t="s">
        <v>25</v>
      </c>
      <c r="XY5" t="s">
        <v>56</v>
      </c>
      <c r="XZ5" t="s">
        <v>128</v>
      </c>
      <c r="YA5" t="s">
        <v>128</v>
      </c>
      <c r="YB5" t="s">
        <v>95</v>
      </c>
      <c r="YC5" t="s">
        <v>34</v>
      </c>
      <c r="YD5" t="s">
        <v>16</v>
      </c>
      <c r="YE5" t="s">
        <v>56</v>
      </c>
      <c r="YF5" t="s">
        <v>34</v>
      </c>
      <c r="YG5" t="s">
        <v>16</v>
      </c>
      <c r="YH5" t="s">
        <v>56</v>
      </c>
      <c r="YI5" t="s">
        <v>104</v>
      </c>
      <c r="YJ5" t="s">
        <v>56</v>
      </c>
      <c r="YK5" t="s">
        <v>95</v>
      </c>
      <c r="YL5" t="s">
        <v>62</v>
      </c>
      <c r="YM5" t="s">
        <v>56</v>
      </c>
      <c r="YN5" t="s">
        <v>34</v>
      </c>
      <c r="YO5" t="s">
        <v>128</v>
      </c>
      <c r="YP5" t="s">
        <v>34</v>
      </c>
      <c r="YQ5" t="s">
        <v>104</v>
      </c>
      <c r="YR5" t="s">
        <v>56</v>
      </c>
      <c r="YS5" t="s">
        <v>56</v>
      </c>
      <c r="YT5" t="s">
        <v>16</v>
      </c>
      <c r="YU5" t="s">
        <v>128</v>
      </c>
      <c r="YV5" t="s">
        <v>62</v>
      </c>
      <c r="YW5" t="s">
        <v>62</v>
      </c>
      <c r="YX5" t="s">
        <v>128</v>
      </c>
      <c r="YY5" t="s">
        <v>95</v>
      </c>
      <c r="YZ5" t="s">
        <v>34</v>
      </c>
      <c r="ZA5" t="s">
        <v>56</v>
      </c>
      <c r="ZB5" t="s">
        <v>95</v>
      </c>
      <c r="ZC5" t="s">
        <v>128</v>
      </c>
      <c r="ZD5" t="s">
        <v>104</v>
      </c>
      <c r="ZE5" t="s">
        <v>16</v>
      </c>
      <c r="ZF5" t="s">
        <v>62</v>
      </c>
      <c r="ZG5" t="s">
        <v>95</v>
      </c>
      <c r="ZH5" t="s">
        <v>16</v>
      </c>
      <c r="ZI5" t="s">
        <v>16</v>
      </c>
      <c r="ZJ5" t="s">
        <v>128</v>
      </c>
      <c r="ZK5" t="s">
        <v>56</v>
      </c>
      <c r="ZL5" t="s">
        <v>16</v>
      </c>
      <c r="ZM5" t="s">
        <v>16</v>
      </c>
      <c r="ZN5" t="s">
        <v>25</v>
      </c>
      <c r="ZO5" t="s">
        <v>128</v>
      </c>
      <c r="ZP5" t="s">
        <v>16</v>
      </c>
      <c r="ZQ5" t="s">
        <v>25</v>
      </c>
      <c r="ZR5" t="s">
        <v>16</v>
      </c>
      <c r="ZS5" t="s">
        <v>62</v>
      </c>
      <c r="ZT5" t="s">
        <v>56</v>
      </c>
      <c r="ZU5" t="s">
        <v>104</v>
      </c>
      <c r="ZV5" t="s">
        <v>25</v>
      </c>
      <c r="ZW5" t="s">
        <v>34</v>
      </c>
      <c r="ZX5" t="s">
        <v>34</v>
      </c>
      <c r="ZY5" t="s">
        <v>34</v>
      </c>
      <c r="ZZ5" t="s">
        <v>95</v>
      </c>
      <c r="AAA5" t="s">
        <v>62</v>
      </c>
      <c r="AAB5" t="s">
        <v>62</v>
      </c>
      <c r="AAC5" t="s">
        <v>56</v>
      </c>
      <c r="AAD5" t="s">
        <v>34</v>
      </c>
      <c r="AAE5" t="s">
        <v>16</v>
      </c>
      <c r="AAF5" t="s">
        <v>62</v>
      </c>
      <c r="AAG5" t="s">
        <v>16</v>
      </c>
      <c r="AAH5" t="s">
        <v>104</v>
      </c>
      <c r="AAI5" t="s">
        <v>56</v>
      </c>
      <c r="AAJ5" t="s">
        <v>56</v>
      </c>
      <c r="AAK5" t="s">
        <v>128</v>
      </c>
      <c r="AAL5" t="s">
        <v>16</v>
      </c>
      <c r="AAM5" t="s">
        <v>104</v>
      </c>
      <c r="AAN5" t="s">
        <v>62</v>
      </c>
      <c r="AAO5" t="s">
        <v>95</v>
      </c>
      <c r="AAP5" t="s">
        <v>95</v>
      </c>
      <c r="AAQ5" t="s">
        <v>34</v>
      </c>
      <c r="AAR5" t="s">
        <v>25</v>
      </c>
      <c r="AAS5" t="s">
        <v>56</v>
      </c>
      <c r="AAT5" t="s">
        <v>62</v>
      </c>
      <c r="AAU5" t="s">
        <v>62</v>
      </c>
      <c r="AAV5" t="s">
        <v>16</v>
      </c>
      <c r="AAW5" t="s">
        <v>104</v>
      </c>
      <c r="AAX5" t="s">
        <v>34</v>
      </c>
      <c r="AAY5" t="s">
        <v>95</v>
      </c>
      <c r="AAZ5" t="s">
        <v>56</v>
      </c>
      <c r="ABA5" t="s">
        <v>34</v>
      </c>
      <c r="ABB5" t="s">
        <v>62</v>
      </c>
      <c r="ABC5" t="s">
        <v>95</v>
      </c>
      <c r="ABD5" t="s">
        <v>56</v>
      </c>
      <c r="ABE5" t="s">
        <v>25</v>
      </c>
      <c r="ABF5" t="s">
        <v>16</v>
      </c>
      <c r="ABG5" t="s">
        <v>104</v>
      </c>
      <c r="ABH5" t="s">
        <v>34</v>
      </c>
      <c r="ABI5" t="s">
        <v>62</v>
      </c>
      <c r="ABJ5" t="s">
        <v>62</v>
      </c>
      <c r="ABK5" t="s">
        <v>34</v>
      </c>
      <c r="ABL5" t="s">
        <v>128</v>
      </c>
      <c r="ABM5" t="s">
        <v>34</v>
      </c>
      <c r="ABN5" t="s">
        <v>56</v>
      </c>
      <c r="ABO5" t="s">
        <v>56</v>
      </c>
      <c r="ABP5" t="s">
        <v>34</v>
      </c>
      <c r="ABQ5" t="s">
        <v>16</v>
      </c>
      <c r="ABR5" t="s">
        <v>104</v>
      </c>
      <c r="ABS5" t="s">
        <v>104</v>
      </c>
      <c r="ABT5" t="s">
        <v>95</v>
      </c>
      <c r="ABU5" t="s">
        <v>25</v>
      </c>
      <c r="ABV5" t="s">
        <v>16</v>
      </c>
      <c r="ABW5" t="s">
        <v>34</v>
      </c>
      <c r="ABX5" t="s">
        <v>95</v>
      </c>
      <c r="ABY5" t="s">
        <v>128</v>
      </c>
      <c r="ABZ5" t="s">
        <v>104</v>
      </c>
      <c r="ACA5" t="s">
        <v>16</v>
      </c>
      <c r="ACB5" t="s">
        <v>34</v>
      </c>
      <c r="ACC5" t="s">
        <v>104</v>
      </c>
      <c r="ACD5" t="s">
        <v>104</v>
      </c>
      <c r="ACE5" t="s">
        <v>34</v>
      </c>
      <c r="ACF5" t="s">
        <v>34</v>
      </c>
      <c r="ACG5" t="s">
        <v>128</v>
      </c>
      <c r="ACH5" t="s">
        <v>62</v>
      </c>
      <c r="ACI5" t="s">
        <v>16</v>
      </c>
      <c r="ACJ5" t="s">
        <v>128</v>
      </c>
      <c r="ACK5" t="s">
        <v>56</v>
      </c>
      <c r="ACL5" t="s">
        <v>62</v>
      </c>
      <c r="ACM5" t="s">
        <v>95</v>
      </c>
      <c r="ACN5" t="s">
        <v>128</v>
      </c>
      <c r="ACO5" t="s">
        <v>62</v>
      </c>
      <c r="ACP5" t="s">
        <v>34</v>
      </c>
      <c r="ACQ5" t="s">
        <v>128</v>
      </c>
      <c r="ACR5" t="s">
        <v>25</v>
      </c>
      <c r="ACS5" t="s">
        <v>104</v>
      </c>
      <c r="ACT5" t="s">
        <v>25</v>
      </c>
      <c r="ACU5" t="s">
        <v>25</v>
      </c>
      <c r="ACV5" t="s">
        <v>62</v>
      </c>
      <c r="ACW5" t="s">
        <v>95</v>
      </c>
      <c r="ACX5" t="s">
        <v>62</v>
      </c>
      <c r="ACY5" t="s">
        <v>34</v>
      </c>
      <c r="ACZ5" t="s">
        <v>62</v>
      </c>
      <c r="ADA5" t="s">
        <v>104</v>
      </c>
      <c r="ADB5" t="s">
        <v>16</v>
      </c>
      <c r="ADC5" t="s">
        <v>16</v>
      </c>
      <c r="ADD5" t="s">
        <v>16</v>
      </c>
      <c r="ADE5" t="s">
        <v>25</v>
      </c>
      <c r="ADF5" t="s">
        <v>34</v>
      </c>
      <c r="ADG5" t="s">
        <v>16</v>
      </c>
      <c r="ADH5" t="s">
        <v>25</v>
      </c>
      <c r="ADI5" t="s">
        <v>104</v>
      </c>
      <c r="ADJ5" t="s">
        <v>25</v>
      </c>
      <c r="ADK5" t="s">
        <v>34</v>
      </c>
      <c r="ADL5" t="s">
        <v>62</v>
      </c>
      <c r="ADM5" t="s">
        <v>104</v>
      </c>
      <c r="ADN5" t="s">
        <v>95</v>
      </c>
      <c r="ADO5" t="s">
        <v>62</v>
      </c>
      <c r="ADP5" t="s">
        <v>128</v>
      </c>
      <c r="ADQ5" t="s">
        <v>56</v>
      </c>
      <c r="ADR5" t="s">
        <v>128</v>
      </c>
      <c r="ADS5" t="s">
        <v>62</v>
      </c>
      <c r="ADT5" t="s">
        <v>95</v>
      </c>
      <c r="ADU5" t="s">
        <v>16</v>
      </c>
      <c r="ADV5" t="s">
        <v>95</v>
      </c>
      <c r="ADW5" t="s">
        <v>128</v>
      </c>
      <c r="ADX5" t="s">
        <v>16</v>
      </c>
      <c r="ADY5" t="s">
        <v>25</v>
      </c>
      <c r="ADZ5" t="s">
        <v>34</v>
      </c>
      <c r="AEA5" t="s">
        <v>62</v>
      </c>
      <c r="AEB5" t="s">
        <v>95</v>
      </c>
      <c r="AEC5" t="s">
        <v>104</v>
      </c>
      <c r="AED5" t="s">
        <v>34</v>
      </c>
      <c r="AEE5" t="s">
        <v>95</v>
      </c>
      <c r="AEF5" t="s">
        <v>25</v>
      </c>
      <c r="AEG5" t="s">
        <v>56</v>
      </c>
      <c r="AEH5" t="s">
        <v>128</v>
      </c>
      <c r="AEI5" t="s">
        <v>62</v>
      </c>
      <c r="AEJ5" t="s">
        <v>16</v>
      </c>
      <c r="AEK5" t="s">
        <v>34</v>
      </c>
      <c r="AEL5" t="s">
        <v>95</v>
      </c>
      <c r="AEM5" t="s">
        <v>128</v>
      </c>
      <c r="AEN5" t="s">
        <v>95</v>
      </c>
      <c r="AEO5" t="s">
        <v>16</v>
      </c>
      <c r="AEP5" t="s">
        <v>25</v>
      </c>
      <c r="AEQ5" t="s">
        <v>128</v>
      </c>
      <c r="AER5" t="s">
        <v>34</v>
      </c>
      <c r="AES5" t="s">
        <v>25</v>
      </c>
      <c r="AET5" t="s">
        <v>56</v>
      </c>
      <c r="AEU5" t="s">
        <v>62</v>
      </c>
      <c r="AEV5" t="s">
        <v>128</v>
      </c>
      <c r="AEW5" t="s">
        <v>16</v>
      </c>
      <c r="AEX5" t="s">
        <v>25</v>
      </c>
      <c r="AEY5" t="s">
        <v>95</v>
      </c>
      <c r="AEZ5" t="s">
        <v>25</v>
      </c>
      <c r="AFA5" t="s">
        <v>16</v>
      </c>
      <c r="AFB5" t="s">
        <v>56</v>
      </c>
      <c r="AFC5" t="s">
        <v>128</v>
      </c>
      <c r="AFD5" t="s">
        <v>25</v>
      </c>
      <c r="AFE5" t="s">
        <v>128</v>
      </c>
      <c r="AFF5" t="s">
        <v>62</v>
      </c>
      <c r="AFG5" t="s">
        <v>34</v>
      </c>
      <c r="AFH5" t="s">
        <v>16</v>
      </c>
      <c r="AFI5" t="s">
        <v>56</v>
      </c>
      <c r="AFJ5" t="s">
        <v>56</v>
      </c>
      <c r="AFK5" t="s">
        <v>104</v>
      </c>
      <c r="AFL5" t="s">
        <v>34</v>
      </c>
      <c r="AFM5" t="s">
        <v>34</v>
      </c>
      <c r="AFN5" t="s">
        <v>25</v>
      </c>
      <c r="AFO5" t="s">
        <v>16</v>
      </c>
      <c r="AFP5" t="s">
        <v>16</v>
      </c>
      <c r="AFQ5" t="s">
        <v>62</v>
      </c>
      <c r="AFR5" t="s">
        <v>95</v>
      </c>
      <c r="AFS5" t="s">
        <v>25</v>
      </c>
      <c r="AFT5" t="s">
        <v>104</v>
      </c>
      <c r="AFU5" t="s">
        <v>62</v>
      </c>
      <c r="AFV5" t="s">
        <v>34</v>
      </c>
      <c r="AFW5" t="s">
        <v>62</v>
      </c>
      <c r="AFX5" t="s">
        <v>56</v>
      </c>
      <c r="AFY5" t="s">
        <v>128</v>
      </c>
      <c r="AFZ5" t="s">
        <v>56</v>
      </c>
      <c r="AGA5" t="s">
        <v>34</v>
      </c>
      <c r="AGB5" t="s">
        <v>128</v>
      </c>
      <c r="AGC5" t="s">
        <v>104</v>
      </c>
      <c r="AGD5" t="s">
        <v>56</v>
      </c>
      <c r="AGE5" t="s">
        <v>34</v>
      </c>
      <c r="AGF5" t="s">
        <v>25</v>
      </c>
      <c r="AGG5" t="s">
        <v>62</v>
      </c>
      <c r="AGH5" t="s">
        <v>104</v>
      </c>
      <c r="AGI5" t="s">
        <v>95</v>
      </c>
      <c r="AGJ5" t="s">
        <v>62</v>
      </c>
      <c r="AGK5" t="s">
        <v>16</v>
      </c>
      <c r="AGL5" t="s">
        <v>62</v>
      </c>
      <c r="AGM5" t="s">
        <v>128</v>
      </c>
      <c r="AGN5" t="s">
        <v>128</v>
      </c>
      <c r="AGO5" t="s">
        <v>104</v>
      </c>
      <c r="AGP5" t="s">
        <v>62</v>
      </c>
      <c r="AGQ5" t="s">
        <v>25</v>
      </c>
      <c r="AGR5" t="s">
        <v>95</v>
      </c>
      <c r="AGS5" t="s">
        <v>56</v>
      </c>
      <c r="AGT5" t="s">
        <v>104</v>
      </c>
      <c r="AGU5" t="s">
        <v>128</v>
      </c>
      <c r="AGV5" t="s">
        <v>62</v>
      </c>
      <c r="AGW5" t="s">
        <v>62</v>
      </c>
      <c r="AGX5" t="s">
        <v>25</v>
      </c>
      <c r="AGY5" t="s">
        <v>34</v>
      </c>
      <c r="AGZ5" t="s">
        <v>128</v>
      </c>
      <c r="AHA5" t="s">
        <v>95</v>
      </c>
      <c r="AHB5" t="s">
        <v>25</v>
      </c>
      <c r="AHC5" t="s">
        <v>128</v>
      </c>
      <c r="AHD5" t="s">
        <v>34</v>
      </c>
      <c r="AHE5" t="s">
        <v>34</v>
      </c>
      <c r="AHF5" t="s">
        <v>25</v>
      </c>
      <c r="AHG5" t="s">
        <v>62</v>
      </c>
      <c r="AHH5" t="s">
        <v>62</v>
      </c>
      <c r="AHI5" t="s">
        <v>104</v>
      </c>
      <c r="AHJ5" t="s">
        <v>25</v>
      </c>
      <c r="AHK5" t="s">
        <v>34</v>
      </c>
      <c r="AHL5" t="s">
        <v>34</v>
      </c>
      <c r="AHM5" t="s">
        <v>25</v>
      </c>
      <c r="AHN5" t="s">
        <v>34</v>
      </c>
      <c r="AHO5" t="s">
        <v>62</v>
      </c>
      <c r="AHP5" t="s">
        <v>56</v>
      </c>
      <c r="AHQ5" t="s">
        <v>34</v>
      </c>
      <c r="AHR5" t="s">
        <v>25</v>
      </c>
      <c r="AHS5" t="s">
        <v>56</v>
      </c>
      <c r="AHT5" t="s">
        <v>104</v>
      </c>
      <c r="AHU5" t="s">
        <v>62</v>
      </c>
      <c r="AHV5" t="s">
        <v>56</v>
      </c>
      <c r="AHW5" t="s">
        <v>25</v>
      </c>
      <c r="AHX5" t="s">
        <v>56</v>
      </c>
      <c r="AHY5" t="s">
        <v>16</v>
      </c>
      <c r="AHZ5" t="s">
        <v>34</v>
      </c>
      <c r="AIA5" t="s">
        <v>104</v>
      </c>
      <c r="AIB5" t="s">
        <v>56</v>
      </c>
      <c r="AIC5" t="s">
        <v>95</v>
      </c>
      <c r="AID5" t="s">
        <v>104</v>
      </c>
      <c r="AIE5" t="s">
        <v>104</v>
      </c>
      <c r="AIF5" t="s">
        <v>16</v>
      </c>
      <c r="AIG5" t="s">
        <v>62</v>
      </c>
      <c r="AIH5" t="s">
        <v>128</v>
      </c>
      <c r="AII5" t="s">
        <v>16</v>
      </c>
      <c r="AIJ5" t="s">
        <v>16</v>
      </c>
      <c r="AIK5" t="s">
        <v>128</v>
      </c>
      <c r="AIL5" t="s">
        <v>25</v>
      </c>
      <c r="AIM5" t="s">
        <v>25</v>
      </c>
      <c r="AIN5" t="s">
        <v>128</v>
      </c>
      <c r="AIO5" t="s">
        <v>16</v>
      </c>
      <c r="AIP5" t="s">
        <v>25</v>
      </c>
      <c r="AIQ5" t="s">
        <v>95</v>
      </c>
      <c r="AIR5" t="s">
        <v>25</v>
      </c>
      <c r="AIS5" t="s">
        <v>62</v>
      </c>
      <c r="AIT5" t="s">
        <v>34</v>
      </c>
      <c r="AIU5" t="s">
        <v>56</v>
      </c>
      <c r="AIV5" t="s">
        <v>62</v>
      </c>
      <c r="AIW5" t="s">
        <v>95</v>
      </c>
      <c r="AIX5" t="s">
        <v>62</v>
      </c>
      <c r="AIY5" t="s">
        <v>56</v>
      </c>
      <c r="AIZ5" t="s">
        <v>25</v>
      </c>
      <c r="AJA5" t="s">
        <v>16</v>
      </c>
      <c r="AJB5" t="s">
        <v>16</v>
      </c>
      <c r="AJC5" t="s">
        <v>25</v>
      </c>
      <c r="AJD5" t="s">
        <v>56</v>
      </c>
      <c r="AJE5" t="s">
        <v>62</v>
      </c>
      <c r="AJF5" t="s">
        <v>34</v>
      </c>
      <c r="AJG5" t="s">
        <v>16</v>
      </c>
      <c r="AJH5" t="s">
        <v>128</v>
      </c>
      <c r="AJI5" t="s">
        <v>128</v>
      </c>
      <c r="AJJ5" t="s">
        <v>16</v>
      </c>
      <c r="AJK5" t="s">
        <v>25</v>
      </c>
      <c r="AJL5" t="s">
        <v>95</v>
      </c>
      <c r="AJM5" t="s">
        <v>56</v>
      </c>
      <c r="AJN5" t="s">
        <v>25</v>
      </c>
      <c r="AJO5" t="s">
        <v>62</v>
      </c>
      <c r="AJP5" t="s">
        <v>104</v>
      </c>
      <c r="AJQ5" t="s">
        <v>62</v>
      </c>
      <c r="AJR5" t="s">
        <v>16</v>
      </c>
      <c r="AJS5" t="s">
        <v>16</v>
      </c>
      <c r="AJT5" t="s">
        <v>25</v>
      </c>
      <c r="AJU5" t="s">
        <v>62</v>
      </c>
      <c r="AJV5" t="s">
        <v>104</v>
      </c>
      <c r="AJW5" t="s">
        <v>56</v>
      </c>
      <c r="AJX5" t="s">
        <v>104</v>
      </c>
      <c r="AJY5" t="s">
        <v>104</v>
      </c>
      <c r="AJZ5" t="s">
        <v>56</v>
      </c>
      <c r="AKA5" t="s">
        <v>16</v>
      </c>
      <c r="AKB5" t="s">
        <v>95</v>
      </c>
      <c r="AKC5" t="s">
        <v>104</v>
      </c>
      <c r="AKD5" t="s">
        <v>25</v>
      </c>
      <c r="AKE5" t="s">
        <v>25</v>
      </c>
      <c r="AKF5" t="s">
        <v>25</v>
      </c>
      <c r="AKG5" t="s">
        <v>104</v>
      </c>
      <c r="AKH5" t="s">
        <v>95</v>
      </c>
      <c r="AKI5" t="s">
        <v>62</v>
      </c>
      <c r="AKJ5" t="s">
        <v>128</v>
      </c>
      <c r="AKK5" t="s">
        <v>104</v>
      </c>
      <c r="AKL5" t="s">
        <v>56</v>
      </c>
      <c r="AKM5" t="s">
        <v>95</v>
      </c>
      <c r="AKN5" t="s">
        <v>95</v>
      </c>
      <c r="AKO5" t="s">
        <v>56</v>
      </c>
      <c r="AKP5" t="s">
        <v>95</v>
      </c>
      <c r="AKQ5" t="s">
        <v>25</v>
      </c>
      <c r="AKR5" t="s">
        <v>25</v>
      </c>
      <c r="AKS5" t="s">
        <v>95</v>
      </c>
      <c r="AKT5" t="s">
        <v>128</v>
      </c>
      <c r="AKU5" t="s">
        <v>25</v>
      </c>
      <c r="AKV5" t="s">
        <v>104</v>
      </c>
      <c r="AKW5" t="s">
        <v>62</v>
      </c>
      <c r="AKX5" t="s">
        <v>56</v>
      </c>
      <c r="AKY5" t="s">
        <v>128</v>
      </c>
      <c r="AKZ5" t="s">
        <v>16</v>
      </c>
      <c r="ALA5" t="s">
        <v>16</v>
      </c>
      <c r="ALB5" t="s">
        <v>56</v>
      </c>
      <c r="ALC5" t="s">
        <v>104</v>
      </c>
      <c r="ALD5" t="s">
        <v>16</v>
      </c>
      <c r="ALE5" t="s">
        <v>62</v>
      </c>
      <c r="ALF5" t="s">
        <v>16</v>
      </c>
      <c r="ALG5" t="s">
        <v>16</v>
      </c>
      <c r="ALH5" t="s">
        <v>56</v>
      </c>
      <c r="ALI5" t="s">
        <v>128</v>
      </c>
      <c r="ALJ5" t="s">
        <v>16</v>
      </c>
      <c r="ALK5" t="s">
        <v>128</v>
      </c>
      <c r="ALL5" t="s">
        <v>95</v>
      </c>
      <c r="ALM5" t="s">
        <v>56</v>
      </c>
    </row>
    <row r="6" spans="1:1001" ht="29.4" customHeight="1" x14ac:dyDescent="0.3">
      <c r="A6" s="1" t="s">
        <v>5</v>
      </c>
      <c r="B6" t="s">
        <v>17</v>
      </c>
      <c r="C6" t="s">
        <v>26</v>
      </c>
      <c r="D6" t="s">
        <v>17</v>
      </c>
      <c r="E6" t="s">
        <v>17</v>
      </c>
      <c r="F6" t="s">
        <v>48</v>
      </c>
      <c r="G6" t="s">
        <v>48</v>
      </c>
      <c r="H6" t="s">
        <v>48</v>
      </c>
      <c r="I6" t="s">
        <v>17</v>
      </c>
      <c r="J6" t="s">
        <v>48</v>
      </c>
      <c r="K6" t="s">
        <v>77</v>
      </c>
      <c r="L6" t="s">
        <v>48</v>
      </c>
      <c r="M6" t="s">
        <v>48</v>
      </c>
      <c r="N6" t="s">
        <v>48</v>
      </c>
      <c r="O6" t="s">
        <v>17</v>
      </c>
      <c r="P6" t="s">
        <v>17</v>
      </c>
      <c r="Q6" t="s">
        <v>77</v>
      </c>
      <c r="R6" t="s">
        <v>48</v>
      </c>
      <c r="S6" t="s">
        <v>26</v>
      </c>
      <c r="T6" t="s">
        <v>26</v>
      </c>
      <c r="U6" t="s">
        <v>77</v>
      </c>
      <c r="V6" t="s">
        <v>17</v>
      </c>
      <c r="W6" t="s">
        <v>48</v>
      </c>
      <c r="X6" t="s">
        <v>77</v>
      </c>
      <c r="Y6" t="s">
        <v>17</v>
      </c>
      <c r="Z6" t="s">
        <v>17</v>
      </c>
      <c r="AA6" t="s">
        <v>26</v>
      </c>
      <c r="AB6" t="s">
        <v>26</v>
      </c>
      <c r="AC6" t="s">
        <v>26</v>
      </c>
      <c r="AD6" t="s">
        <v>77</v>
      </c>
      <c r="AE6" t="s">
        <v>26</v>
      </c>
      <c r="AF6" t="s">
        <v>26</v>
      </c>
      <c r="AG6" t="s">
        <v>77</v>
      </c>
      <c r="AH6" t="s">
        <v>77</v>
      </c>
      <c r="AI6" t="s">
        <v>48</v>
      </c>
      <c r="AJ6" t="s">
        <v>48</v>
      </c>
      <c r="AK6" t="s">
        <v>17</v>
      </c>
      <c r="AL6" t="s">
        <v>17</v>
      </c>
      <c r="AM6" t="s">
        <v>17</v>
      </c>
      <c r="AN6" t="s">
        <v>77</v>
      </c>
      <c r="AO6" t="s">
        <v>17</v>
      </c>
      <c r="AP6" t="s">
        <v>26</v>
      </c>
      <c r="AQ6" t="s">
        <v>48</v>
      </c>
      <c r="AR6" t="s">
        <v>48</v>
      </c>
      <c r="AS6" t="s">
        <v>77</v>
      </c>
      <c r="AT6" t="s">
        <v>26</v>
      </c>
      <c r="AU6" t="s">
        <v>17</v>
      </c>
      <c r="AV6" t="s">
        <v>77</v>
      </c>
      <c r="AW6" t="s">
        <v>26</v>
      </c>
      <c r="AX6" t="s">
        <v>17</v>
      </c>
      <c r="AY6" t="s">
        <v>48</v>
      </c>
      <c r="AZ6" t="s">
        <v>48</v>
      </c>
      <c r="BA6" t="s">
        <v>26</v>
      </c>
      <c r="BB6" t="s">
        <v>48</v>
      </c>
      <c r="BC6" t="s">
        <v>26</v>
      </c>
      <c r="BD6" t="s">
        <v>77</v>
      </c>
      <c r="BE6" t="s">
        <v>77</v>
      </c>
      <c r="BF6" t="s">
        <v>26</v>
      </c>
      <c r="BG6" t="s">
        <v>17</v>
      </c>
      <c r="BH6" t="s">
        <v>48</v>
      </c>
      <c r="BI6" t="s">
        <v>77</v>
      </c>
      <c r="BJ6" t="s">
        <v>77</v>
      </c>
      <c r="BK6" t="s">
        <v>17</v>
      </c>
      <c r="BL6" t="s">
        <v>26</v>
      </c>
      <c r="BM6" t="s">
        <v>77</v>
      </c>
      <c r="BN6" t="s">
        <v>17</v>
      </c>
      <c r="BO6" t="s">
        <v>17</v>
      </c>
      <c r="BP6" t="s">
        <v>77</v>
      </c>
      <c r="BQ6" t="s">
        <v>26</v>
      </c>
      <c r="BR6" t="s">
        <v>17</v>
      </c>
      <c r="BS6" t="s">
        <v>48</v>
      </c>
      <c r="BT6" t="s">
        <v>17</v>
      </c>
      <c r="BU6" t="s">
        <v>26</v>
      </c>
      <c r="BV6" t="s">
        <v>48</v>
      </c>
      <c r="BW6" t="s">
        <v>26</v>
      </c>
      <c r="BX6" t="s">
        <v>77</v>
      </c>
      <c r="BY6" t="s">
        <v>77</v>
      </c>
      <c r="BZ6" t="s">
        <v>17</v>
      </c>
      <c r="CA6" t="s">
        <v>77</v>
      </c>
      <c r="CB6" t="s">
        <v>77</v>
      </c>
      <c r="CC6" t="s">
        <v>77</v>
      </c>
      <c r="CD6" t="s">
        <v>26</v>
      </c>
      <c r="CE6" t="s">
        <v>17</v>
      </c>
      <c r="CF6" t="s">
        <v>17</v>
      </c>
      <c r="CG6" t="s">
        <v>77</v>
      </c>
      <c r="CH6" t="s">
        <v>77</v>
      </c>
      <c r="CI6" t="s">
        <v>48</v>
      </c>
      <c r="CJ6" t="s">
        <v>17</v>
      </c>
      <c r="CK6" t="s">
        <v>26</v>
      </c>
      <c r="CL6" t="s">
        <v>77</v>
      </c>
      <c r="CM6" t="s">
        <v>77</v>
      </c>
      <c r="CN6" t="s">
        <v>26</v>
      </c>
      <c r="CO6" t="s">
        <v>26</v>
      </c>
      <c r="CP6" t="s">
        <v>48</v>
      </c>
      <c r="CQ6" t="s">
        <v>17</v>
      </c>
      <c r="CR6" t="s">
        <v>77</v>
      </c>
      <c r="CS6" t="s">
        <v>17</v>
      </c>
      <c r="CT6" t="s">
        <v>77</v>
      </c>
      <c r="CU6" t="s">
        <v>17</v>
      </c>
      <c r="CV6" t="s">
        <v>26</v>
      </c>
      <c r="CW6" t="s">
        <v>77</v>
      </c>
      <c r="CX6" t="s">
        <v>17</v>
      </c>
      <c r="CY6" t="s">
        <v>48</v>
      </c>
      <c r="CZ6" t="s">
        <v>26</v>
      </c>
      <c r="DA6" t="s">
        <v>17</v>
      </c>
      <c r="DB6" t="s">
        <v>26</v>
      </c>
      <c r="DC6" t="s">
        <v>48</v>
      </c>
      <c r="DD6" t="s">
        <v>26</v>
      </c>
      <c r="DE6" t="s">
        <v>17</v>
      </c>
      <c r="DF6" t="s">
        <v>26</v>
      </c>
      <c r="DG6" t="s">
        <v>17</v>
      </c>
      <c r="DH6" t="s">
        <v>26</v>
      </c>
      <c r="DI6" t="s">
        <v>26</v>
      </c>
      <c r="DJ6" t="s">
        <v>17</v>
      </c>
      <c r="DK6" t="s">
        <v>77</v>
      </c>
      <c r="DL6" t="s">
        <v>48</v>
      </c>
      <c r="DM6" t="s">
        <v>77</v>
      </c>
      <c r="DN6" t="s">
        <v>26</v>
      </c>
      <c r="DO6" t="s">
        <v>26</v>
      </c>
      <c r="DP6" t="s">
        <v>48</v>
      </c>
      <c r="DQ6" t="s">
        <v>17</v>
      </c>
      <c r="DR6" t="s">
        <v>26</v>
      </c>
      <c r="DS6" t="s">
        <v>17</v>
      </c>
      <c r="DT6" t="s">
        <v>26</v>
      </c>
      <c r="DU6" t="s">
        <v>77</v>
      </c>
      <c r="DV6" t="s">
        <v>77</v>
      </c>
      <c r="DW6" t="s">
        <v>77</v>
      </c>
      <c r="DX6" t="s">
        <v>48</v>
      </c>
      <c r="DY6" t="s">
        <v>26</v>
      </c>
      <c r="DZ6" t="s">
        <v>48</v>
      </c>
      <c r="EA6" t="s">
        <v>48</v>
      </c>
      <c r="EB6" t="s">
        <v>17</v>
      </c>
      <c r="EC6" t="s">
        <v>48</v>
      </c>
      <c r="ED6" t="s">
        <v>48</v>
      </c>
      <c r="EE6" t="s">
        <v>77</v>
      </c>
      <c r="EF6" t="s">
        <v>77</v>
      </c>
      <c r="EG6" t="s">
        <v>26</v>
      </c>
      <c r="EH6" t="s">
        <v>17</v>
      </c>
      <c r="EI6" t="s">
        <v>77</v>
      </c>
      <c r="EJ6" t="s">
        <v>48</v>
      </c>
      <c r="EK6" t="s">
        <v>48</v>
      </c>
      <c r="EL6" t="s">
        <v>77</v>
      </c>
      <c r="EM6" t="s">
        <v>48</v>
      </c>
      <c r="EN6" t="s">
        <v>26</v>
      </c>
      <c r="EO6" t="s">
        <v>26</v>
      </c>
      <c r="EP6" t="s">
        <v>48</v>
      </c>
      <c r="EQ6" t="s">
        <v>17</v>
      </c>
      <c r="ER6" t="s">
        <v>17</v>
      </c>
      <c r="ES6" t="s">
        <v>26</v>
      </c>
      <c r="ET6" t="s">
        <v>26</v>
      </c>
      <c r="EU6" t="s">
        <v>77</v>
      </c>
      <c r="EV6" t="s">
        <v>26</v>
      </c>
      <c r="EW6" t="s">
        <v>77</v>
      </c>
      <c r="EX6" t="s">
        <v>26</v>
      </c>
      <c r="EY6" t="s">
        <v>17</v>
      </c>
      <c r="EZ6" t="s">
        <v>26</v>
      </c>
      <c r="FA6" t="s">
        <v>48</v>
      </c>
      <c r="FB6" t="s">
        <v>26</v>
      </c>
      <c r="FC6" t="s">
        <v>26</v>
      </c>
      <c r="FD6" t="s">
        <v>48</v>
      </c>
      <c r="FE6" t="s">
        <v>77</v>
      </c>
      <c r="FF6" t="s">
        <v>17</v>
      </c>
      <c r="FG6" t="s">
        <v>17</v>
      </c>
      <c r="FH6" t="s">
        <v>48</v>
      </c>
      <c r="FI6" t="s">
        <v>48</v>
      </c>
      <c r="FJ6" t="s">
        <v>77</v>
      </c>
      <c r="FK6" t="s">
        <v>48</v>
      </c>
      <c r="FL6" t="s">
        <v>26</v>
      </c>
      <c r="FM6" t="s">
        <v>26</v>
      </c>
      <c r="FN6" t="s">
        <v>48</v>
      </c>
      <c r="FO6" t="s">
        <v>17</v>
      </c>
      <c r="FP6" t="s">
        <v>17</v>
      </c>
      <c r="FQ6" t="s">
        <v>48</v>
      </c>
      <c r="FR6" t="s">
        <v>26</v>
      </c>
      <c r="FS6" t="s">
        <v>26</v>
      </c>
      <c r="FT6" t="s">
        <v>48</v>
      </c>
      <c r="FU6" t="s">
        <v>77</v>
      </c>
      <c r="FV6" t="s">
        <v>77</v>
      </c>
      <c r="FW6" t="s">
        <v>26</v>
      </c>
      <c r="FX6" t="s">
        <v>48</v>
      </c>
      <c r="FY6" t="s">
        <v>77</v>
      </c>
      <c r="FZ6" t="s">
        <v>77</v>
      </c>
      <c r="GA6" t="s">
        <v>48</v>
      </c>
      <c r="GB6" t="s">
        <v>77</v>
      </c>
      <c r="GC6" t="s">
        <v>48</v>
      </c>
      <c r="GD6" t="s">
        <v>26</v>
      </c>
      <c r="GE6" t="s">
        <v>77</v>
      </c>
      <c r="GF6" t="s">
        <v>26</v>
      </c>
      <c r="GG6" t="s">
        <v>26</v>
      </c>
      <c r="GH6" t="s">
        <v>26</v>
      </c>
      <c r="GI6" t="s">
        <v>77</v>
      </c>
      <c r="GJ6" t="s">
        <v>77</v>
      </c>
      <c r="GK6" t="s">
        <v>17</v>
      </c>
      <c r="GL6" t="s">
        <v>17</v>
      </c>
      <c r="GM6" t="s">
        <v>26</v>
      </c>
      <c r="GN6" t="s">
        <v>48</v>
      </c>
      <c r="GO6" t="s">
        <v>17</v>
      </c>
      <c r="GP6" t="s">
        <v>17</v>
      </c>
      <c r="GQ6" t="s">
        <v>77</v>
      </c>
      <c r="GR6" t="s">
        <v>77</v>
      </c>
      <c r="GS6" t="s">
        <v>17</v>
      </c>
      <c r="GT6" t="s">
        <v>77</v>
      </c>
      <c r="GU6" t="s">
        <v>26</v>
      </c>
      <c r="GV6" t="s">
        <v>17</v>
      </c>
      <c r="GW6" t="s">
        <v>48</v>
      </c>
      <c r="GX6" t="s">
        <v>17</v>
      </c>
      <c r="GY6" t="s">
        <v>17</v>
      </c>
      <c r="GZ6" t="s">
        <v>77</v>
      </c>
      <c r="HA6" t="s">
        <v>48</v>
      </c>
      <c r="HB6" t="s">
        <v>17</v>
      </c>
      <c r="HC6" t="s">
        <v>26</v>
      </c>
      <c r="HD6" t="s">
        <v>17</v>
      </c>
      <c r="HE6" t="s">
        <v>26</v>
      </c>
      <c r="HF6" t="s">
        <v>77</v>
      </c>
      <c r="HG6" t="s">
        <v>77</v>
      </c>
      <c r="HH6" t="s">
        <v>48</v>
      </c>
      <c r="HI6" t="s">
        <v>26</v>
      </c>
      <c r="HJ6" t="s">
        <v>77</v>
      </c>
      <c r="HK6" t="s">
        <v>17</v>
      </c>
      <c r="HL6" t="s">
        <v>26</v>
      </c>
      <c r="HM6" t="s">
        <v>48</v>
      </c>
      <c r="HN6" t="s">
        <v>26</v>
      </c>
      <c r="HO6" t="s">
        <v>17</v>
      </c>
      <c r="HP6" t="s">
        <v>26</v>
      </c>
      <c r="HQ6" t="s">
        <v>48</v>
      </c>
      <c r="HR6" t="s">
        <v>77</v>
      </c>
      <c r="HS6" t="s">
        <v>77</v>
      </c>
      <c r="HT6" t="s">
        <v>26</v>
      </c>
      <c r="HU6" t="s">
        <v>17</v>
      </c>
      <c r="HV6" t="s">
        <v>26</v>
      </c>
      <c r="HW6" t="s">
        <v>77</v>
      </c>
      <c r="HX6" t="s">
        <v>48</v>
      </c>
      <c r="HY6" t="s">
        <v>48</v>
      </c>
      <c r="HZ6" t="s">
        <v>26</v>
      </c>
      <c r="IA6" t="s">
        <v>77</v>
      </c>
      <c r="IB6" t="s">
        <v>48</v>
      </c>
      <c r="IC6" t="s">
        <v>17</v>
      </c>
      <c r="ID6" t="s">
        <v>17</v>
      </c>
      <c r="IE6" t="s">
        <v>17</v>
      </c>
      <c r="IF6" t="s">
        <v>26</v>
      </c>
      <c r="IG6" t="s">
        <v>26</v>
      </c>
      <c r="IH6" t="s">
        <v>77</v>
      </c>
      <c r="II6" t="s">
        <v>26</v>
      </c>
      <c r="IJ6" t="s">
        <v>77</v>
      </c>
      <c r="IK6" t="s">
        <v>17</v>
      </c>
      <c r="IL6" t="s">
        <v>48</v>
      </c>
      <c r="IM6" t="s">
        <v>48</v>
      </c>
      <c r="IN6" t="s">
        <v>48</v>
      </c>
      <c r="IO6" t="s">
        <v>26</v>
      </c>
      <c r="IP6" t="s">
        <v>48</v>
      </c>
      <c r="IQ6" t="s">
        <v>77</v>
      </c>
      <c r="IR6" t="s">
        <v>17</v>
      </c>
      <c r="IS6" t="s">
        <v>26</v>
      </c>
      <c r="IT6" t="s">
        <v>48</v>
      </c>
      <c r="IU6" t="s">
        <v>26</v>
      </c>
      <c r="IV6" t="s">
        <v>26</v>
      </c>
      <c r="IW6" t="s">
        <v>77</v>
      </c>
      <c r="IX6" t="s">
        <v>26</v>
      </c>
      <c r="IY6" t="s">
        <v>26</v>
      </c>
      <c r="IZ6" t="s">
        <v>26</v>
      </c>
      <c r="JA6" t="s">
        <v>17</v>
      </c>
      <c r="JB6" t="s">
        <v>17</v>
      </c>
      <c r="JC6" t="s">
        <v>26</v>
      </c>
      <c r="JD6" t="s">
        <v>77</v>
      </c>
      <c r="JE6" t="s">
        <v>26</v>
      </c>
      <c r="JF6" t="s">
        <v>26</v>
      </c>
      <c r="JG6" t="s">
        <v>17</v>
      </c>
      <c r="JH6" t="s">
        <v>77</v>
      </c>
      <c r="JI6" t="s">
        <v>48</v>
      </c>
      <c r="JJ6" t="s">
        <v>77</v>
      </c>
      <c r="JK6" t="s">
        <v>48</v>
      </c>
      <c r="JL6" t="s">
        <v>17</v>
      </c>
      <c r="JM6" t="s">
        <v>77</v>
      </c>
      <c r="JN6" t="s">
        <v>26</v>
      </c>
      <c r="JO6" t="s">
        <v>77</v>
      </c>
      <c r="JP6" t="s">
        <v>17</v>
      </c>
      <c r="JQ6" t="s">
        <v>17</v>
      </c>
      <c r="JR6" t="s">
        <v>26</v>
      </c>
      <c r="JS6" t="s">
        <v>26</v>
      </c>
      <c r="JT6" t="s">
        <v>26</v>
      </c>
      <c r="JU6" t="s">
        <v>17</v>
      </c>
      <c r="JV6" t="s">
        <v>48</v>
      </c>
      <c r="JW6" t="s">
        <v>48</v>
      </c>
      <c r="JX6" t="s">
        <v>26</v>
      </c>
      <c r="JY6" t="s">
        <v>26</v>
      </c>
      <c r="JZ6" t="s">
        <v>26</v>
      </c>
      <c r="KA6" t="s">
        <v>17</v>
      </c>
      <c r="KB6" t="s">
        <v>26</v>
      </c>
      <c r="KC6" t="s">
        <v>26</v>
      </c>
      <c r="KD6" t="s">
        <v>48</v>
      </c>
      <c r="KE6" t="s">
        <v>48</v>
      </c>
      <c r="KF6" t="s">
        <v>48</v>
      </c>
      <c r="KG6" t="s">
        <v>26</v>
      </c>
      <c r="KH6" t="s">
        <v>77</v>
      </c>
      <c r="KI6" t="s">
        <v>17</v>
      </c>
      <c r="KJ6" t="s">
        <v>48</v>
      </c>
      <c r="KK6" t="s">
        <v>17</v>
      </c>
      <c r="KL6" t="s">
        <v>77</v>
      </c>
      <c r="KM6" t="s">
        <v>17</v>
      </c>
      <c r="KN6" t="s">
        <v>17</v>
      </c>
      <c r="KO6" t="s">
        <v>17</v>
      </c>
      <c r="KP6" t="s">
        <v>48</v>
      </c>
      <c r="KQ6" t="s">
        <v>26</v>
      </c>
      <c r="KR6" t="s">
        <v>48</v>
      </c>
      <c r="KS6" t="s">
        <v>77</v>
      </c>
      <c r="KT6" t="s">
        <v>26</v>
      </c>
      <c r="KU6" t="s">
        <v>26</v>
      </c>
      <c r="KV6" t="s">
        <v>77</v>
      </c>
      <c r="KW6" t="s">
        <v>48</v>
      </c>
      <c r="KX6" t="s">
        <v>26</v>
      </c>
      <c r="KY6" t="s">
        <v>77</v>
      </c>
      <c r="KZ6" t="s">
        <v>17</v>
      </c>
      <c r="LA6" t="s">
        <v>48</v>
      </c>
      <c r="LB6" t="s">
        <v>17</v>
      </c>
      <c r="LC6" t="s">
        <v>77</v>
      </c>
      <c r="LD6" t="s">
        <v>17</v>
      </c>
      <c r="LE6" t="s">
        <v>48</v>
      </c>
      <c r="LF6" t="s">
        <v>48</v>
      </c>
      <c r="LG6" t="s">
        <v>17</v>
      </c>
      <c r="LH6" t="s">
        <v>77</v>
      </c>
      <c r="LI6" t="s">
        <v>17</v>
      </c>
      <c r="LJ6" t="s">
        <v>17</v>
      </c>
      <c r="LK6" t="s">
        <v>17</v>
      </c>
      <c r="LL6" t="s">
        <v>17</v>
      </c>
      <c r="LM6" t="s">
        <v>26</v>
      </c>
      <c r="LN6" t="s">
        <v>77</v>
      </c>
      <c r="LO6" t="s">
        <v>26</v>
      </c>
      <c r="LP6" t="s">
        <v>48</v>
      </c>
      <c r="LQ6" t="s">
        <v>26</v>
      </c>
      <c r="LR6" t="s">
        <v>77</v>
      </c>
      <c r="LS6" t="s">
        <v>26</v>
      </c>
      <c r="LT6" t="s">
        <v>26</v>
      </c>
      <c r="LU6" t="s">
        <v>17</v>
      </c>
      <c r="LV6" t="s">
        <v>26</v>
      </c>
      <c r="LW6" t="s">
        <v>77</v>
      </c>
      <c r="LX6" t="s">
        <v>17</v>
      </c>
      <c r="LY6" t="s">
        <v>26</v>
      </c>
      <c r="LZ6" t="s">
        <v>17</v>
      </c>
      <c r="MA6" t="s">
        <v>48</v>
      </c>
      <c r="MB6" t="s">
        <v>48</v>
      </c>
      <c r="MC6" t="s">
        <v>77</v>
      </c>
      <c r="MD6" t="s">
        <v>26</v>
      </c>
      <c r="ME6" t="s">
        <v>26</v>
      </c>
      <c r="MF6" t="s">
        <v>17</v>
      </c>
      <c r="MG6" t="s">
        <v>17</v>
      </c>
      <c r="MH6" t="s">
        <v>48</v>
      </c>
      <c r="MI6" t="s">
        <v>48</v>
      </c>
      <c r="MJ6" t="s">
        <v>17</v>
      </c>
      <c r="MK6" t="s">
        <v>77</v>
      </c>
      <c r="ML6" t="s">
        <v>26</v>
      </c>
      <c r="MM6" t="s">
        <v>17</v>
      </c>
      <c r="MN6" t="s">
        <v>17</v>
      </c>
      <c r="MO6" t="s">
        <v>17</v>
      </c>
      <c r="MP6" t="s">
        <v>77</v>
      </c>
      <c r="MQ6" t="s">
        <v>77</v>
      </c>
      <c r="MR6" t="s">
        <v>17</v>
      </c>
      <c r="MS6" t="s">
        <v>48</v>
      </c>
      <c r="MT6" t="s">
        <v>48</v>
      </c>
      <c r="MU6" t="s">
        <v>17</v>
      </c>
      <c r="MV6" t="s">
        <v>17</v>
      </c>
      <c r="MW6" t="s">
        <v>17</v>
      </c>
      <c r="MX6" t="s">
        <v>17</v>
      </c>
      <c r="MY6" t="s">
        <v>17</v>
      </c>
      <c r="MZ6" t="s">
        <v>17</v>
      </c>
      <c r="NA6" t="s">
        <v>26</v>
      </c>
      <c r="NB6" t="s">
        <v>26</v>
      </c>
      <c r="NC6" t="s">
        <v>26</v>
      </c>
      <c r="ND6" t="s">
        <v>77</v>
      </c>
      <c r="NE6" t="s">
        <v>17</v>
      </c>
      <c r="NF6" t="s">
        <v>26</v>
      </c>
      <c r="NG6" t="s">
        <v>26</v>
      </c>
      <c r="NH6" t="s">
        <v>48</v>
      </c>
      <c r="NI6" t="s">
        <v>77</v>
      </c>
      <c r="NJ6" t="s">
        <v>26</v>
      </c>
      <c r="NK6" t="s">
        <v>48</v>
      </c>
      <c r="NL6" t="s">
        <v>77</v>
      </c>
      <c r="NM6" t="s">
        <v>17</v>
      </c>
      <c r="NN6" t="s">
        <v>17</v>
      </c>
      <c r="NO6" t="s">
        <v>77</v>
      </c>
      <c r="NP6" t="s">
        <v>26</v>
      </c>
      <c r="NQ6" t="s">
        <v>17</v>
      </c>
      <c r="NR6" t="s">
        <v>17</v>
      </c>
      <c r="NS6" t="s">
        <v>17</v>
      </c>
      <c r="NT6" t="s">
        <v>17</v>
      </c>
      <c r="NU6" t="s">
        <v>48</v>
      </c>
      <c r="NV6" t="s">
        <v>26</v>
      </c>
      <c r="NW6" t="s">
        <v>17</v>
      </c>
      <c r="NX6" t="s">
        <v>48</v>
      </c>
      <c r="NY6" t="s">
        <v>77</v>
      </c>
      <c r="NZ6" t="s">
        <v>26</v>
      </c>
      <c r="OA6" t="s">
        <v>48</v>
      </c>
      <c r="OB6" t="s">
        <v>17</v>
      </c>
      <c r="OC6" t="s">
        <v>17</v>
      </c>
      <c r="OD6" t="s">
        <v>17</v>
      </c>
      <c r="OE6" t="s">
        <v>48</v>
      </c>
      <c r="OF6" t="s">
        <v>77</v>
      </c>
      <c r="OG6" t="s">
        <v>26</v>
      </c>
      <c r="OH6" t="s">
        <v>26</v>
      </c>
      <c r="OI6" t="s">
        <v>17</v>
      </c>
      <c r="OJ6" t="s">
        <v>26</v>
      </c>
      <c r="OK6" t="s">
        <v>17</v>
      </c>
      <c r="OL6" t="s">
        <v>48</v>
      </c>
      <c r="OM6" t="s">
        <v>26</v>
      </c>
      <c r="ON6" t="s">
        <v>48</v>
      </c>
      <c r="OO6" t="s">
        <v>26</v>
      </c>
      <c r="OP6" t="s">
        <v>77</v>
      </c>
      <c r="OQ6" t="s">
        <v>26</v>
      </c>
      <c r="OR6" t="s">
        <v>17</v>
      </c>
      <c r="OS6" t="s">
        <v>26</v>
      </c>
      <c r="OT6" t="s">
        <v>77</v>
      </c>
      <c r="OU6" t="s">
        <v>48</v>
      </c>
      <c r="OV6" t="s">
        <v>48</v>
      </c>
      <c r="OW6" t="s">
        <v>26</v>
      </c>
      <c r="OX6" t="s">
        <v>48</v>
      </c>
      <c r="OY6" t="s">
        <v>17</v>
      </c>
      <c r="OZ6" t="s">
        <v>26</v>
      </c>
      <c r="PA6" t="s">
        <v>17</v>
      </c>
      <c r="PB6" t="s">
        <v>48</v>
      </c>
      <c r="PC6" t="s">
        <v>77</v>
      </c>
      <c r="PD6" t="s">
        <v>17</v>
      </c>
      <c r="PE6" t="s">
        <v>48</v>
      </c>
      <c r="PF6" t="s">
        <v>48</v>
      </c>
      <c r="PG6" t="s">
        <v>77</v>
      </c>
      <c r="PH6" t="s">
        <v>77</v>
      </c>
      <c r="PI6" t="s">
        <v>26</v>
      </c>
      <c r="PJ6" t="s">
        <v>48</v>
      </c>
      <c r="PK6" t="s">
        <v>48</v>
      </c>
      <c r="PL6" t="s">
        <v>48</v>
      </c>
      <c r="PM6" t="s">
        <v>26</v>
      </c>
      <c r="PN6" t="s">
        <v>17</v>
      </c>
      <c r="PO6" t="s">
        <v>26</v>
      </c>
      <c r="PP6" t="s">
        <v>17</v>
      </c>
      <c r="PQ6" t="s">
        <v>26</v>
      </c>
      <c r="PR6" t="s">
        <v>77</v>
      </c>
      <c r="PS6" t="s">
        <v>26</v>
      </c>
      <c r="PT6" t="s">
        <v>48</v>
      </c>
      <c r="PU6" t="s">
        <v>48</v>
      </c>
      <c r="PV6" t="s">
        <v>48</v>
      </c>
      <c r="PW6" t="s">
        <v>77</v>
      </c>
      <c r="PX6" t="s">
        <v>26</v>
      </c>
      <c r="PY6" t="s">
        <v>77</v>
      </c>
      <c r="PZ6" t="s">
        <v>26</v>
      </c>
      <c r="QA6" t="s">
        <v>17</v>
      </c>
      <c r="QB6" t="s">
        <v>17</v>
      </c>
      <c r="QC6" t="s">
        <v>77</v>
      </c>
      <c r="QD6" t="s">
        <v>26</v>
      </c>
      <c r="QE6" t="s">
        <v>17</v>
      </c>
      <c r="QF6" t="s">
        <v>77</v>
      </c>
      <c r="QG6" t="s">
        <v>26</v>
      </c>
      <c r="QH6" t="s">
        <v>77</v>
      </c>
      <c r="QI6" t="s">
        <v>17</v>
      </c>
      <c r="QJ6" t="s">
        <v>26</v>
      </c>
      <c r="QK6" t="s">
        <v>26</v>
      </c>
      <c r="QL6" t="s">
        <v>17</v>
      </c>
      <c r="QM6" t="s">
        <v>48</v>
      </c>
      <c r="QN6" t="s">
        <v>17</v>
      </c>
      <c r="QO6" t="s">
        <v>17</v>
      </c>
      <c r="QP6" t="s">
        <v>48</v>
      </c>
      <c r="QQ6" t="s">
        <v>48</v>
      </c>
      <c r="QR6" t="s">
        <v>48</v>
      </c>
      <c r="QS6" t="s">
        <v>77</v>
      </c>
      <c r="QT6" t="s">
        <v>77</v>
      </c>
      <c r="QU6" t="s">
        <v>48</v>
      </c>
      <c r="QV6" t="s">
        <v>77</v>
      </c>
      <c r="QW6" t="s">
        <v>48</v>
      </c>
      <c r="QX6" t="s">
        <v>26</v>
      </c>
      <c r="QY6" t="s">
        <v>48</v>
      </c>
      <c r="QZ6" t="s">
        <v>26</v>
      </c>
      <c r="RA6" t="s">
        <v>26</v>
      </c>
      <c r="RB6" t="s">
        <v>26</v>
      </c>
      <c r="RC6" t="s">
        <v>17</v>
      </c>
      <c r="RD6" t="s">
        <v>48</v>
      </c>
      <c r="RE6" t="s">
        <v>17</v>
      </c>
      <c r="RF6" t="s">
        <v>48</v>
      </c>
      <c r="RG6" t="s">
        <v>26</v>
      </c>
      <c r="RH6" t="s">
        <v>26</v>
      </c>
      <c r="RI6" t="s">
        <v>77</v>
      </c>
      <c r="RJ6" t="s">
        <v>77</v>
      </c>
      <c r="RK6" t="s">
        <v>26</v>
      </c>
      <c r="RL6" t="s">
        <v>48</v>
      </c>
      <c r="RM6" t="s">
        <v>48</v>
      </c>
      <c r="RN6" t="s">
        <v>26</v>
      </c>
      <c r="RO6" t="s">
        <v>48</v>
      </c>
      <c r="RP6" t="s">
        <v>48</v>
      </c>
      <c r="RQ6" t="s">
        <v>77</v>
      </c>
      <c r="RR6" t="s">
        <v>26</v>
      </c>
      <c r="RS6" t="s">
        <v>77</v>
      </c>
      <c r="RT6" t="s">
        <v>26</v>
      </c>
      <c r="RU6" t="s">
        <v>17</v>
      </c>
      <c r="RV6" t="s">
        <v>77</v>
      </c>
      <c r="RW6" t="s">
        <v>17</v>
      </c>
      <c r="RX6" t="s">
        <v>77</v>
      </c>
      <c r="RY6" t="s">
        <v>77</v>
      </c>
      <c r="RZ6" t="s">
        <v>26</v>
      </c>
      <c r="SA6" t="s">
        <v>17</v>
      </c>
      <c r="SB6" t="s">
        <v>48</v>
      </c>
      <c r="SC6" t="s">
        <v>48</v>
      </c>
      <c r="SD6" t="s">
        <v>48</v>
      </c>
      <c r="SE6" t="s">
        <v>17</v>
      </c>
      <c r="SF6" t="s">
        <v>77</v>
      </c>
      <c r="SG6" t="s">
        <v>17</v>
      </c>
      <c r="SH6" t="s">
        <v>48</v>
      </c>
      <c r="SI6" t="s">
        <v>77</v>
      </c>
      <c r="SJ6" t="s">
        <v>17</v>
      </c>
      <c r="SK6" t="s">
        <v>48</v>
      </c>
      <c r="SL6" t="s">
        <v>48</v>
      </c>
      <c r="SM6" t="s">
        <v>17</v>
      </c>
      <c r="SN6" t="s">
        <v>26</v>
      </c>
      <c r="SO6" t="s">
        <v>17</v>
      </c>
      <c r="SP6" t="s">
        <v>26</v>
      </c>
      <c r="SQ6" t="s">
        <v>77</v>
      </c>
      <c r="SR6" t="s">
        <v>77</v>
      </c>
      <c r="SS6" t="s">
        <v>26</v>
      </c>
      <c r="ST6" t="s">
        <v>48</v>
      </c>
      <c r="SU6" t="s">
        <v>17</v>
      </c>
      <c r="SV6" t="s">
        <v>77</v>
      </c>
      <c r="SW6" t="s">
        <v>48</v>
      </c>
      <c r="SX6" t="s">
        <v>17</v>
      </c>
      <c r="SY6" t="s">
        <v>48</v>
      </c>
      <c r="SZ6" t="s">
        <v>26</v>
      </c>
      <c r="TA6" t="s">
        <v>17</v>
      </c>
      <c r="TB6" t="s">
        <v>17</v>
      </c>
      <c r="TC6" t="s">
        <v>77</v>
      </c>
      <c r="TD6" t="s">
        <v>17</v>
      </c>
      <c r="TE6" t="s">
        <v>17</v>
      </c>
      <c r="TF6" t="s">
        <v>17</v>
      </c>
      <c r="TG6" t="s">
        <v>77</v>
      </c>
      <c r="TH6" t="s">
        <v>48</v>
      </c>
      <c r="TI6" t="s">
        <v>17</v>
      </c>
      <c r="TJ6" t="s">
        <v>17</v>
      </c>
      <c r="TK6" t="s">
        <v>17</v>
      </c>
      <c r="TL6" t="s">
        <v>77</v>
      </c>
      <c r="TM6" t="s">
        <v>77</v>
      </c>
      <c r="TN6" t="s">
        <v>48</v>
      </c>
      <c r="TO6" t="s">
        <v>17</v>
      </c>
      <c r="TP6" t="s">
        <v>26</v>
      </c>
      <c r="TQ6" t="s">
        <v>77</v>
      </c>
      <c r="TR6" t="s">
        <v>77</v>
      </c>
      <c r="TS6" t="s">
        <v>26</v>
      </c>
      <c r="TT6" t="s">
        <v>77</v>
      </c>
      <c r="TU6" t="s">
        <v>26</v>
      </c>
      <c r="TV6" t="s">
        <v>48</v>
      </c>
      <c r="TW6" t="s">
        <v>48</v>
      </c>
      <c r="TX6" t="s">
        <v>17</v>
      </c>
      <c r="TY6" t="s">
        <v>26</v>
      </c>
      <c r="TZ6" t="s">
        <v>48</v>
      </c>
      <c r="UA6" t="s">
        <v>17</v>
      </c>
      <c r="UB6" t="s">
        <v>48</v>
      </c>
      <c r="UC6" t="s">
        <v>48</v>
      </c>
      <c r="UD6" t="s">
        <v>48</v>
      </c>
      <c r="UE6" t="s">
        <v>77</v>
      </c>
      <c r="UF6" t="s">
        <v>26</v>
      </c>
      <c r="UG6" t="s">
        <v>77</v>
      </c>
      <c r="UH6" t="s">
        <v>17</v>
      </c>
      <c r="UI6" t="s">
        <v>17</v>
      </c>
      <c r="UJ6" t="s">
        <v>17</v>
      </c>
      <c r="UK6" t="s">
        <v>17</v>
      </c>
      <c r="UL6" t="s">
        <v>48</v>
      </c>
      <c r="UM6" t="s">
        <v>17</v>
      </c>
      <c r="UN6" t="s">
        <v>26</v>
      </c>
      <c r="UO6" t="s">
        <v>77</v>
      </c>
      <c r="UP6" t="s">
        <v>48</v>
      </c>
      <c r="UQ6" t="s">
        <v>48</v>
      </c>
      <c r="UR6" t="s">
        <v>26</v>
      </c>
      <c r="US6" t="s">
        <v>77</v>
      </c>
      <c r="UT6" t="s">
        <v>26</v>
      </c>
      <c r="UU6" t="s">
        <v>17</v>
      </c>
      <c r="UV6" t="s">
        <v>77</v>
      </c>
      <c r="UW6" t="s">
        <v>77</v>
      </c>
      <c r="UX6" t="s">
        <v>77</v>
      </c>
      <c r="UY6" t="s">
        <v>48</v>
      </c>
      <c r="UZ6" t="s">
        <v>77</v>
      </c>
      <c r="VA6" t="s">
        <v>77</v>
      </c>
      <c r="VB6" t="s">
        <v>77</v>
      </c>
      <c r="VC6" t="s">
        <v>48</v>
      </c>
      <c r="VD6" t="s">
        <v>77</v>
      </c>
      <c r="VE6" t="s">
        <v>17</v>
      </c>
      <c r="VF6" t="s">
        <v>77</v>
      </c>
      <c r="VG6" t="s">
        <v>17</v>
      </c>
      <c r="VH6" t="s">
        <v>77</v>
      </c>
      <c r="VI6" t="s">
        <v>77</v>
      </c>
      <c r="VJ6" t="s">
        <v>17</v>
      </c>
      <c r="VK6" t="s">
        <v>77</v>
      </c>
      <c r="VL6" t="s">
        <v>77</v>
      </c>
      <c r="VM6" t="s">
        <v>26</v>
      </c>
      <c r="VN6" t="s">
        <v>48</v>
      </c>
      <c r="VO6" t="s">
        <v>48</v>
      </c>
      <c r="VP6" t="s">
        <v>26</v>
      </c>
      <c r="VQ6" t="s">
        <v>48</v>
      </c>
      <c r="VR6" t="s">
        <v>48</v>
      </c>
      <c r="VS6" t="s">
        <v>77</v>
      </c>
      <c r="VT6" t="s">
        <v>26</v>
      </c>
      <c r="VU6" t="s">
        <v>26</v>
      </c>
      <c r="VV6" t="s">
        <v>77</v>
      </c>
      <c r="VW6" t="s">
        <v>26</v>
      </c>
      <c r="VX6" t="s">
        <v>26</v>
      </c>
      <c r="VY6" t="s">
        <v>77</v>
      </c>
      <c r="VZ6" t="s">
        <v>77</v>
      </c>
      <c r="WA6" t="s">
        <v>48</v>
      </c>
      <c r="WB6" t="s">
        <v>48</v>
      </c>
      <c r="WC6" t="s">
        <v>48</v>
      </c>
      <c r="WD6" t="s">
        <v>26</v>
      </c>
      <c r="WE6" t="s">
        <v>77</v>
      </c>
      <c r="WF6" t="s">
        <v>77</v>
      </c>
      <c r="WG6" t="s">
        <v>26</v>
      </c>
      <c r="WH6" t="s">
        <v>48</v>
      </c>
      <c r="WI6" t="s">
        <v>77</v>
      </c>
      <c r="WJ6" t="s">
        <v>17</v>
      </c>
      <c r="WK6" t="s">
        <v>77</v>
      </c>
      <c r="WL6" t="s">
        <v>77</v>
      </c>
      <c r="WM6" t="s">
        <v>17</v>
      </c>
      <c r="WN6" t="s">
        <v>26</v>
      </c>
      <c r="WO6" t="s">
        <v>48</v>
      </c>
      <c r="WP6" t="s">
        <v>26</v>
      </c>
      <c r="WQ6" t="s">
        <v>77</v>
      </c>
      <c r="WR6" t="s">
        <v>77</v>
      </c>
      <c r="WS6" t="s">
        <v>77</v>
      </c>
      <c r="WT6" t="s">
        <v>26</v>
      </c>
      <c r="WU6" t="s">
        <v>77</v>
      </c>
      <c r="WV6" t="s">
        <v>17</v>
      </c>
      <c r="WW6" t="s">
        <v>77</v>
      </c>
      <c r="WX6" t="s">
        <v>77</v>
      </c>
      <c r="WY6" t="s">
        <v>48</v>
      </c>
      <c r="WZ6" t="s">
        <v>17</v>
      </c>
      <c r="XA6" t="s">
        <v>48</v>
      </c>
      <c r="XB6" t="s">
        <v>26</v>
      </c>
      <c r="XC6" t="s">
        <v>48</v>
      </c>
      <c r="XD6" t="s">
        <v>77</v>
      </c>
      <c r="XE6" t="s">
        <v>17</v>
      </c>
      <c r="XF6" t="s">
        <v>17</v>
      </c>
      <c r="XG6" t="s">
        <v>77</v>
      </c>
      <c r="XH6" t="s">
        <v>17</v>
      </c>
      <c r="XI6" t="s">
        <v>77</v>
      </c>
      <c r="XJ6" t="s">
        <v>77</v>
      </c>
      <c r="XK6" t="s">
        <v>17</v>
      </c>
      <c r="XL6" t="s">
        <v>26</v>
      </c>
      <c r="XM6" t="s">
        <v>26</v>
      </c>
      <c r="XN6" t="s">
        <v>26</v>
      </c>
      <c r="XO6" t="s">
        <v>17</v>
      </c>
      <c r="XP6" t="s">
        <v>17</v>
      </c>
      <c r="XQ6" t="s">
        <v>48</v>
      </c>
      <c r="XR6" t="s">
        <v>48</v>
      </c>
      <c r="XS6" t="s">
        <v>26</v>
      </c>
      <c r="XT6" t="s">
        <v>17</v>
      </c>
      <c r="XU6" t="s">
        <v>26</v>
      </c>
      <c r="XV6" t="s">
        <v>48</v>
      </c>
      <c r="XW6" t="s">
        <v>48</v>
      </c>
      <c r="XX6" t="s">
        <v>48</v>
      </c>
      <c r="XY6" t="s">
        <v>17</v>
      </c>
      <c r="XZ6" t="s">
        <v>48</v>
      </c>
      <c r="YA6" t="s">
        <v>26</v>
      </c>
      <c r="YB6" t="s">
        <v>17</v>
      </c>
      <c r="YC6" t="s">
        <v>26</v>
      </c>
      <c r="YD6" t="s">
        <v>77</v>
      </c>
      <c r="YE6" t="s">
        <v>17</v>
      </c>
      <c r="YF6" t="s">
        <v>17</v>
      </c>
      <c r="YG6" t="s">
        <v>77</v>
      </c>
      <c r="YH6" t="s">
        <v>26</v>
      </c>
      <c r="YI6" t="s">
        <v>17</v>
      </c>
      <c r="YJ6" t="s">
        <v>77</v>
      </c>
      <c r="YK6" t="s">
        <v>17</v>
      </c>
      <c r="YL6" t="s">
        <v>48</v>
      </c>
      <c r="YM6" t="s">
        <v>77</v>
      </c>
      <c r="YN6" t="s">
        <v>26</v>
      </c>
      <c r="YO6" t="s">
        <v>17</v>
      </c>
      <c r="YP6" t="s">
        <v>77</v>
      </c>
      <c r="YQ6" t="s">
        <v>77</v>
      </c>
      <c r="YR6" t="s">
        <v>17</v>
      </c>
      <c r="YS6" t="s">
        <v>48</v>
      </c>
      <c r="YT6" t="s">
        <v>77</v>
      </c>
      <c r="YU6" t="s">
        <v>48</v>
      </c>
      <c r="YV6" t="s">
        <v>17</v>
      </c>
      <c r="YW6" t="s">
        <v>26</v>
      </c>
      <c r="YX6" t="s">
        <v>17</v>
      </c>
      <c r="YY6" t="s">
        <v>17</v>
      </c>
      <c r="YZ6" t="s">
        <v>48</v>
      </c>
      <c r="ZA6" t="s">
        <v>48</v>
      </c>
      <c r="ZB6" t="s">
        <v>26</v>
      </c>
      <c r="ZC6" t="s">
        <v>26</v>
      </c>
      <c r="ZD6" t="s">
        <v>77</v>
      </c>
      <c r="ZE6" t="s">
        <v>48</v>
      </c>
      <c r="ZF6" t="s">
        <v>26</v>
      </c>
      <c r="ZG6" t="s">
        <v>48</v>
      </c>
      <c r="ZH6" t="s">
        <v>77</v>
      </c>
      <c r="ZI6" t="s">
        <v>48</v>
      </c>
      <c r="ZJ6" t="s">
        <v>26</v>
      </c>
      <c r="ZK6" t="s">
        <v>17</v>
      </c>
      <c r="ZL6" t="s">
        <v>17</v>
      </c>
      <c r="ZM6" t="s">
        <v>26</v>
      </c>
      <c r="ZN6" t="s">
        <v>48</v>
      </c>
      <c r="ZO6" t="s">
        <v>26</v>
      </c>
      <c r="ZP6" t="s">
        <v>77</v>
      </c>
      <c r="ZQ6" t="s">
        <v>26</v>
      </c>
      <c r="ZR6" t="s">
        <v>48</v>
      </c>
      <c r="ZS6" t="s">
        <v>48</v>
      </c>
      <c r="ZT6" t="s">
        <v>26</v>
      </c>
      <c r="ZU6" t="s">
        <v>17</v>
      </c>
      <c r="ZV6" t="s">
        <v>77</v>
      </c>
      <c r="ZW6" t="s">
        <v>48</v>
      </c>
      <c r="ZX6" t="s">
        <v>17</v>
      </c>
      <c r="ZY6" t="s">
        <v>48</v>
      </c>
      <c r="ZZ6" t="s">
        <v>26</v>
      </c>
      <c r="AAA6" t="s">
        <v>48</v>
      </c>
      <c r="AAB6" t="s">
        <v>26</v>
      </c>
      <c r="AAC6" t="s">
        <v>48</v>
      </c>
      <c r="AAD6" t="s">
        <v>77</v>
      </c>
      <c r="AAE6" t="s">
        <v>77</v>
      </c>
      <c r="AAF6" t="s">
        <v>48</v>
      </c>
      <c r="AAG6" t="s">
        <v>77</v>
      </c>
      <c r="AAH6" t="s">
        <v>26</v>
      </c>
      <c r="AAI6" t="s">
        <v>26</v>
      </c>
      <c r="AAJ6" t="s">
        <v>48</v>
      </c>
      <c r="AAK6" t="s">
        <v>48</v>
      </c>
      <c r="AAL6" t="s">
        <v>17</v>
      </c>
      <c r="AAM6" t="s">
        <v>17</v>
      </c>
      <c r="AAN6" t="s">
        <v>48</v>
      </c>
      <c r="AAO6" t="s">
        <v>77</v>
      </c>
      <c r="AAP6" t="s">
        <v>26</v>
      </c>
      <c r="AAQ6" t="s">
        <v>26</v>
      </c>
      <c r="AAR6" t="s">
        <v>17</v>
      </c>
      <c r="AAS6" t="s">
        <v>48</v>
      </c>
      <c r="AAT6" t="s">
        <v>17</v>
      </c>
      <c r="AAU6" t="s">
        <v>48</v>
      </c>
      <c r="AAV6" t="s">
        <v>48</v>
      </c>
      <c r="AAW6" t="s">
        <v>48</v>
      </c>
      <c r="AAX6" t="s">
        <v>17</v>
      </c>
      <c r="AAY6" t="s">
        <v>48</v>
      </c>
      <c r="AAZ6" t="s">
        <v>17</v>
      </c>
      <c r="ABA6" t="s">
        <v>48</v>
      </c>
      <c r="ABB6" t="s">
        <v>77</v>
      </c>
      <c r="ABC6" t="s">
        <v>77</v>
      </c>
      <c r="ABD6" t="s">
        <v>48</v>
      </c>
      <c r="ABE6" t="s">
        <v>48</v>
      </c>
      <c r="ABF6" t="s">
        <v>48</v>
      </c>
      <c r="ABG6" t="s">
        <v>48</v>
      </c>
      <c r="ABH6" t="s">
        <v>48</v>
      </c>
      <c r="ABI6" t="s">
        <v>48</v>
      </c>
      <c r="ABJ6" t="s">
        <v>77</v>
      </c>
      <c r="ABK6" t="s">
        <v>17</v>
      </c>
      <c r="ABL6" t="s">
        <v>48</v>
      </c>
      <c r="ABM6" t="s">
        <v>48</v>
      </c>
      <c r="ABN6" t="s">
        <v>77</v>
      </c>
      <c r="ABO6" t="s">
        <v>48</v>
      </c>
      <c r="ABP6" t="s">
        <v>17</v>
      </c>
      <c r="ABQ6" t="s">
        <v>48</v>
      </c>
      <c r="ABR6" t="s">
        <v>77</v>
      </c>
      <c r="ABS6" t="s">
        <v>48</v>
      </c>
      <c r="ABT6" t="s">
        <v>26</v>
      </c>
      <c r="ABU6" t="s">
        <v>48</v>
      </c>
      <c r="ABV6" t="s">
        <v>77</v>
      </c>
      <c r="ABW6" t="s">
        <v>77</v>
      </c>
      <c r="ABX6" t="s">
        <v>26</v>
      </c>
      <c r="ABY6" t="s">
        <v>48</v>
      </c>
      <c r="ABZ6" t="s">
        <v>17</v>
      </c>
      <c r="ACA6" t="s">
        <v>48</v>
      </c>
      <c r="ACB6" t="s">
        <v>17</v>
      </c>
      <c r="ACC6" t="s">
        <v>77</v>
      </c>
      <c r="ACD6" t="s">
        <v>17</v>
      </c>
      <c r="ACE6" t="s">
        <v>77</v>
      </c>
      <c r="ACF6" t="s">
        <v>17</v>
      </c>
      <c r="ACG6" t="s">
        <v>77</v>
      </c>
      <c r="ACH6" t="s">
        <v>17</v>
      </c>
      <c r="ACI6" t="s">
        <v>77</v>
      </c>
      <c r="ACJ6" t="s">
        <v>26</v>
      </c>
      <c r="ACK6" t="s">
        <v>48</v>
      </c>
      <c r="ACL6" t="s">
        <v>26</v>
      </c>
      <c r="ACM6" t="s">
        <v>17</v>
      </c>
      <c r="ACN6" t="s">
        <v>48</v>
      </c>
      <c r="ACO6" t="s">
        <v>26</v>
      </c>
      <c r="ACP6" t="s">
        <v>48</v>
      </c>
      <c r="ACQ6" t="s">
        <v>26</v>
      </c>
      <c r="ACR6" t="s">
        <v>77</v>
      </c>
      <c r="ACS6" t="s">
        <v>17</v>
      </c>
      <c r="ACT6" t="s">
        <v>17</v>
      </c>
      <c r="ACU6" t="s">
        <v>48</v>
      </c>
      <c r="ACV6" t="s">
        <v>48</v>
      </c>
      <c r="ACW6" t="s">
        <v>26</v>
      </c>
      <c r="ACX6" t="s">
        <v>48</v>
      </c>
      <c r="ACY6" t="s">
        <v>17</v>
      </c>
      <c r="ACZ6" t="s">
        <v>26</v>
      </c>
      <c r="ADA6" t="s">
        <v>17</v>
      </c>
      <c r="ADB6" t="s">
        <v>48</v>
      </c>
      <c r="ADC6" t="s">
        <v>77</v>
      </c>
      <c r="ADD6" t="s">
        <v>48</v>
      </c>
      <c r="ADE6" t="s">
        <v>48</v>
      </c>
      <c r="ADF6" t="s">
        <v>48</v>
      </c>
      <c r="ADG6" t="s">
        <v>48</v>
      </c>
      <c r="ADH6" t="s">
        <v>26</v>
      </c>
      <c r="ADI6" t="s">
        <v>17</v>
      </c>
      <c r="ADJ6" t="s">
        <v>77</v>
      </c>
      <c r="ADK6" t="s">
        <v>77</v>
      </c>
      <c r="ADL6" t="s">
        <v>26</v>
      </c>
      <c r="ADM6" t="s">
        <v>26</v>
      </c>
      <c r="ADN6" t="s">
        <v>48</v>
      </c>
      <c r="ADO6" t="s">
        <v>48</v>
      </c>
      <c r="ADP6" t="s">
        <v>26</v>
      </c>
      <c r="ADQ6" t="s">
        <v>26</v>
      </c>
      <c r="ADR6" t="s">
        <v>77</v>
      </c>
      <c r="ADS6" t="s">
        <v>77</v>
      </c>
      <c r="ADT6" t="s">
        <v>77</v>
      </c>
      <c r="ADU6" t="s">
        <v>17</v>
      </c>
      <c r="ADV6" t="s">
        <v>77</v>
      </c>
      <c r="ADW6" t="s">
        <v>77</v>
      </c>
      <c r="ADX6" t="s">
        <v>48</v>
      </c>
      <c r="ADY6" t="s">
        <v>48</v>
      </c>
      <c r="ADZ6" t="s">
        <v>48</v>
      </c>
      <c r="AEA6" t="s">
        <v>77</v>
      </c>
      <c r="AEB6" t="s">
        <v>26</v>
      </c>
      <c r="AEC6" t="s">
        <v>77</v>
      </c>
      <c r="AED6" t="s">
        <v>26</v>
      </c>
      <c r="AEE6" t="s">
        <v>48</v>
      </c>
      <c r="AEF6" t="s">
        <v>77</v>
      </c>
      <c r="AEG6" t="s">
        <v>26</v>
      </c>
      <c r="AEH6" t="s">
        <v>17</v>
      </c>
      <c r="AEI6" t="s">
        <v>17</v>
      </c>
      <c r="AEJ6" t="s">
        <v>77</v>
      </c>
      <c r="AEK6" t="s">
        <v>17</v>
      </c>
      <c r="AEL6" t="s">
        <v>77</v>
      </c>
      <c r="AEM6" t="s">
        <v>48</v>
      </c>
      <c r="AEN6" t="s">
        <v>77</v>
      </c>
      <c r="AEO6" t="s">
        <v>77</v>
      </c>
      <c r="AEP6" t="s">
        <v>26</v>
      </c>
      <c r="AEQ6" t="s">
        <v>48</v>
      </c>
      <c r="AER6" t="s">
        <v>17</v>
      </c>
      <c r="AES6" t="s">
        <v>48</v>
      </c>
      <c r="AET6" t="s">
        <v>26</v>
      </c>
      <c r="AEU6" t="s">
        <v>17</v>
      </c>
      <c r="AEV6" t="s">
        <v>17</v>
      </c>
      <c r="AEW6" t="s">
        <v>17</v>
      </c>
      <c r="AEX6" t="s">
        <v>17</v>
      </c>
      <c r="AEY6" t="s">
        <v>77</v>
      </c>
      <c r="AEZ6" t="s">
        <v>26</v>
      </c>
      <c r="AFA6" t="s">
        <v>26</v>
      </c>
      <c r="AFB6" t="s">
        <v>48</v>
      </c>
      <c r="AFC6" t="s">
        <v>26</v>
      </c>
      <c r="AFD6" t="s">
        <v>77</v>
      </c>
      <c r="AFE6" t="s">
        <v>77</v>
      </c>
      <c r="AFF6" t="s">
        <v>17</v>
      </c>
      <c r="AFG6" t="s">
        <v>17</v>
      </c>
      <c r="AFH6" t="s">
        <v>77</v>
      </c>
      <c r="AFI6" t="s">
        <v>48</v>
      </c>
      <c r="AFJ6" t="s">
        <v>48</v>
      </c>
      <c r="AFK6" t="s">
        <v>48</v>
      </c>
      <c r="AFL6" t="s">
        <v>77</v>
      </c>
      <c r="AFM6" t="s">
        <v>26</v>
      </c>
      <c r="AFN6" t="s">
        <v>48</v>
      </c>
      <c r="AFO6" t="s">
        <v>17</v>
      </c>
      <c r="AFP6" t="s">
        <v>77</v>
      </c>
      <c r="AFQ6" t="s">
        <v>77</v>
      </c>
      <c r="AFR6" t="s">
        <v>26</v>
      </c>
      <c r="AFS6" t="s">
        <v>26</v>
      </c>
      <c r="AFT6" t="s">
        <v>48</v>
      </c>
      <c r="AFU6" t="s">
        <v>26</v>
      </c>
      <c r="AFV6" t="s">
        <v>77</v>
      </c>
      <c r="AFW6" t="s">
        <v>77</v>
      </c>
      <c r="AFX6" t="s">
        <v>26</v>
      </c>
      <c r="AFY6" t="s">
        <v>77</v>
      </c>
      <c r="AFZ6" t="s">
        <v>77</v>
      </c>
      <c r="AGA6" t="s">
        <v>77</v>
      </c>
      <c r="AGB6" t="s">
        <v>77</v>
      </c>
      <c r="AGC6" t="s">
        <v>77</v>
      </c>
      <c r="AGD6" t="s">
        <v>48</v>
      </c>
      <c r="AGE6" t="s">
        <v>26</v>
      </c>
      <c r="AGF6" t="s">
        <v>17</v>
      </c>
      <c r="AGG6" t="s">
        <v>77</v>
      </c>
      <c r="AGH6" t="s">
        <v>17</v>
      </c>
      <c r="AGI6" t="s">
        <v>26</v>
      </c>
      <c r="AGJ6" t="s">
        <v>48</v>
      </c>
      <c r="AGK6" t="s">
        <v>17</v>
      </c>
      <c r="AGL6" t="s">
        <v>48</v>
      </c>
      <c r="AGM6" t="s">
        <v>26</v>
      </c>
      <c r="AGN6" t="s">
        <v>26</v>
      </c>
      <c r="AGO6" t="s">
        <v>48</v>
      </c>
      <c r="AGP6" t="s">
        <v>48</v>
      </c>
      <c r="AGQ6" t="s">
        <v>77</v>
      </c>
      <c r="AGR6" t="s">
        <v>77</v>
      </c>
      <c r="AGS6" t="s">
        <v>77</v>
      </c>
      <c r="AGT6" t="s">
        <v>26</v>
      </c>
      <c r="AGU6" t="s">
        <v>26</v>
      </c>
      <c r="AGV6" t="s">
        <v>48</v>
      </c>
      <c r="AGW6" t="s">
        <v>26</v>
      </c>
      <c r="AGX6" t="s">
        <v>17</v>
      </c>
      <c r="AGY6" t="s">
        <v>77</v>
      </c>
      <c r="AGZ6" t="s">
        <v>48</v>
      </c>
      <c r="AHA6" t="s">
        <v>26</v>
      </c>
      <c r="AHB6" t="s">
        <v>48</v>
      </c>
      <c r="AHC6" t="s">
        <v>26</v>
      </c>
      <c r="AHD6" t="s">
        <v>17</v>
      </c>
      <c r="AHE6" t="s">
        <v>26</v>
      </c>
      <c r="AHF6" t="s">
        <v>77</v>
      </c>
      <c r="AHG6" t="s">
        <v>26</v>
      </c>
      <c r="AHH6" t="s">
        <v>77</v>
      </c>
      <c r="AHI6" t="s">
        <v>77</v>
      </c>
      <c r="AHJ6" t="s">
        <v>48</v>
      </c>
      <c r="AHK6" t="s">
        <v>17</v>
      </c>
      <c r="AHL6" t="s">
        <v>48</v>
      </c>
      <c r="AHM6" t="s">
        <v>77</v>
      </c>
      <c r="AHN6" t="s">
        <v>26</v>
      </c>
      <c r="AHO6" t="s">
        <v>17</v>
      </c>
      <c r="AHP6" t="s">
        <v>26</v>
      </c>
      <c r="AHQ6" t="s">
        <v>77</v>
      </c>
      <c r="AHR6" t="s">
        <v>77</v>
      </c>
      <c r="AHS6" t="s">
        <v>48</v>
      </c>
      <c r="AHT6" t="s">
        <v>17</v>
      </c>
      <c r="AHU6" t="s">
        <v>26</v>
      </c>
      <c r="AHV6" t="s">
        <v>26</v>
      </c>
      <c r="AHW6" t="s">
        <v>26</v>
      </c>
      <c r="AHX6" t="s">
        <v>26</v>
      </c>
      <c r="AHY6" t="s">
        <v>26</v>
      </c>
      <c r="AHZ6" t="s">
        <v>26</v>
      </c>
      <c r="AIA6" t="s">
        <v>17</v>
      </c>
      <c r="AIB6" t="s">
        <v>26</v>
      </c>
      <c r="AIC6" t="s">
        <v>48</v>
      </c>
      <c r="AID6" t="s">
        <v>48</v>
      </c>
      <c r="AIE6" t="s">
        <v>17</v>
      </c>
      <c r="AIF6" t="s">
        <v>26</v>
      </c>
      <c r="AIG6" t="s">
        <v>26</v>
      </c>
      <c r="AIH6" t="s">
        <v>17</v>
      </c>
      <c r="AII6" t="s">
        <v>26</v>
      </c>
      <c r="AIJ6" t="s">
        <v>77</v>
      </c>
      <c r="AIK6" t="s">
        <v>77</v>
      </c>
      <c r="AIL6" t="s">
        <v>77</v>
      </c>
      <c r="AIM6" t="s">
        <v>26</v>
      </c>
      <c r="AIN6" t="s">
        <v>26</v>
      </c>
      <c r="AIO6" t="s">
        <v>48</v>
      </c>
      <c r="AIP6" t="s">
        <v>17</v>
      </c>
      <c r="AIQ6" t="s">
        <v>17</v>
      </c>
      <c r="AIR6" t="s">
        <v>48</v>
      </c>
      <c r="AIS6" t="s">
        <v>48</v>
      </c>
      <c r="AIT6" t="s">
        <v>48</v>
      </c>
      <c r="AIU6" t="s">
        <v>17</v>
      </c>
      <c r="AIV6" t="s">
        <v>77</v>
      </c>
      <c r="AIW6" t="s">
        <v>77</v>
      </c>
      <c r="AIX6" t="s">
        <v>17</v>
      </c>
      <c r="AIY6" t="s">
        <v>77</v>
      </c>
      <c r="AIZ6" t="s">
        <v>26</v>
      </c>
      <c r="AJA6" t="s">
        <v>17</v>
      </c>
      <c r="AJB6" t="s">
        <v>26</v>
      </c>
      <c r="AJC6" t="s">
        <v>17</v>
      </c>
      <c r="AJD6" t="s">
        <v>48</v>
      </c>
      <c r="AJE6" t="s">
        <v>48</v>
      </c>
      <c r="AJF6" t="s">
        <v>17</v>
      </c>
      <c r="AJG6" t="s">
        <v>26</v>
      </c>
      <c r="AJH6" t="s">
        <v>77</v>
      </c>
      <c r="AJI6" t="s">
        <v>26</v>
      </c>
      <c r="AJJ6" t="s">
        <v>77</v>
      </c>
      <c r="AJK6" t="s">
        <v>77</v>
      </c>
      <c r="AJL6" t="s">
        <v>26</v>
      </c>
      <c r="AJM6" t="s">
        <v>48</v>
      </c>
      <c r="AJN6" t="s">
        <v>17</v>
      </c>
      <c r="AJO6" t="s">
        <v>77</v>
      </c>
      <c r="AJP6" t="s">
        <v>48</v>
      </c>
      <c r="AJQ6" t="s">
        <v>48</v>
      </c>
      <c r="AJR6" t="s">
        <v>48</v>
      </c>
      <c r="AJS6" t="s">
        <v>26</v>
      </c>
      <c r="AJT6" t="s">
        <v>17</v>
      </c>
      <c r="AJU6" t="s">
        <v>48</v>
      </c>
      <c r="AJV6" t="s">
        <v>26</v>
      </c>
      <c r="AJW6" t="s">
        <v>26</v>
      </c>
      <c r="AJX6" t="s">
        <v>48</v>
      </c>
      <c r="AJY6" t="s">
        <v>77</v>
      </c>
      <c r="AJZ6" t="s">
        <v>17</v>
      </c>
      <c r="AKA6" t="s">
        <v>48</v>
      </c>
      <c r="AKB6" t="s">
        <v>77</v>
      </c>
      <c r="AKC6" t="s">
        <v>17</v>
      </c>
      <c r="AKD6" t="s">
        <v>17</v>
      </c>
      <c r="AKE6" t="s">
        <v>77</v>
      </c>
      <c r="AKF6" t="s">
        <v>77</v>
      </c>
      <c r="AKG6" t="s">
        <v>48</v>
      </c>
      <c r="AKH6" t="s">
        <v>77</v>
      </c>
      <c r="AKI6" t="s">
        <v>26</v>
      </c>
      <c r="AKJ6" t="s">
        <v>77</v>
      </c>
      <c r="AKK6" t="s">
        <v>48</v>
      </c>
      <c r="AKL6" t="s">
        <v>77</v>
      </c>
      <c r="AKM6" t="s">
        <v>17</v>
      </c>
      <c r="AKN6" t="s">
        <v>48</v>
      </c>
      <c r="AKO6" t="s">
        <v>26</v>
      </c>
      <c r="AKP6" t="s">
        <v>17</v>
      </c>
      <c r="AKQ6" t="s">
        <v>77</v>
      </c>
      <c r="AKR6" t="s">
        <v>26</v>
      </c>
      <c r="AKS6" t="s">
        <v>77</v>
      </c>
      <c r="AKT6" t="s">
        <v>26</v>
      </c>
      <c r="AKU6" t="s">
        <v>77</v>
      </c>
      <c r="AKV6" t="s">
        <v>48</v>
      </c>
      <c r="AKW6" t="s">
        <v>17</v>
      </c>
      <c r="AKX6" t="s">
        <v>26</v>
      </c>
      <c r="AKY6" t="s">
        <v>17</v>
      </c>
      <c r="AKZ6" t="s">
        <v>17</v>
      </c>
      <c r="ALA6" t="s">
        <v>26</v>
      </c>
      <c r="ALB6" t="s">
        <v>26</v>
      </c>
      <c r="ALC6" t="s">
        <v>26</v>
      </c>
      <c r="ALD6" t="s">
        <v>26</v>
      </c>
      <c r="ALE6" t="s">
        <v>48</v>
      </c>
      <c r="ALF6" t="s">
        <v>17</v>
      </c>
      <c r="ALG6" t="s">
        <v>26</v>
      </c>
      <c r="ALH6" t="s">
        <v>77</v>
      </c>
      <c r="ALI6" t="s">
        <v>17</v>
      </c>
      <c r="ALJ6" t="s">
        <v>26</v>
      </c>
      <c r="ALK6" t="s">
        <v>17</v>
      </c>
      <c r="ALL6" t="s">
        <v>26</v>
      </c>
      <c r="ALM6" t="s">
        <v>77</v>
      </c>
    </row>
    <row r="7" spans="1:1001" ht="29.4" customHeight="1" x14ac:dyDescent="0.3">
      <c r="A7" s="1" t="s">
        <v>6</v>
      </c>
      <c r="B7" t="s">
        <v>18</v>
      </c>
      <c r="C7" t="s">
        <v>27</v>
      </c>
      <c r="D7" t="s">
        <v>35</v>
      </c>
      <c r="E7" t="s">
        <v>41</v>
      </c>
      <c r="F7" t="s">
        <v>49</v>
      </c>
      <c r="G7" t="s">
        <v>57</v>
      </c>
      <c r="H7" t="s">
        <v>63</v>
      </c>
      <c r="I7" t="s">
        <v>68</v>
      </c>
      <c r="J7" t="s">
        <v>49</v>
      </c>
      <c r="K7" t="s">
        <v>78</v>
      </c>
      <c r="L7" t="s">
        <v>49</v>
      </c>
      <c r="M7" t="s">
        <v>49</v>
      </c>
      <c r="N7" t="s">
        <v>63</v>
      </c>
      <c r="O7" t="s">
        <v>18</v>
      </c>
      <c r="P7" t="s">
        <v>68</v>
      </c>
      <c r="Q7" t="s">
        <v>105</v>
      </c>
      <c r="R7" t="s">
        <v>110</v>
      </c>
      <c r="S7" t="s">
        <v>115</v>
      </c>
      <c r="T7" t="s">
        <v>27</v>
      </c>
      <c r="U7" t="s">
        <v>123</v>
      </c>
      <c r="V7" t="s">
        <v>18</v>
      </c>
      <c r="W7" t="s">
        <v>57</v>
      </c>
      <c r="X7" t="s">
        <v>78</v>
      </c>
      <c r="Y7" t="s">
        <v>41</v>
      </c>
      <c r="Z7" t="s">
        <v>35</v>
      </c>
      <c r="AA7" t="s">
        <v>115</v>
      </c>
      <c r="AB7" t="s">
        <v>115</v>
      </c>
      <c r="AC7" t="s">
        <v>27</v>
      </c>
      <c r="AD7" t="s">
        <v>78</v>
      </c>
      <c r="AE7" t="s">
        <v>27</v>
      </c>
      <c r="AF7" t="s">
        <v>166</v>
      </c>
      <c r="AG7" t="s">
        <v>171</v>
      </c>
      <c r="AH7" t="s">
        <v>105</v>
      </c>
      <c r="AI7" t="s">
        <v>179</v>
      </c>
      <c r="AJ7" t="s">
        <v>179</v>
      </c>
      <c r="AK7" t="s">
        <v>188</v>
      </c>
      <c r="AL7" t="s">
        <v>68</v>
      </c>
      <c r="AM7" t="s">
        <v>41</v>
      </c>
      <c r="AN7" t="s">
        <v>78</v>
      </c>
      <c r="AO7" t="s">
        <v>41</v>
      </c>
      <c r="AP7" t="s">
        <v>208</v>
      </c>
      <c r="AQ7" t="s">
        <v>63</v>
      </c>
      <c r="AR7" t="s">
        <v>110</v>
      </c>
      <c r="AS7" t="s">
        <v>78</v>
      </c>
      <c r="AT7" t="s">
        <v>208</v>
      </c>
      <c r="AU7" t="s">
        <v>41</v>
      </c>
      <c r="AV7" t="s">
        <v>171</v>
      </c>
      <c r="AW7" t="s">
        <v>115</v>
      </c>
      <c r="AX7" t="s">
        <v>188</v>
      </c>
      <c r="AY7" t="s">
        <v>63</v>
      </c>
      <c r="AZ7" t="s">
        <v>179</v>
      </c>
      <c r="BA7" t="s">
        <v>27</v>
      </c>
      <c r="BB7" t="s">
        <v>57</v>
      </c>
      <c r="BC7" t="s">
        <v>166</v>
      </c>
      <c r="BD7" t="s">
        <v>265</v>
      </c>
      <c r="BE7" t="s">
        <v>123</v>
      </c>
      <c r="BF7" t="s">
        <v>27</v>
      </c>
      <c r="BG7" t="s">
        <v>18</v>
      </c>
      <c r="BH7" t="s">
        <v>179</v>
      </c>
      <c r="BI7" t="s">
        <v>265</v>
      </c>
      <c r="BJ7" t="s">
        <v>105</v>
      </c>
      <c r="BK7" t="s">
        <v>188</v>
      </c>
      <c r="BL7" t="s">
        <v>296</v>
      </c>
      <c r="BM7" t="s">
        <v>105</v>
      </c>
      <c r="BN7" t="s">
        <v>35</v>
      </c>
      <c r="BO7" t="s">
        <v>35</v>
      </c>
      <c r="BP7" t="s">
        <v>123</v>
      </c>
      <c r="BQ7" t="s">
        <v>296</v>
      </c>
      <c r="BR7" t="s">
        <v>41</v>
      </c>
      <c r="BS7" t="s">
        <v>57</v>
      </c>
      <c r="BT7" t="s">
        <v>35</v>
      </c>
      <c r="BU7" t="s">
        <v>166</v>
      </c>
      <c r="BV7" t="s">
        <v>49</v>
      </c>
      <c r="BW7" t="s">
        <v>27</v>
      </c>
      <c r="BX7" t="s">
        <v>171</v>
      </c>
      <c r="BY7" t="s">
        <v>78</v>
      </c>
      <c r="BZ7" t="s">
        <v>35</v>
      </c>
      <c r="CA7" t="s">
        <v>123</v>
      </c>
      <c r="CB7" t="s">
        <v>123</v>
      </c>
      <c r="CC7" t="s">
        <v>123</v>
      </c>
      <c r="CD7" t="s">
        <v>27</v>
      </c>
      <c r="CE7" t="s">
        <v>68</v>
      </c>
      <c r="CF7" t="s">
        <v>68</v>
      </c>
      <c r="CG7" t="s">
        <v>171</v>
      </c>
      <c r="CH7" t="s">
        <v>123</v>
      </c>
      <c r="CI7" t="s">
        <v>63</v>
      </c>
      <c r="CJ7" t="s">
        <v>68</v>
      </c>
      <c r="CK7" t="s">
        <v>166</v>
      </c>
      <c r="CL7" t="s">
        <v>171</v>
      </c>
      <c r="CM7" t="s">
        <v>105</v>
      </c>
      <c r="CN7" t="s">
        <v>166</v>
      </c>
      <c r="CO7" t="s">
        <v>115</v>
      </c>
      <c r="CP7" t="s">
        <v>57</v>
      </c>
      <c r="CQ7" t="s">
        <v>68</v>
      </c>
      <c r="CR7" t="s">
        <v>78</v>
      </c>
      <c r="CS7" t="s">
        <v>68</v>
      </c>
      <c r="CT7" t="s">
        <v>78</v>
      </c>
      <c r="CU7" t="s">
        <v>35</v>
      </c>
      <c r="CV7" t="s">
        <v>208</v>
      </c>
      <c r="CW7" t="s">
        <v>171</v>
      </c>
      <c r="CX7" t="s">
        <v>41</v>
      </c>
      <c r="CY7" t="s">
        <v>57</v>
      </c>
      <c r="CZ7" t="s">
        <v>166</v>
      </c>
      <c r="DA7" t="s">
        <v>18</v>
      </c>
      <c r="DB7" t="s">
        <v>208</v>
      </c>
      <c r="DC7" t="s">
        <v>57</v>
      </c>
      <c r="DD7" t="s">
        <v>27</v>
      </c>
      <c r="DE7" t="s">
        <v>35</v>
      </c>
      <c r="DF7" t="s">
        <v>166</v>
      </c>
      <c r="DG7" t="s">
        <v>188</v>
      </c>
      <c r="DH7" t="s">
        <v>27</v>
      </c>
      <c r="DI7" t="s">
        <v>115</v>
      </c>
      <c r="DJ7" t="s">
        <v>18</v>
      </c>
      <c r="DK7" t="s">
        <v>105</v>
      </c>
      <c r="DL7" t="s">
        <v>49</v>
      </c>
      <c r="DM7" t="s">
        <v>105</v>
      </c>
      <c r="DN7" t="s">
        <v>166</v>
      </c>
      <c r="DO7" t="s">
        <v>115</v>
      </c>
      <c r="DP7" t="s">
        <v>179</v>
      </c>
      <c r="DQ7" t="s">
        <v>35</v>
      </c>
      <c r="DR7" t="s">
        <v>115</v>
      </c>
      <c r="DS7" t="s">
        <v>18</v>
      </c>
      <c r="DT7" t="s">
        <v>208</v>
      </c>
      <c r="DU7" t="s">
        <v>123</v>
      </c>
      <c r="DV7" t="s">
        <v>105</v>
      </c>
      <c r="DW7" t="s">
        <v>265</v>
      </c>
      <c r="DX7" t="s">
        <v>63</v>
      </c>
      <c r="DY7" t="s">
        <v>296</v>
      </c>
      <c r="DZ7" t="s">
        <v>110</v>
      </c>
      <c r="EA7" t="s">
        <v>63</v>
      </c>
      <c r="EB7" t="s">
        <v>68</v>
      </c>
      <c r="EC7" t="s">
        <v>63</v>
      </c>
      <c r="ED7" t="s">
        <v>179</v>
      </c>
      <c r="EE7" t="s">
        <v>123</v>
      </c>
      <c r="EF7" t="s">
        <v>78</v>
      </c>
      <c r="EG7" t="s">
        <v>208</v>
      </c>
      <c r="EH7" t="s">
        <v>188</v>
      </c>
      <c r="EI7" t="s">
        <v>171</v>
      </c>
      <c r="EJ7" t="s">
        <v>63</v>
      </c>
      <c r="EK7" t="s">
        <v>179</v>
      </c>
      <c r="EL7" t="s">
        <v>78</v>
      </c>
      <c r="EM7" t="s">
        <v>49</v>
      </c>
      <c r="EN7" t="s">
        <v>296</v>
      </c>
      <c r="EO7" t="s">
        <v>296</v>
      </c>
      <c r="EP7" t="s">
        <v>179</v>
      </c>
      <c r="EQ7" t="s">
        <v>35</v>
      </c>
      <c r="ER7" t="s">
        <v>35</v>
      </c>
      <c r="ES7" t="s">
        <v>208</v>
      </c>
      <c r="ET7" t="s">
        <v>166</v>
      </c>
      <c r="EU7" t="s">
        <v>171</v>
      </c>
      <c r="EV7" t="s">
        <v>166</v>
      </c>
      <c r="EW7" t="s">
        <v>78</v>
      </c>
      <c r="EX7" t="s">
        <v>166</v>
      </c>
      <c r="EY7" t="s">
        <v>18</v>
      </c>
      <c r="EZ7" t="s">
        <v>296</v>
      </c>
      <c r="FA7" t="s">
        <v>110</v>
      </c>
      <c r="FB7" t="s">
        <v>208</v>
      </c>
      <c r="FC7" t="s">
        <v>208</v>
      </c>
      <c r="FD7" t="s">
        <v>63</v>
      </c>
      <c r="FE7" t="s">
        <v>123</v>
      </c>
      <c r="FF7" t="s">
        <v>68</v>
      </c>
      <c r="FG7" t="s">
        <v>188</v>
      </c>
      <c r="FH7" t="s">
        <v>57</v>
      </c>
      <c r="FI7" t="s">
        <v>49</v>
      </c>
      <c r="FJ7" t="s">
        <v>105</v>
      </c>
      <c r="FK7" t="s">
        <v>49</v>
      </c>
      <c r="FL7" t="s">
        <v>296</v>
      </c>
      <c r="FM7" t="s">
        <v>208</v>
      </c>
      <c r="FN7" t="s">
        <v>110</v>
      </c>
      <c r="FO7" t="s">
        <v>68</v>
      </c>
      <c r="FP7" t="s">
        <v>18</v>
      </c>
      <c r="FQ7" t="s">
        <v>179</v>
      </c>
      <c r="FR7" t="s">
        <v>166</v>
      </c>
      <c r="FS7" t="s">
        <v>115</v>
      </c>
      <c r="FT7" t="s">
        <v>57</v>
      </c>
      <c r="FU7" t="s">
        <v>123</v>
      </c>
      <c r="FV7" t="s">
        <v>78</v>
      </c>
      <c r="FW7" t="s">
        <v>27</v>
      </c>
      <c r="FX7" t="s">
        <v>179</v>
      </c>
      <c r="FY7" t="s">
        <v>123</v>
      </c>
      <c r="FZ7" t="s">
        <v>78</v>
      </c>
      <c r="GA7" t="s">
        <v>57</v>
      </c>
      <c r="GB7" t="s">
        <v>171</v>
      </c>
      <c r="GC7" t="s">
        <v>57</v>
      </c>
      <c r="GD7" t="s">
        <v>27</v>
      </c>
      <c r="GE7" t="s">
        <v>171</v>
      </c>
      <c r="GF7" t="s">
        <v>115</v>
      </c>
      <c r="GG7" t="s">
        <v>166</v>
      </c>
      <c r="GH7" t="s">
        <v>208</v>
      </c>
      <c r="GI7" t="s">
        <v>105</v>
      </c>
      <c r="GJ7" t="s">
        <v>78</v>
      </c>
      <c r="GK7" t="s">
        <v>68</v>
      </c>
      <c r="GL7" t="s">
        <v>18</v>
      </c>
      <c r="GM7" t="s">
        <v>115</v>
      </c>
      <c r="GN7" t="s">
        <v>63</v>
      </c>
      <c r="GO7" t="s">
        <v>68</v>
      </c>
      <c r="GP7" t="s">
        <v>68</v>
      </c>
      <c r="GQ7" t="s">
        <v>171</v>
      </c>
      <c r="GR7" t="s">
        <v>171</v>
      </c>
      <c r="GS7" t="s">
        <v>68</v>
      </c>
      <c r="GT7" t="s">
        <v>78</v>
      </c>
      <c r="GU7" t="s">
        <v>166</v>
      </c>
      <c r="GV7" t="s">
        <v>68</v>
      </c>
      <c r="GW7" t="s">
        <v>49</v>
      </c>
      <c r="GX7" t="s">
        <v>41</v>
      </c>
      <c r="GY7" t="s">
        <v>35</v>
      </c>
      <c r="GZ7" t="s">
        <v>105</v>
      </c>
      <c r="HA7" t="s">
        <v>179</v>
      </c>
      <c r="HB7" t="s">
        <v>41</v>
      </c>
      <c r="HC7" t="s">
        <v>296</v>
      </c>
      <c r="HD7" t="s">
        <v>68</v>
      </c>
      <c r="HE7" t="s">
        <v>27</v>
      </c>
      <c r="HF7" t="s">
        <v>123</v>
      </c>
      <c r="HG7" t="s">
        <v>171</v>
      </c>
      <c r="HH7" t="s">
        <v>49</v>
      </c>
      <c r="HI7" t="s">
        <v>166</v>
      </c>
      <c r="HJ7" t="s">
        <v>265</v>
      </c>
      <c r="HK7" t="s">
        <v>41</v>
      </c>
      <c r="HL7" t="s">
        <v>27</v>
      </c>
      <c r="HM7" t="s">
        <v>110</v>
      </c>
      <c r="HN7" t="s">
        <v>115</v>
      </c>
      <c r="HO7" t="s">
        <v>41</v>
      </c>
      <c r="HP7" t="s">
        <v>166</v>
      </c>
      <c r="HQ7" t="s">
        <v>57</v>
      </c>
      <c r="HR7" t="s">
        <v>123</v>
      </c>
      <c r="HS7" t="s">
        <v>78</v>
      </c>
      <c r="HT7" t="s">
        <v>27</v>
      </c>
      <c r="HU7" t="s">
        <v>35</v>
      </c>
      <c r="HV7" t="s">
        <v>115</v>
      </c>
      <c r="HW7" t="s">
        <v>105</v>
      </c>
      <c r="HX7" t="s">
        <v>179</v>
      </c>
      <c r="HY7" t="s">
        <v>110</v>
      </c>
      <c r="HZ7" t="s">
        <v>27</v>
      </c>
      <c r="IA7" t="s">
        <v>123</v>
      </c>
      <c r="IB7" t="s">
        <v>110</v>
      </c>
      <c r="IC7" t="s">
        <v>35</v>
      </c>
      <c r="ID7" t="s">
        <v>188</v>
      </c>
      <c r="IE7" t="s">
        <v>188</v>
      </c>
      <c r="IF7" t="s">
        <v>208</v>
      </c>
      <c r="IG7" t="s">
        <v>27</v>
      </c>
      <c r="IH7" t="s">
        <v>105</v>
      </c>
      <c r="II7" t="s">
        <v>296</v>
      </c>
      <c r="IJ7" t="s">
        <v>171</v>
      </c>
      <c r="IK7" t="s">
        <v>41</v>
      </c>
      <c r="IL7" t="s">
        <v>179</v>
      </c>
      <c r="IM7" t="s">
        <v>57</v>
      </c>
      <c r="IN7" t="s">
        <v>49</v>
      </c>
      <c r="IO7" t="s">
        <v>27</v>
      </c>
      <c r="IP7" t="s">
        <v>49</v>
      </c>
      <c r="IQ7" t="s">
        <v>123</v>
      </c>
      <c r="IR7" t="s">
        <v>188</v>
      </c>
      <c r="IS7" t="s">
        <v>27</v>
      </c>
      <c r="IT7" t="s">
        <v>63</v>
      </c>
      <c r="IU7" t="s">
        <v>296</v>
      </c>
      <c r="IV7" t="s">
        <v>115</v>
      </c>
      <c r="IW7" t="s">
        <v>78</v>
      </c>
      <c r="IX7" t="s">
        <v>115</v>
      </c>
      <c r="IY7" t="s">
        <v>208</v>
      </c>
      <c r="IZ7" t="s">
        <v>296</v>
      </c>
      <c r="JA7" t="s">
        <v>18</v>
      </c>
      <c r="JB7" t="s">
        <v>35</v>
      </c>
      <c r="JC7" t="s">
        <v>208</v>
      </c>
      <c r="JD7" t="s">
        <v>123</v>
      </c>
      <c r="JE7" t="s">
        <v>208</v>
      </c>
      <c r="JF7" t="s">
        <v>115</v>
      </c>
      <c r="JG7" t="s">
        <v>41</v>
      </c>
      <c r="JH7" t="s">
        <v>265</v>
      </c>
      <c r="JI7" t="s">
        <v>179</v>
      </c>
      <c r="JJ7" t="s">
        <v>105</v>
      </c>
      <c r="JK7" t="s">
        <v>110</v>
      </c>
      <c r="JL7" t="s">
        <v>188</v>
      </c>
      <c r="JM7" t="s">
        <v>171</v>
      </c>
      <c r="JN7" t="s">
        <v>115</v>
      </c>
      <c r="JO7" t="s">
        <v>105</v>
      </c>
      <c r="JP7" t="s">
        <v>35</v>
      </c>
      <c r="JQ7" t="s">
        <v>41</v>
      </c>
      <c r="JR7" t="s">
        <v>296</v>
      </c>
      <c r="JS7" t="s">
        <v>166</v>
      </c>
      <c r="JT7" t="s">
        <v>166</v>
      </c>
      <c r="JU7" t="s">
        <v>18</v>
      </c>
      <c r="JV7" t="s">
        <v>49</v>
      </c>
      <c r="JW7" t="s">
        <v>179</v>
      </c>
      <c r="JX7" t="s">
        <v>166</v>
      </c>
      <c r="JY7" t="s">
        <v>115</v>
      </c>
      <c r="JZ7" t="s">
        <v>115</v>
      </c>
      <c r="KA7" t="s">
        <v>188</v>
      </c>
      <c r="KB7" t="s">
        <v>166</v>
      </c>
      <c r="KC7" t="s">
        <v>115</v>
      </c>
      <c r="KD7" t="s">
        <v>63</v>
      </c>
      <c r="KE7" t="s">
        <v>57</v>
      </c>
      <c r="KF7" t="s">
        <v>57</v>
      </c>
      <c r="KG7" t="s">
        <v>166</v>
      </c>
      <c r="KH7" t="s">
        <v>78</v>
      </c>
      <c r="KI7" t="s">
        <v>41</v>
      </c>
      <c r="KJ7" t="s">
        <v>49</v>
      </c>
      <c r="KK7" t="s">
        <v>188</v>
      </c>
      <c r="KL7" t="s">
        <v>78</v>
      </c>
      <c r="KM7" t="s">
        <v>188</v>
      </c>
      <c r="KN7" t="s">
        <v>41</v>
      </c>
      <c r="KO7" t="s">
        <v>18</v>
      </c>
      <c r="KP7" t="s">
        <v>179</v>
      </c>
      <c r="KQ7" t="s">
        <v>296</v>
      </c>
      <c r="KR7" t="s">
        <v>57</v>
      </c>
      <c r="KS7" t="s">
        <v>78</v>
      </c>
      <c r="KT7" t="s">
        <v>208</v>
      </c>
      <c r="KU7" t="s">
        <v>208</v>
      </c>
      <c r="KV7" t="s">
        <v>78</v>
      </c>
      <c r="KW7" t="s">
        <v>49</v>
      </c>
      <c r="KX7" t="s">
        <v>115</v>
      </c>
      <c r="KY7" t="s">
        <v>105</v>
      </c>
      <c r="KZ7" t="s">
        <v>18</v>
      </c>
      <c r="LA7" t="s">
        <v>49</v>
      </c>
      <c r="LB7" t="s">
        <v>188</v>
      </c>
      <c r="LC7" t="s">
        <v>105</v>
      </c>
      <c r="LD7" t="s">
        <v>41</v>
      </c>
      <c r="LE7" t="s">
        <v>49</v>
      </c>
      <c r="LF7" t="s">
        <v>179</v>
      </c>
      <c r="LG7" t="s">
        <v>68</v>
      </c>
      <c r="LH7" t="s">
        <v>171</v>
      </c>
      <c r="LI7" t="s">
        <v>188</v>
      </c>
      <c r="LJ7" t="s">
        <v>18</v>
      </c>
      <c r="LK7" t="s">
        <v>41</v>
      </c>
      <c r="LL7" t="s">
        <v>18</v>
      </c>
      <c r="LM7" t="s">
        <v>27</v>
      </c>
      <c r="LN7" t="s">
        <v>105</v>
      </c>
      <c r="LO7" t="s">
        <v>166</v>
      </c>
      <c r="LP7" t="s">
        <v>63</v>
      </c>
      <c r="LQ7" t="s">
        <v>166</v>
      </c>
      <c r="LR7" t="s">
        <v>105</v>
      </c>
      <c r="LS7" t="s">
        <v>27</v>
      </c>
      <c r="LT7" t="s">
        <v>27</v>
      </c>
      <c r="LU7" t="s">
        <v>188</v>
      </c>
      <c r="LV7" t="s">
        <v>208</v>
      </c>
      <c r="LW7" t="s">
        <v>265</v>
      </c>
      <c r="LX7" t="s">
        <v>35</v>
      </c>
      <c r="LY7" t="s">
        <v>166</v>
      </c>
      <c r="LZ7" t="s">
        <v>18</v>
      </c>
      <c r="MA7" t="s">
        <v>110</v>
      </c>
      <c r="MB7" t="s">
        <v>49</v>
      </c>
      <c r="MC7" t="s">
        <v>171</v>
      </c>
      <c r="MD7" t="s">
        <v>115</v>
      </c>
      <c r="ME7" t="s">
        <v>27</v>
      </c>
      <c r="MF7" t="s">
        <v>188</v>
      </c>
      <c r="MG7" t="s">
        <v>41</v>
      </c>
      <c r="MH7" t="s">
        <v>49</v>
      </c>
      <c r="MI7" t="s">
        <v>57</v>
      </c>
      <c r="MJ7" t="s">
        <v>35</v>
      </c>
      <c r="MK7" t="s">
        <v>171</v>
      </c>
      <c r="ML7" t="s">
        <v>296</v>
      </c>
      <c r="MM7" t="s">
        <v>35</v>
      </c>
      <c r="MN7" t="s">
        <v>41</v>
      </c>
      <c r="MO7" t="s">
        <v>188</v>
      </c>
      <c r="MP7" t="s">
        <v>105</v>
      </c>
      <c r="MQ7" t="s">
        <v>105</v>
      </c>
      <c r="MR7" t="s">
        <v>188</v>
      </c>
      <c r="MS7" t="s">
        <v>179</v>
      </c>
      <c r="MT7" t="s">
        <v>110</v>
      </c>
      <c r="MU7" t="s">
        <v>188</v>
      </c>
      <c r="MV7" t="s">
        <v>188</v>
      </c>
      <c r="MW7" t="s">
        <v>18</v>
      </c>
      <c r="MX7" t="s">
        <v>41</v>
      </c>
      <c r="MY7" t="s">
        <v>188</v>
      </c>
      <c r="MZ7" t="s">
        <v>35</v>
      </c>
      <c r="NA7" t="s">
        <v>296</v>
      </c>
      <c r="NB7" t="s">
        <v>115</v>
      </c>
      <c r="NC7" t="s">
        <v>115</v>
      </c>
      <c r="ND7" t="s">
        <v>105</v>
      </c>
      <c r="NE7" t="s">
        <v>41</v>
      </c>
      <c r="NF7" t="s">
        <v>115</v>
      </c>
      <c r="NG7" t="s">
        <v>166</v>
      </c>
      <c r="NH7" t="s">
        <v>49</v>
      </c>
      <c r="NI7" t="s">
        <v>265</v>
      </c>
      <c r="NJ7" t="s">
        <v>208</v>
      </c>
      <c r="NK7" t="s">
        <v>57</v>
      </c>
      <c r="NL7" t="s">
        <v>123</v>
      </c>
      <c r="NM7" t="s">
        <v>18</v>
      </c>
      <c r="NN7" t="s">
        <v>188</v>
      </c>
      <c r="NO7" t="s">
        <v>105</v>
      </c>
      <c r="NP7" t="s">
        <v>115</v>
      </c>
      <c r="NQ7" t="s">
        <v>18</v>
      </c>
      <c r="NR7" t="s">
        <v>41</v>
      </c>
      <c r="NS7" t="s">
        <v>68</v>
      </c>
      <c r="NT7" t="s">
        <v>68</v>
      </c>
      <c r="NU7" t="s">
        <v>110</v>
      </c>
      <c r="NV7" t="s">
        <v>115</v>
      </c>
      <c r="NW7" t="s">
        <v>68</v>
      </c>
      <c r="NX7" t="s">
        <v>57</v>
      </c>
      <c r="NY7" t="s">
        <v>123</v>
      </c>
      <c r="NZ7" t="s">
        <v>115</v>
      </c>
      <c r="OA7" t="s">
        <v>57</v>
      </c>
      <c r="OB7" t="s">
        <v>41</v>
      </c>
      <c r="OC7" t="s">
        <v>68</v>
      </c>
      <c r="OD7" t="s">
        <v>41</v>
      </c>
      <c r="OE7" t="s">
        <v>49</v>
      </c>
      <c r="OF7" t="s">
        <v>123</v>
      </c>
      <c r="OG7" t="s">
        <v>115</v>
      </c>
      <c r="OH7" t="s">
        <v>27</v>
      </c>
      <c r="OI7" t="s">
        <v>41</v>
      </c>
      <c r="OJ7" t="s">
        <v>115</v>
      </c>
      <c r="OK7" t="s">
        <v>18</v>
      </c>
      <c r="OL7" t="s">
        <v>179</v>
      </c>
      <c r="OM7" t="s">
        <v>208</v>
      </c>
      <c r="ON7" t="s">
        <v>49</v>
      </c>
      <c r="OO7" t="s">
        <v>166</v>
      </c>
      <c r="OP7" t="s">
        <v>171</v>
      </c>
      <c r="OQ7" t="s">
        <v>208</v>
      </c>
      <c r="OR7" t="s">
        <v>188</v>
      </c>
      <c r="OS7" t="s">
        <v>208</v>
      </c>
      <c r="OT7" t="s">
        <v>123</v>
      </c>
      <c r="OU7" t="s">
        <v>57</v>
      </c>
      <c r="OV7" t="s">
        <v>63</v>
      </c>
      <c r="OW7" t="s">
        <v>208</v>
      </c>
      <c r="OX7" t="s">
        <v>57</v>
      </c>
      <c r="OY7" t="s">
        <v>188</v>
      </c>
      <c r="OZ7" t="s">
        <v>208</v>
      </c>
      <c r="PA7" t="s">
        <v>18</v>
      </c>
      <c r="PB7" t="s">
        <v>57</v>
      </c>
      <c r="PC7" t="s">
        <v>265</v>
      </c>
      <c r="PD7" t="s">
        <v>35</v>
      </c>
      <c r="PE7" t="s">
        <v>57</v>
      </c>
      <c r="PF7" t="s">
        <v>110</v>
      </c>
      <c r="PG7" t="s">
        <v>265</v>
      </c>
      <c r="PH7" t="s">
        <v>78</v>
      </c>
      <c r="PI7" t="s">
        <v>166</v>
      </c>
      <c r="PJ7" t="s">
        <v>63</v>
      </c>
      <c r="PK7" t="s">
        <v>179</v>
      </c>
      <c r="PL7" t="s">
        <v>179</v>
      </c>
      <c r="PM7" t="s">
        <v>27</v>
      </c>
      <c r="PN7" t="s">
        <v>68</v>
      </c>
      <c r="PO7" t="s">
        <v>166</v>
      </c>
      <c r="PP7" t="s">
        <v>35</v>
      </c>
      <c r="PQ7" t="s">
        <v>166</v>
      </c>
      <c r="PR7" t="s">
        <v>171</v>
      </c>
      <c r="PS7" t="s">
        <v>166</v>
      </c>
      <c r="PT7" t="s">
        <v>63</v>
      </c>
      <c r="PU7" t="s">
        <v>110</v>
      </c>
      <c r="PV7" t="s">
        <v>63</v>
      </c>
      <c r="PW7" t="s">
        <v>78</v>
      </c>
      <c r="PX7" t="s">
        <v>166</v>
      </c>
      <c r="PY7" t="s">
        <v>171</v>
      </c>
      <c r="PZ7" t="s">
        <v>115</v>
      </c>
      <c r="QA7" t="s">
        <v>188</v>
      </c>
      <c r="QB7" t="s">
        <v>41</v>
      </c>
      <c r="QC7" t="s">
        <v>171</v>
      </c>
      <c r="QD7" t="s">
        <v>27</v>
      </c>
      <c r="QE7" t="s">
        <v>18</v>
      </c>
      <c r="QF7" t="s">
        <v>123</v>
      </c>
      <c r="QG7" t="s">
        <v>208</v>
      </c>
      <c r="QH7" t="s">
        <v>123</v>
      </c>
      <c r="QI7" t="s">
        <v>18</v>
      </c>
      <c r="QJ7" t="s">
        <v>296</v>
      </c>
      <c r="QK7" t="s">
        <v>115</v>
      </c>
      <c r="QL7" t="s">
        <v>18</v>
      </c>
      <c r="QM7" t="s">
        <v>110</v>
      </c>
      <c r="QN7" t="s">
        <v>68</v>
      </c>
      <c r="QO7" t="s">
        <v>35</v>
      </c>
      <c r="QP7" t="s">
        <v>57</v>
      </c>
      <c r="QQ7" t="s">
        <v>63</v>
      </c>
      <c r="QR7" t="s">
        <v>110</v>
      </c>
      <c r="QS7" t="s">
        <v>123</v>
      </c>
      <c r="QT7" t="s">
        <v>171</v>
      </c>
      <c r="QU7" t="s">
        <v>49</v>
      </c>
      <c r="QV7" t="s">
        <v>78</v>
      </c>
      <c r="QW7" t="s">
        <v>110</v>
      </c>
      <c r="QX7" t="s">
        <v>115</v>
      </c>
      <c r="QY7" t="s">
        <v>179</v>
      </c>
      <c r="QZ7" t="s">
        <v>115</v>
      </c>
      <c r="RA7" t="s">
        <v>208</v>
      </c>
      <c r="RB7" t="s">
        <v>115</v>
      </c>
      <c r="RC7" t="s">
        <v>41</v>
      </c>
      <c r="RD7" t="s">
        <v>179</v>
      </c>
      <c r="RE7" t="s">
        <v>41</v>
      </c>
      <c r="RF7" t="s">
        <v>110</v>
      </c>
      <c r="RG7" t="s">
        <v>208</v>
      </c>
      <c r="RH7" t="s">
        <v>208</v>
      </c>
      <c r="RI7" t="s">
        <v>78</v>
      </c>
      <c r="RJ7" t="s">
        <v>265</v>
      </c>
      <c r="RK7" t="s">
        <v>27</v>
      </c>
      <c r="RL7" t="s">
        <v>63</v>
      </c>
      <c r="RM7" t="s">
        <v>63</v>
      </c>
      <c r="RN7" t="s">
        <v>27</v>
      </c>
      <c r="RO7" t="s">
        <v>49</v>
      </c>
      <c r="RP7" t="s">
        <v>49</v>
      </c>
      <c r="RQ7" t="s">
        <v>265</v>
      </c>
      <c r="RR7" t="s">
        <v>166</v>
      </c>
      <c r="RS7" t="s">
        <v>171</v>
      </c>
      <c r="RT7" t="s">
        <v>208</v>
      </c>
      <c r="RU7" t="s">
        <v>18</v>
      </c>
      <c r="RV7" t="s">
        <v>265</v>
      </c>
      <c r="RW7" t="s">
        <v>18</v>
      </c>
      <c r="RX7" t="s">
        <v>78</v>
      </c>
      <c r="RY7" t="s">
        <v>171</v>
      </c>
      <c r="RZ7" t="s">
        <v>27</v>
      </c>
      <c r="SA7" t="s">
        <v>41</v>
      </c>
      <c r="SB7" t="s">
        <v>49</v>
      </c>
      <c r="SC7" t="s">
        <v>57</v>
      </c>
      <c r="SD7" t="s">
        <v>179</v>
      </c>
      <c r="SE7" t="s">
        <v>68</v>
      </c>
      <c r="SF7" t="s">
        <v>105</v>
      </c>
      <c r="SG7" t="s">
        <v>188</v>
      </c>
      <c r="SH7" t="s">
        <v>179</v>
      </c>
      <c r="SI7" t="s">
        <v>78</v>
      </c>
      <c r="SJ7" t="s">
        <v>35</v>
      </c>
      <c r="SK7" t="s">
        <v>179</v>
      </c>
      <c r="SL7" t="s">
        <v>179</v>
      </c>
      <c r="SM7" t="s">
        <v>35</v>
      </c>
      <c r="SN7" t="s">
        <v>296</v>
      </c>
      <c r="SO7" t="s">
        <v>41</v>
      </c>
      <c r="SP7" t="s">
        <v>208</v>
      </c>
      <c r="SQ7" t="s">
        <v>265</v>
      </c>
      <c r="SR7" t="s">
        <v>171</v>
      </c>
      <c r="SS7" t="s">
        <v>296</v>
      </c>
      <c r="ST7" t="s">
        <v>110</v>
      </c>
      <c r="SU7" t="s">
        <v>68</v>
      </c>
      <c r="SV7" t="s">
        <v>171</v>
      </c>
      <c r="SW7" t="s">
        <v>179</v>
      </c>
      <c r="SX7" t="s">
        <v>188</v>
      </c>
      <c r="SY7" t="s">
        <v>110</v>
      </c>
      <c r="SZ7" t="s">
        <v>166</v>
      </c>
      <c r="TA7" t="s">
        <v>35</v>
      </c>
      <c r="TB7" t="s">
        <v>35</v>
      </c>
      <c r="TC7" t="s">
        <v>78</v>
      </c>
      <c r="TD7" t="s">
        <v>188</v>
      </c>
      <c r="TE7" t="s">
        <v>35</v>
      </c>
      <c r="TF7" t="s">
        <v>35</v>
      </c>
      <c r="TG7" t="s">
        <v>123</v>
      </c>
      <c r="TH7" t="s">
        <v>57</v>
      </c>
      <c r="TI7" t="s">
        <v>68</v>
      </c>
      <c r="TJ7" t="s">
        <v>41</v>
      </c>
      <c r="TK7" t="s">
        <v>18</v>
      </c>
      <c r="TL7" t="s">
        <v>171</v>
      </c>
      <c r="TM7" t="s">
        <v>265</v>
      </c>
      <c r="TN7" t="s">
        <v>110</v>
      </c>
      <c r="TO7" t="s">
        <v>188</v>
      </c>
      <c r="TP7" t="s">
        <v>115</v>
      </c>
      <c r="TQ7" t="s">
        <v>78</v>
      </c>
      <c r="TR7" t="s">
        <v>105</v>
      </c>
      <c r="TS7" t="s">
        <v>296</v>
      </c>
      <c r="TT7" t="s">
        <v>78</v>
      </c>
      <c r="TU7" t="s">
        <v>27</v>
      </c>
      <c r="TV7" t="s">
        <v>179</v>
      </c>
      <c r="TW7" t="s">
        <v>57</v>
      </c>
      <c r="TX7" t="s">
        <v>68</v>
      </c>
      <c r="TY7" t="s">
        <v>115</v>
      </c>
      <c r="TZ7" t="s">
        <v>49</v>
      </c>
      <c r="UA7" t="s">
        <v>188</v>
      </c>
      <c r="UB7" t="s">
        <v>179</v>
      </c>
      <c r="UC7" t="s">
        <v>110</v>
      </c>
      <c r="UD7" t="s">
        <v>57</v>
      </c>
      <c r="UE7" t="s">
        <v>105</v>
      </c>
      <c r="UF7" t="s">
        <v>208</v>
      </c>
      <c r="UG7" t="s">
        <v>105</v>
      </c>
      <c r="UH7" t="s">
        <v>68</v>
      </c>
      <c r="UI7" t="s">
        <v>35</v>
      </c>
      <c r="UJ7" t="s">
        <v>68</v>
      </c>
      <c r="UK7" t="s">
        <v>188</v>
      </c>
      <c r="UL7" t="s">
        <v>49</v>
      </c>
      <c r="UM7" t="s">
        <v>35</v>
      </c>
      <c r="UN7" t="s">
        <v>208</v>
      </c>
      <c r="UO7" t="s">
        <v>123</v>
      </c>
      <c r="UP7" t="s">
        <v>49</v>
      </c>
      <c r="UQ7" t="s">
        <v>63</v>
      </c>
      <c r="UR7" t="s">
        <v>208</v>
      </c>
      <c r="US7" t="s">
        <v>171</v>
      </c>
      <c r="UT7" t="s">
        <v>27</v>
      </c>
      <c r="UU7" t="s">
        <v>188</v>
      </c>
      <c r="UV7" t="s">
        <v>123</v>
      </c>
      <c r="UW7" t="s">
        <v>78</v>
      </c>
      <c r="UX7" t="s">
        <v>105</v>
      </c>
      <c r="UY7" t="s">
        <v>110</v>
      </c>
      <c r="UZ7" t="s">
        <v>123</v>
      </c>
      <c r="VA7" t="s">
        <v>78</v>
      </c>
      <c r="VB7" t="s">
        <v>265</v>
      </c>
      <c r="VC7" t="s">
        <v>49</v>
      </c>
      <c r="VD7" t="s">
        <v>78</v>
      </c>
      <c r="VE7" t="s">
        <v>35</v>
      </c>
      <c r="VF7" t="s">
        <v>78</v>
      </c>
      <c r="VG7" t="s">
        <v>41</v>
      </c>
      <c r="VH7" t="s">
        <v>105</v>
      </c>
      <c r="VI7" t="s">
        <v>123</v>
      </c>
      <c r="VJ7" t="s">
        <v>18</v>
      </c>
      <c r="VK7" t="s">
        <v>265</v>
      </c>
      <c r="VL7" t="s">
        <v>78</v>
      </c>
      <c r="VM7" t="s">
        <v>166</v>
      </c>
      <c r="VN7" t="s">
        <v>57</v>
      </c>
      <c r="VO7" t="s">
        <v>179</v>
      </c>
      <c r="VP7" t="s">
        <v>296</v>
      </c>
      <c r="VQ7" t="s">
        <v>63</v>
      </c>
      <c r="VR7" t="s">
        <v>179</v>
      </c>
      <c r="VS7" t="s">
        <v>105</v>
      </c>
      <c r="VT7" t="s">
        <v>208</v>
      </c>
      <c r="VU7" t="s">
        <v>27</v>
      </c>
      <c r="VV7" t="s">
        <v>171</v>
      </c>
      <c r="VW7" t="s">
        <v>115</v>
      </c>
      <c r="VX7" t="s">
        <v>166</v>
      </c>
      <c r="VY7" t="s">
        <v>171</v>
      </c>
      <c r="VZ7" t="s">
        <v>105</v>
      </c>
      <c r="WA7" t="s">
        <v>179</v>
      </c>
      <c r="WB7" t="s">
        <v>49</v>
      </c>
      <c r="WC7" t="s">
        <v>179</v>
      </c>
      <c r="WD7" t="s">
        <v>296</v>
      </c>
      <c r="WE7" t="s">
        <v>171</v>
      </c>
      <c r="WF7" t="s">
        <v>171</v>
      </c>
      <c r="WG7" t="s">
        <v>166</v>
      </c>
      <c r="WH7" t="s">
        <v>57</v>
      </c>
      <c r="WI7" t="s">
        <v>171</v>
      </c>
      <c r="WJ7" t="s">
        <v>41</v>
      </c>
      <c r="WK7" t="s">
        <v>105</v>
      </c>
      <c r="WL7" t="s">
        <v>105</v>
      </c>
      <c r="WM7" t="s">
        <v>35</v>
      </c>
      <c r="WN7" t="s">
        <v>166</v>
      </c>
      <c r="WO7" t="s">
        <v>63</v>
      </c>
      <c r="WP7" t="s">
        <v>296</v>
      </c>
      <c r="WQ7" t="s">
        <v>123</v>
      </c>
      <c r="WR7" t="s">
        <v>123</v>
      </c>
      <c r="WS7" t="s">
        <v>123</v>
      </c>
      <c r="WT7" t="s">
        <v>166</v>
      </c>
      <c r="WU7" t="s">
        <v>123</v>
      </c>
      <c r="WV7" t="s">
        <v>68</v>
      </c>
      <c r="WW7" t="s">
        <v>123</v>
      </c>
      <c r="WX7" t="s">
        <v>105</v>
      </c>
      <c r="WY7" t="s">
        <v>179</v>
      </c>
      <c r="WZ7" t="s">
        <v>188</v>
      </c>
      <c r="XA7" t="s">
        <v>49</v>
      </c>
      <c r="XB7" t="s">
        <v>27</v>
      </c>
      <c r="XC7" t="s">
        <v>110</v>
      </c>
      <c r="XD7" t="s">
        <v>171</v>
      </c>
      <c r="XE7" t="s">
        <v>41</v>
      </c>
      <c r="XF7" t="s">
        <v>35</v>
      </c>
      <c r="XG7" t="s">
        <v>105</v>
      </c>
      <c r="XH7" t="s">
        <v>188</v>
      </c>
      <c r="XI7" t="s">
        <v>105</v>
      </c>
      <c r="XJ7" t="s">
        <v>123</v>
      </c>
      <c r="XK7" t="s">
        <v>18</v>
      </c>
      <c r="XL7" t="s">
        <v>166</v>
      </c>
      <c r="XM7" t="s">
        <v>208</v>
      </c>
      <c r="XN7" t="s">
        <v>166</v>
      </c>
      <c r="XO7" t="s">
        <v>68</v>
      </c>
      <c r="XP7" t="s">
        <v>68</v>
      </c>
      <c r="XQ7" t="s">
        <v>179</v>
      </c>
      <c r="XR7" t="s">
        <v>49</v>
      </c>
      <c r="XS7" t="s">
        <v>166</v>
      </c>
      <c r="XT7" t="s">
        <v>68</v>
      </c>
      <c r="XU7" t="s">
        <v>115</v>
      </c>
      <c r="XV7" t="s">
        <v>57</v>
      </c>
      <c r="XW7" t="s">
        <v>49</v>
      </c>
      <c r="XX7" t="s">
        <v>49</v>
      </c>
      <c r="XY7" t="s">
        <v>41</v>
      </c>
      <c r="XZ7" t="s">
        <v>63</v>
      </c>
      <c r="YA7" t="s">
        <v>208</v>
      </c>
      <c r="YB7" t="s">
        <v>188</v>
      </c>
      <c r="YC7" t="s">
        <v>296</v>
      </c>
      <c r="YD7" t="s">
        <v>265</v>
      </c>
      <c r="YE7" t="s">
        <v>41</v>
      </c>
      <c r="YF7" t="s">
        <v>35</v>
      </c>
      <c r="YG7" t="s">
        <v>78</v>
      </c>
      <c r="YH7" t="s">
        <v>27</v>
      </c>
      <c r="YI7" t="s">
        <v>18</v>
      </c>
      <c r="YJ7" t="s">
        <v>265</v>
      </c>
      <c r="YK7" t="s">
        <v>18</v>
      </c>
      <c r="YL7" t="s">
        <v>49</v>
      </c>
      <c r="YM7" t="s">
        <v>105</v>
      </c>
      <c r="YN7" t="s">
        <v>27</v>
      </c>
      <c r="YO7" t="s">
        <v>35</v>
      </c>
      <c r="YP7" t="s">
        <v>78</v>
      </c>
      <c r="YQ7" t="s">
        <v>78</v>
      </c>
      <c r="YR7" t="s">
        <v>35</v>
      </c>
      <c r="YS7" t="s">
        <v>63</v>
      </c>
      <c r="YT7" t="s">
        <v>265</v>
      </c>
      <c r="YU7" t="s">
        <v>110</v>
      </c>
      <c r="YV7" t="s">
        <v>35</v>
      </c>
      <c r="YW7" t="s">
        <v>115</v>
      </c>
      <c r="YX7" t="s">
        <v>18</v>
      </c>
      <c r="YY7" t="s">
        <v>18</v>
      </c>
      <c r="YZ7" t="s">
        <v>179</v>
      </c>
      <c r="ZA7" t="s">
        <v>63</v>
      </c>
      <c r="ZB7" t="s">
        <v>115</v>
      </c>
      <c r="ZC7" t="s">
        <v>208</v>
      </c>
      <c r="ZD7" t="s">
        <v>265</v>
      </c>
      <c r="ZE7" t="s">
        <v>63</v>
      </c>
      <c r="ZF7" t="s">
        <v>296</v>
      </c>
      <c r="ZG7" t="s">
        <v>63</v>
      </c>
      <c r="ZH7" t="s">
        <v>105</v>
      </c>
      <c r="ZI7" t="s">
        <v>57</v>
      </c>
      <c r="ZJ7" t="s">
        <v>27</v>
      </c>
      <c r="ZK7" t="s">
        <v>68</v>
      </c>
      <c r="ZL7" t="s">
        <v>35</v>
      </c>
      <c r="ZM7" t="s">
        <v>166</v>
      </c>
      <c r="ZN7" t="s">
        <v>57</v>
      </c>
      <c r="ZO7" t="s">
        <v>296</v>
      </c>
      <c r="ZP7" t="s">
        <v>171</v>
      </c>
      <c r="ZQ7" t="s">
        <v>296</v>
      </c>
      <c r="ZR7" t="s">
        <v>179</v>
      </c>
      <c r="ZS7" t="s">
        <v>57</v>
      </c>
      <c r="ZT7" t="s">
        <v>27</v>
      </c>
      <c r="ZU7" t="s">
        <v>41</v>
      </c>
      <c r="ZV7" t="s">
        <v>123</v>
      </c>
      <c r="ZW7" t="s">
        <v>49</v>
      </c>
      <c r="ZX7" t="s">
        <v>188</v>
      </c>
      <c r="ZY7" t="s">
        <v>110</v>
      </c>
      <c r="ZZ7" t="s">
        <v>115</v>
      </c>
      <c r="AAA7" t="s">
        <v>63</v>
      </c>
      <c r="AAB7" t="s">
        <v>27</v>
      </c>
      <c r="AAC7" t="s">
        <v>49</v>
      </c>
      <c r="AAD7" t="s">
        <v>78</v>
      </c>
      <c r="AAE7" t="s">
        <v>123</v>
      </c>
      <c r="AAF7" t="s">
        <v>110</v>
      </c>
      <c r="AAG7" t="s">
        <v>123</v>
      </c>
      <c r="AAH7" t="s">
        <v>208</v>
      </c>
      <c r="AAI7" t="s">
        <v>115</v>
      </c>
      <c r="AAJ7" t="s">
        <v>110</v>
      </c>
      <c r="AAK7" t="s">
        <v>63</v>
      </c>
      <c r="AAL7" t="s">
        <v>41</v>
      </c>
      <c r="AAM7" t="s">
        <v>188</v>
      </c>
      <c r="AAN7" t="s">
        <v>63</v>
      </c>
      <c r="AAO7" t="s">
        <v>265</v>
      </c>
      <c r="AAP7" t="s">
        <v>166</v>
      </c>
      <c r="AAQ7" t="s">
        <v>208</v>
      </c>
      <c r="AAR7" t="s">
        <v>18</v>
      </c>
      <c r="AAS7" t="s">
        <v>179</v>
      </c>
      <c r="AAT7" t="s">
        <v>18</v>
      </c>
      <c r="AAU7" t="s">
        <v>179</v>
      </c>
      <c r="AAV7" t="s">
        <v>63</v>
      </c>
      <c r="AAW7" t="s">
        <v>110</v>
      </c>
      <c r="AAX7" t="s">
        <v>18</v>
      </c>
      <c r="AAY7" t="s">
        <v>49</v>
      </c>
      <c r="AAZ7" t="s">
        <v>41</v>
      </c>
      <c r="ABA7" t="s">
        <v>57</v>
      </c>
      <c r="ABB7" t="s">
        <v>105</v>
      </c>
      <c r="ABC7" t="s">
        <v>265</v>
      </c>
      <c r="ABD7" t="s">
        <v>49</v>
      </c>
      <c r="ABE7" t="s">
        <v>63</v>
      </c>
      <c r="ABF7" t="s">
        <v>179</v>
      </c>
      <c r="ABG7" t="s">
        <v>57</v>
      </c>
      <c r="ABH7" t="s">
        <v>179</v>
      </c>
      <c r="ABI7" t="s">
        <v>63</v>
      </c>
      <c r="ABJ7" t="s">
        <v>105</v>
      </c>
      <c r="ABK7" t="s">
        <v>18</v>
      </c>
      <c r="ABL7" t="s">
        <v>63</v>
      </c>
      <c r="ABM7" t="s">
        <v>110</v>
      </c>
      <c r="ABN7" t="s">
        <v>265</v>
      </c>
      <c r="ABO7" t="s">
        <v>63</v>
      </c>
      <c r="ABP7" t="s">
        <v>41</v>
      </c>
      <c r="ABQ7" t="s">
        <v>110</v>
      </c>
      <c r="ABR7" t="s">
        <v>265</v>
      </c>
      <c r="ABS7" t="s">
        <v>110</v>
      </c>
      <c r="ABT7" t="s">
        <v>27</v>
      </c>
      <c r="ABU7" t="s">
        <v>49</v>
      </c>
      <c r="ABV7" t="s">
        <v>265</v>
      </c>
      <c r="ABW7" t="s">
        <v>265</v>
      </c>
      <c r="ABX7" t="s">
        <v>296</v>
      </c>
      <c r="ABY7" t="s">
        <v>49</v>
      </c>
      <c r="ABZ7" t="s">
        <v>68</v>
      </c>
      <c r="ACA7" t="s">
        <v>179</v>
      </c>
      <c r="ACB7" t="s">
        <v>35</v>
      </c>
      <c r="ACC7" t="s">
        <v>171</v>
      </c>
      <c r="ACD7" t="s">
        <v>18</v>
      </c>
      <c r="ACE7" t="s">
        <v>123</v>
      </c>
      <c r="ACF7" t="s">
        <v>188</v>
      </c>
      <c r="ACG7" t="s">
        <v>171</v>
      </c>
      <c r="ACH7" t="s">
        <v>35</v>
      </c>
      <c r="ACI7" t="s">
        <v>171</v>
      </c>
      <c r="ACJ7" t="s">
        <v>27</v>
      </c>
      <c r="ACK7" t="s">
        <v>57</v>
      </c>
      <c r="ACL7" t="s">
        <v>166</v>
      </c>
      <c r="ACM7" t="s">
        <v>35</v>
      </c>
      <c r="ACN7" t="s">
        <v>110</v>
      </c>
      <c r="ACO7" t="s">
        <v>27</v>
      </c>
      <c r="ACP7" t="s">
        <v>57</v>
      </c>
      <c r="ACQ7" t="s">
        <v>208</v>
      </c>
      <c r="ACR7" t="s">
        <v>105</v>
      </c>
      <c r="ACS7" t="s">
        <v>18</v>
      </c>
      <c r="ACT7" t="s">
        <v>68</v>
      </c>
      <c r="ACU7" t="s">
        <v>63</v>
      </c>
      <c r="ACV7" t="s">
        <v>179</v>
      </c>
      <c r="ACW7" t="s">
        <v>166</v>
      </c>
      <c r="ACX7" t="s">
        <v>110</v>
      </c>
      <c r="ACY7" t="s">
        <v>68</v>
      </c>
      <c r="ACZ7" t="s">
        <v>27</v>
      </c>
      <c r="ADA7" t="s">
        <v>35</v>
      </c>
      <c r="ADB7" t="s">
        <v>110</v>
      </c>
      <c r="ADC7" t="s">
        <v>105</v>
      </c>
      <c r="ADD7" t="s">
        <v>57</v>
      </c>
      <c r="ADE7" t="s">
        <v>63</v>
      </c>
      <c r="ADF7" t="s">
        <v>49</v>
      </c>
      <c r="ADG7" t="s">
        <v>110</v>
      </c>
      <c r="ADH7" t="s">
        <v>115</v>
      </c>
      <c r="ADI7" t="s">
        <v>188</v>
      </c>
      <c r="ADJ7" t="s">
        <v>171</v>
      </c>
      <c r="ADK7" t="s">
        <v>265</v>
      </c>
      <c r="ADL7" t="s">
        <v>166</v>
      </c>
      <c r="ADM7" t="s">
        <v>296</v>
      </c>
      <c r="ADN7" t="s">
        <v>63</v>
      </c>
      <c r="ADO7" t="s">
        <v>110</v>
      </c>
      <c r="ADP7" t="s">
        <v>208</v>
      </c>
      <c r="ADQ7" t="s">
        <v>115</v>
      </c>
      <c r="ADR7" t="s">
        <v>105</v>
      </c>
      <c r="ADS7" t="s">
        <v>78</v>
      </c>
      <c r="ADT7" t="s">
        <v>265</v>
      </c>
      <c r="ADU7" t="s">
        <v>18</v>
      </c>
      <c r="ADV7" t="s">
        <v>105</v>
      </c>
      <c r="ADW7" t="s">
        <v>265</v>
      </c>
      <c r="ADX7" t="s">
        <v>179</v>
      </c>
      <c r="ADY7" t="s">
        <v>63</v>
      </c>
      <c r="ADZ7" t="s">
        <v>110</v>
      </c>
      <c r="AEA7" t="s">
        <v>105</v>
      </c>
      <c r="AEB7" t="s">
        <v>115</v>
      </c>
      <c r="AEC7" t="s">
        <v>171</v>
      </c>
      <c r="AED7" t="s">
        <v>27</v>
      </c>
      <c r="AEE7" t="s">
        <v>179</v>
      </c>
      <c r="AEF7" t="s">
        <v>78</v>
      </c>
      <c r="AEG7" t="s">
        <v>208</v>
      </c>
      <c r="AEH7" t="s">
        <v>18</v>
      </c>
      <c r="AEI7" t="s">
        <v>35</v>
      </c>
      <c r="AEJ7" t="s">
        <v>265</v>
      </c>
      <c r="AEK7" t="s">
        <v>18</v>
      </c>
      <c r="AEL7" t="s">
        <v>265</v>
      </c>
      <c r="AEM7" t="s">
        <v>179</v>
      </c>
      <c r="AEN7" t="s">
        <v>123</v>
      </c>
      <c r="AEO7" t="s">
        <v>171</v>
      </c>
      <c r="AEP7" t="s">
        <v>166</v>
      </c>
      <c r="AEQ7" t="s">
        <v>49</v>
      </c>
      <c r="AER7" t="s">
        <v>35</v>
      </c>
      <c r="AES7" t="s">
        <v>110</v>
      </c>
      <c r="AET7" t="s">
        <v>296</v>
      </c>
      <c r="AEU7" t="s">
        <v>188</v>
      </c>
      <c r="AEV7" t="s">
        <v>68</v>
      </c>
      <c r="AEW7" t="s">
        <v>41</v>
      </c>
      <c r="AEX7" t="s">
        <v>35</v>
      </c>
      <c r="AEY7" t="s">
        <v>105</v>
      </c>
      <c r="AEZ7" t="s">
        <v>296</v>
      </c>
      <c r="AFA7" t="s">
        <v>296</v>
      </c>
      <c r="AFB7" t="s">
        <v>57</v>
      </c>
      <c r="AFC7" t="s">
        <v>296</v>
      </c>
      <c r="AFD7" t="s">
        <v>78</v>
      </c>
      <c r="AFE7" t="s">
        <v>171</v>
      </c>
      <c r="AFF7" t="s">
        <v>188</v>
      </c>
      <c r="AFG7" t="s">
        <v>35</v>
      </c>
      <c r="AFH7" t="s">
        <v>78</v>
      </c>
      <c r="AFI7" t="s">
        <v>57</v>
      </c>
      <c r="AFJ7" t="s">
        <v>57</v>
      </c>
      <c r="AFK7" t="s">
        <v>63</v>
      </c>
      <c r="AFL7" t="s">
        <v>171</v>
      </c>
      <c r="AFM7" t="s">
        <v>166</v>
      </c>
      <c r="AFN7" t="s">
        <v>63</v>
      </c>
      <c r="AFO7" t="s">
        <v>188</v>
      </c>
      <c r="AFP7" t="s">
        <v>265</v>
      </c>
      <c r="AFQ7" t="s">
        <v>265</v>
      </c>
      <c r="AFR7" t="s">
        <v>296</v>
      </c>
      <c r="AFS7" t="s">
        <v>166</v>
      </c>
      <c r="AFT7" t="s">
        <v>110</v>
      </c>
      <c r="AFU7" t="s">
        <v>115</v>
      </c>
      <c r="AFV7" t="s">
        <v>265</v>
      </c>
      <c r="AFW7" t="s">
        <v>105</v>
      </c>
      <c r="AFX7" t="s">
        <v>166</v>
      </c>
      <c r="AFY7" t="s">
        <v>105</v>
      </c>
      <c r="AFZ7" t="s">
        <v>78</v>
      </c>
      <c r="AGA7" t="s">
        <v>265</v>
      </c>
      <c r="AGB7" t="s">
        <v>78</v>
      </c>
      <c r="AGC7" t="s">
        <v>171</v>
      </c>
      <c r="AGD7" t="s">
        <v>110</v>
      </c>
      <c r="AGE7" t="s">
        <v>27</v>
      </c>
      <c r="AGF7" t="s">
        <v>41</v>
      </c>
      <c r="AGG7" t="s">
        <v>171</v>
      </c>
      <c r="AGH7" t="s">
        <v>35</v>
      </c>
      <c r="AGI7" t="s">
        <v>296</v>
      </c>
      <c r="AGJ7" t="s">
        <v>110</v>
      </c>
      <c r="AGK7" t="s">
        <v>188</v>
      </c>
      <c r="AGL7" t="s">
        <v>49</v>
      </c>
      <c r="AGM7" t="s">
        <v>296</v>
      </c>
      <c r="AGN7" t="s">
        <v>27</v>
      </c>
      <c r="AGO7" t="s">
        <v>57</v>
      </c>
      <c r="AGP7" t="s">
        <v>179</v>
      </c>
      <c r="AGQ7" t="s">
        <v>78</v>
      </c>
      <c r="AGR7" t="s">
        <v>171</v>
      </c>
      <c r="AGS7" t="s">
        <v>105</v>
      </c>
      <c r="AGT7" t="s">
        <v>166</v>
      </c>
      <c r="AGU7" t="s">
        <v>208</v>
      </c>
      <c r="AGV7" t="s">
        <v>63</v>
      </c>
      <c r="AGW7" t="s">
        <v>166</v>
      </c>
      <c r="AGX7" t="s">
        <v>68</v>
      </c>
      <c r="AGY7" t="s">
        <v>78</v>
      </c>
      <c r="AGZ7" t="s">
        <v>49</v>
      </c>
      <c r="AHA7" t="s">
        <v>115</v>
      </c>
      <c r="AHB7" t="s">
        <v>63</v>
      </c>
      <c r="AHC7" t="s">
        <v>27</v>
      </c>
      <c r="AHD7" t="s">
        <v>18</v>
      </c>
      <c r="AHE7" t="s">
        <v>115</v>
      </c>
      <c r="AHF7" t="s">
        <v>123</v>
      </c>
      <c r="AHG7" t="s">
        <v>166</v>
      </c>
      <c r="AHH7" t="s">
        <v>105</v>
      </c>
      <c r="AHI7" t="s">
        <v>265</v>
      </c>
      <c r="AHJ7" t="s">
        <v>49</v>
      </c>
      <c r="AHK7" t="s">
        <v>188</v>
      </c>
      <c r="AHL7" t="s">
        <v>57</v>
      </c>
      <c r="AHM7" t="s">
        <v>123</v>
      </c>
      <c r="AHN7" t="s">
        <v>166</v>
      </c>
      <c r="AHO7" t="s">
        <v>188</v>
      </c>
      <c r="AHP7" t="s">
        <v>27</v>
      </c>
      <c r="AHQ7" t="s">
        <v>171</v>
      </c>
      <c r="AHR7" t="s">
        <v>171</v>
      </c>
      <c r="AHS7" t="s">
        <v>179</v>
      </c>
      <c r="AHT7" t="s">
        <v>41</v>
      </c>
      <c r="AHU7" t="s">
        <v>208</v>
      </c>
      <c r="AHV7" t="s">
        <v>296</v>
      </c>
      <c r="AHW7" t="s">
        <v>115</v>
      </c>
      <c r="AHX7" t="s">
        <v>208</v>
      </c>
      <c r="AHY7" t="s">
        <v>166</v>
      </c>
      <c r="AHZ7" t="s">
        <v>296</v>
      </c>
      <c r="AIA7" t="s">
        <v>68</v>
      </c>
      <c r="AIB7" t="s">
        <v>296</v>
      </c>
      <c r="AIC7" t="s">
        <v>57</v>
      </c>
      <c r="AID7" t="s">
        <v>63</v>
      </c>
      <c r="AIE7" t="s">
        <v>18</v>
      </c>
      <c r="AIF7" t="s">
        <v>208</v>
      </c>
      <c r="AIG7" t="s">
        <v>296</v>
      </c>
      <c r="AIH7" t="s">
        <v>188</v>
      </c>
      <c r="AII7" t="s">
        <v>208</v>
      </c>
      <c r="AIJ7" t="s">
        <v>123</v>
      </c>
      <c r="AIK7" t="s">
        <v>78</v>
      </c>
      <c r="AIL7" t="s">
        <v>123</v>
      </c>
      <c r="AIM7" t="s">
        <v>166</v>
      </c>
      <c r="AIN7" t="s">
        <v>166</v>
      </c>
      <c r="AIO7" t="s">
        <v>57</v>
      </c>
      <c r="AIP7" t="s">
        <v>41</v>
      </c>
      <c r="AIQ7" t="s">
        <v>18</v>
      </c>
      <c r="AIR7" t="s">
        <v>110</v>
      </c>
      <c r="AIS7" t="s">
        <v>57</v>
      </c>
      <c r="AIT7" t="s">
        <v>179</v>
      </c>
      <c r="AIU7" t="s">
        <v>188</v>
      </c>
      <c r="AIV7" t="s">
        <v>123</v>
      </c>
      <c r="AIW7" t="s">
        <v>171</v>
      </c>
      <c r="AIX7" t="s">
        <v>68</v>
      </c>
      <c r="AIY7" t="s">
        <v>171</v>
      </c>
      <c r="AIZ7" t="s">
        <v>296</v>
      </c>
      <c r="AJA7" t="s">
        <v>18</v>
      </c>
      <c r="AJB7" t="s">
        <v>27</v>
      </c>
      <c r="AJC7" t="s">
        <v>35</v>
      </c>
      <c r="AJD7" t="s">
        <v>49</v>
      </c>
      <c r="AJE7" t="s">
        <v>49</v>
      </c>
      <c r="AJF7" t="s">
        <v>41</v>
      </c>
      <c r="AJG7" t="s">
        <v>166</v>
      </c>
      <c r="AJH7" t="s">
        <v>78</v>
      </c>
      <c r="AJI7" t="s">
        <v>166</v>
      </c>
      <c r="AJJ7" t="s">
        <v>171</v>
      </c>
      <c r="AJK7" t="s">
        <v>265</v>
      </c>
      <c r="AJL7" t="s">
        <v>296</v>
      </c>
      <c r="AJM7" t="s">
        <v>57</v>
      </c>
      <c r="AJN7" t="s">
        <v>188</v>
      </c>
      <c r="AJO7" t="s">
        <v>123</v>
      </c>
      <c r="AJP7" t="s">
        <v>49</v>
      </c>
      <c r="AJQ7" t="s">
        <v>49</v>
      </c>
      <c r="AJR7" t="s">
        <v>179</v>
      </c>
      <c r="AJS7" t="s">
        <v>27</v>
      </c>
      <c r="AJT7" t="s">
        <v>35</v>
      </c>
      <c r="AJU7" t="s">
        <v>49</v>
      </c>
      <c r="AJV7" t="s">
        <v>27</v>
      </c>
      <c r="AJW7" t="s">
        <v>27</v>
      </c>
      <c r="AJX7" t="s">
        <v>179</v>
      </c>
      <c r="AJY7" t="s">
        <v>105</v>
      </c>
      <c r="AJZ7" t="s">
        <v>18</v>
      </c>
      <c r="AKA7" t="s">
        <v>179</v>
      </c>
      <c r="AKB7" t="s">
        <v>78</v>
      </c>
      <c r="AKC7" t="s">
        <v>68</v>
      </c>
      <c r="AKD7" t="s">
        <v>18</v>
      </c>
      <c r="AKE7" t="s">
        <v>265</v>
      </c>
      <c r="AKF7" t="s">
        <v>265</v>
      </c>
      <c r="AKG7" t="s">
        <v>49</v>
      </c>
      <c r="AKH7" t="s">
        <v>78</v>
      </c>
      <c r="AKI7" t="s">
        <v>27</v>
      </c>
      <c r="AKJ7" t="s">
        <v>265</v>
      </c>
      <c r="AKK7" t="s">
        <v>49</v>
      </c>
      <c r="AKL7" t="s">
        <v>265</v>
      </c>
      <c r="AKM7" t="s">
        <v>18</v>
      </c>
      <c r="AKN7" t="s">
        <v>63</v>
      </c>
      <c r="AKO7" t="s">
        <v>27</v>
      </c>
      <c r="AKP7" t="s">
        <v>188</v>
      </c>
      <c r="AKQ7" t="s">
        <v>171</v>
      </c>
      <c r="AKR7" t="s">
        <v>166</v>
      </c>
      <c r="AKS7" t="s">
        <v>105</v>
      </c>
      <c r="AKT7" t="s">
        <v>208</v>
      </c>
      <c r="AKU7" t="s">
        <v>265</v>
      </c>
      <c r="AKV7" t="s">
        <v>49</v>
      </c>
      <c r="AKW7" t="s">
        <v>18</v>
      </c>
      <c r="AKX7" t="s">
        <v>27</v>
      </c>
      <c r="AKY7" t="s">
        <v>41</v>
      </c>
      <c r="AKZ7" t="s">
        <v>188</v>
      </c>
      <c r="ALA7" t="s">
        <v>296</v>
      </c>
      <c r="ALB7" t="s">
        <v>296</v>
      </c>
      <c r="ALC7" t="s">
        <v>115</v>
      </c>
      <c r="ALD7" t="s">
        <v>27</v>
      </c>
      <c r="ALE7" t="s">
        <v>63</v>
      </c>
      <c r="ALF7" t="s">
        <v>35</v>
      </c>
      <c r="ALG7" t="s">
        <v>115</v>
      </c>
      <c r="ALH7" t="s">
        <v>78</v>
      </c>
      <c r="ALI7" t="s">
        <v>41</v>
      </c>
      <c r="ALJ7" t="s">
        <v>27</v>
      </c>
      <c r="ALK7" t="s">
        <v>188</v>
      </c>
      <c r="ALL7" t="s">
        <v>208</v>
      </c>
      <c r="ALM7" t="s">
        <v>123</v>
      </c>
    </row>
    <row r="8" spans="1:1001" ht="29.4" customHeight="1" x14ac:dyDescent="0.3">
      <c r="A8" s="1" t="s">
        <v>7</v>
      </c>
      <c r="B8">
        <v>3</v>
      </c>
      <c r="C8">
        <v>3</v>
      </c>
      <c r="D8">
        <v>9</v>
      </c>
      <c r="E8">
        <v>5</v>
      </c>
      <c r="F8">
        <v>6</v>
      </c>
      <c r="G8">
        <v>7</v>
      </c>
      <c r="H8">
        <v>4</v>
      </c>
      <c r="I8">
        <v>8</v>
      </c>
      <c r="J8">
        <v>2</v>
      </c>
      <c r="K8">
        <v>8</v>
      </c>
      <c r="L8">
        <v>8</v>
      </c>
      <c r="M8">
        <v>1</v>
      </c>
      <c r="N8">
        <v>5</v>
      </c>
      <c r="O8">
        <v>9</v>
      </c>
      <c r="P8">
        <v>10</v>
      </c>
      <c r="Q8">
        <v>7</v>
      </c>
      <c r="R8">
        <v>8</v>
      </c>
      <c r="S8">
        <v>4</v>
      </c>
      <c r="T8">
        <v>7</v>
      </c>
      <c r="U8">
        <v>3</v>
      </c>
      <c r="V8">
        <v>6</v>
      </c>
      <c r="W8">
        <v>2</v>
      </c>
      <c r="X8">
        <v>7</v>
      </c>
      <c r="Y8">
        <v>6</v>
      </c>
      <c r="Z8">
        <v>8</v>
      </c>
      <c r="AA8">
        <v>10</v>
      </c>
      <c r="AB8">
        <v>8</v>
      </c>
      <c r="AC8">
        <v>5</v>
      </c>
      <c r="AD8">
        <v>8</v>
      </c>
      <c r="AE8">
        <v>5</v>
      </c>
      <c r="AF8">
        <v>9</v>
      </c>
      <c r="AG8">
        <v>3</v>
      </c>
      <c r="AH8">
        <v>5</v>
      </c>
      <c r="AI8">
        <v>8</v>
      </c>
      <c r="AJ8">
        <v>6</v>
      </c>
      <c r="AK8">
        <v>2</v>
      </c>
      <c r="AL8">
        <v>1</v>
      </c>
      <c r="AM8">
        <v>8</v>
      </c>
      <c r="AN8">
        <v>7</v>
      </c>
      <c r="AO8">
        <v>10</v>
      </c>
      <c r="AP8">
        <v>4</v>
      </c>
      <c r="AQ8">
        <v>1</v>
      </c>
      <c r="AR8">
        <v>10</v>
      </c>
      <c r="AS8">
        <v>8</v>
      </c>
      <c r="AT8">
        <v>3</v>
      </c>
      <c r="AU8">
        <v>3</v>
      </c>
      <c r="AV8">
        <v>8</v>
      </c>
      <c r="AW8">
        <v>10</v>
      </c>
      <c r="AX8">
        <v>6</v>
      </c>
      <c r="AY8">
        <v>10</v>
      </c>
      <c r="AZ8">
        <v>9</v>
      </c>
      <c r="BA8">
        <v>3</v>
      </c>
      <c r="BB8">
        <v>3</v>
      </c>
      <c r="BC8">
        <v>7</v>
      </c>
      <c r="BD8">
        <v>6</v>
      </c>
      <c r="BE8">
        <v>6</v>
      </c>
      <c r="BF8">
        <v>4</v>
      </c>
      <c r="BG8">
        <v>5</v>
      </c>
      <c r="BH8">
        <v>9</v>
      </c>
      <c r="BI8">
        <v>8</v>
      </c>
      <c r="BJ8">
        <v>5</v>
      </c>
      <c r="BK8">
        <v>7</v>
      </c>
      <c r="BL8">
        <v>1</v>
      </c>
      <c r="BM8">
        <v>7</v>
      </c>
      <c r="BN8">
        <v>5</v>
      </c>
      <c r="BO8">
        <v>5</v>
      </c>
      <c r="BP8">
        <v>6</v>
      </c>
      <c r="BQ8">
        <v>10</v>
      </c>
      <c r="BR8">
        <v>3</v>
      </c>
      <c r="BS8">
        <v>8</v>
      </c>
      <c r="BT8">
        <v>3</v>
      </c>
      <c r="BU8">
        <v>6</v>
      </c>
      <c r="BV8">
        <v>8</v>
      </c>
      <c r="BW8">
        <v>6</v>
      </c>
      <c r="BX8">
        <v>10</v>
      </c>
      <c r="BY8">
        <v>5</v>
      </c>
      <c r="BZ8">
        <v>7</v>
      </c>
      <c r="CA8">
        <v>9</v>
      </c>
      <c r="CB8">
        <v>1</v>
      </c>
      <c r="CC8">
        <v>7</v>
      </c>
      <c r="CD8">
        <v>8</v>
      </c>
      <c r="CE8">
        <v>4</v>
      </c>
      <c r="CF8">
        <v>6</v>
      </c>
      <c r="CG8">
        <v>3</v>
      </c>
      <c r="CH8">
        <v>1</v>
      </c>
      <c r="CI8">
        <v>8</v>
      </c>
      <c r="CJ8">
        <v>8</v>
      </c>
      <c r="CK8">
        <v>5</v>
      </c>
      <c r="CL8">
        <v>10</v>
      </c>
      <c r="CM8">
        <v>1</v>
      </c>
      <c r="CN8">
        <v>10</v>
      </c>
      <c r="CO8">
        <v>9</v>
      </c>
      <c r="CP8">
        <v>4</v>
      </c>
      <c r="CQ8">
        <v>4</v>
      </c>
      <c r="CR8">
        <v>2</v>
      </c>
      <c r="CS8">
        <v>7</v>
      </c>
      <c r="CT8">
        <v>6</v>
      </c>
      <c r="CU8">
        <v>3</v>
      </c>
      <c r="CV8">
        <v>7</v>
      </c>
      <c r="CW8">
        <v>7</v>
      </c>
      <c r="CX8">
        <v>8</v>
      </c>
      <c r="CY8">
        <v>2</v>
      </c>
      <c r="CZ8">
        <v>8</v>
      </c>
      <c r="DA8">
        <v>3</v>
      </c>
      <c r="DB8">
        <v>3</v>
      </c>
      <c r="DC8">
        <v>1</v>
      </c>
      <c r="DD8">
        <v>10</v>
      </c>
      <c r="DE8">
        <v>6</v>
      </c>
      <c r="DF8">
        <v>1</v>
      </c>
      <c r="DG8">
        <v>2</v>
      </c>
      <c r="DH8">
        <v>8</v>
      </c>
      <c r="DI8">
        <v>10</v>
      </c>
      <c r="DJ8">
        <v>3</v>
      </c>
      <c r="DK8">
        <v>6</v>
      </c>
      <c r="DL8">
        <v>5</v>
      </c>
      <c r="DM8">
        <v>1</v>
      </c>
      <c r="DN8">
        <v>2</v>
      </c>
      <c r="DO8">
        <v>1</v>
      </c>
      <c r="DP8">
        <v>3</v>
      </c>
      <c r="DQ8">
        <v>6</v>
      </c>
      <c r="DR8">
        <v>3</v>
      </c>
      <c r="DS8">
        <v>5</v>
      </c>
      <c r="DT8">
        <v>3</v>
      </c>
      <c r="DU8">
        <v>6</v>
      </c>
      <c r="DV8">
        <v>10</v>
      </c>
      <c r="DW8">
        <v>5</v>
      </c>
      <c r="DX8">
        <v>3</v>
      </c>
      <c r="DY8">
        <v>2</v>
      </c>
      <c r="DZ8">
        <v>9</v>
      </c>
      <c r="EA8">
        <v>9</v>
      </c>
      <c r="EB8">
        <v>9</v>
      </c>
      <c r="EC8">
        <v>3</v>
      </c>
      <c r="ED8">
        <v>10</v>
      </c>
      <c r="EE8">
        <v>5</v>
      </c>
      <c r="EF8">
        <v>4</v>
      </c>
      <c r="EG8">
        <v>1</v>
      </c>
      <c r="EH8">
        <v>6</v>
      </c>
      <c r="EI8">
        <v>9</v>
      </c>
      <c r="EJ8">
        <v>10</v>
      </c>
      <c r="EK8">
        <v>8</v>
      </c>
      <c r="EL8">
        <v>7</v>
      </c>
      <c r="EM8">
        <v>9</v>
      </c>
      <c r="EN8">
        <v>2</v>
      </c>
      <c r="EO8">
        <v>10</v>
      </c>
      <c r="EP8">
        <v>6</v>
      </c>
      <c r="EQ8">
        <v>5</v>
      </c>
      <c r="ER8">
        <v>9</v>
      </c>
      <c r="ES8">
        <v>2</v>
      </c>
      <c r="ET8">
        <v>2</v>
      </c>
      <c r="EU8">
        <v>9</v>
      </c>
      <c r="EV8">
        <v>9</v>
      </c>
      <c r="EW8">
        <v>6</v>
      </c>
      <c r="EX8">
        <v>7</v>
      </c>
      <c r="EY8">
        <v>1</v>
      </c>
      <c r="EZ8">
        <v>8</v>
      </c>
      <c r="FA8">
        <v>7</v>
      </c>
      <c r="FB8">
        <v>9</v>
      </c>
      <c r="FC8">
        <v>2</v>
      </c>
      <c r="FD8">
        <v>5</v>
      </c>
      <c r="FE8">
        <v>5</v>
      </c>
      <c r="FF8">
        <v>3</v>
      </c>
      <c r="FG8">
        <v>1</v>
      </c>
      <c r="FH8">
        <v>5</v>
      </c>
      <c r="FI8">
        <v>2</v>
      </c>
      <c r="FJ8">
        <v>10</v>
      </c>
      <c r="FK8">
        <v>2</v>
      </c>
      <c r="FL8">
        <v>4</v>
      </c>
      <c r="FM8">
        <v>5</v>
      </c>
      <c r="FN8">
        <v>4</v>
      </c>
      <c r="FO8">
        <v>1</v>
      </c>
      <c r="FP8">
        <v>4</v>
      </c>
      <c r="FQ8">
        <v>9</v>
      </c>
      <c r="FR8">
        <v>6</v>
      </c>
      <c r="FS8">
        <v>8</v>
      </c>
      <c r="FT8">
        <v>2</v>
      </c>
      <c r="FU8">
        <v>2</v>
      </c>
      <c r="FV8">
        <v>3</v>
      </c>
      <c r="FW8">
        <v>6</v>
      </c>
      <c r="FX8">
        <v>8</v>
      </c>
      <c r="FY8">
        <v>1</v>
      </c>
      <c r="FZ8">
        <v>7</v>
      </c>
      <c r="GA8">
        <v>8</v>
      </c>
      <c r="GB8">
        <v>8</v>
      </c>
      <c r="GC8">
        <v>10</v>
      </c>
      <c r="GD8">
        <v>4</v>
      </c>
      <c r="GE8">
        <v>3</v>
      </c>
      <c r="GF8">
        <v>7</v>
      </c>
      <c r="GG8">
        <v>4</v>
      </c>
      <c r="GH8">
        <v>8</v>
      </c>
      <c r="GI8">
        <v>4</v>
      </c>
      <c r="GJ8">
        <v>7</v>
      </c>
      <c r="GK8">
        <v>8</v>
      </c>
      <c r="GL8">
        <v>6</v>
      </c>
      <c r="GM8">
        <v>5</v>
      </c>
      <c r="GN8">
        <v>5</v>
      </c>
      <c r="GO8">
        <v>6</v>
      </c>
      <c r="GP8">
        <v>6</v>
      </c>
      <c r="GQ8">
        <v>6</v>
      </c>
      <c r="GR8">
        <v>4</v>
      </c>
      <c r="GS8">
        <v>3</v>
      </c>
      <c r="GT8">
        <v>9</v>
      </c>
      <c r="GU8">
        <v>5</v>
      </c>
      <c r="GV8">
        <v>7</v>
      </c>
      <c r="GW8">
        <v>8</v>
      </c>
      <c r="GX8">
        <v>10</v>
      </c>
      <c r="GY8">
        <v>8</v>
      </c>
      <c r="GZ8">
        <v>1</v>
      </c>
      <c r="HA8">
        <v>5</v>
      </c>
      <c r="HB8">
        <v>9</v>
      </c>
      <c r="HC8">
        <v>6</v>
      </c>
      <c r="HD8">
        <v>3</v>
      </c>
      <c r="HE8">
        <v>4</v>
      </c>
      <c r="HF8">
        <v>6</v>
      </c>
      <c r="HG8">
        <v>9</v>
      </c>
      <c r="HH8">
        <v>9</v>
      </c>
      <c r="HI8">
        <v>9</v>
      </c>
      <c r="HJ8">
        <v>5</v>
      </c>
      <c r="HK8">
        <v>9</v>
      </c>
      <c r="HL8">
        <v>5</v>
      </c>
      <c r="HM8">
        <v>3</v>
      </c>
      <c r="HN8">
        <v>9</v>
      </c>
      <c r="HO8">
        <v>3</v>
      </c>
      <c r="HP8">
        <v>3</v>
      </c>
      <c r="HQ8">
        <v>9</v>
      </c>
      <c r="HR8">
        <v>3</v>
      </c>
      <c r="HS8">
        <v>5</v>
      </c>
      <c r="HT8">
        <v>7</v>
      </c>
      <c r="HU8">
        <v>9</v>
      </c>
      <c r="HV8">
        <v>9</v>
      </c>
      <c r="HW8">
        <v>4</v>
      </c>
      <c r="HX8">
        <v>9</v>
      </c>
      <c r="HY8">
        <v>8</v>
      </c>
      <c r="HZ8">
        <v>8</v>
      </c>
      <c r="IA8">
        <v>8</v>
      </c>
      <c r="IB8">
        <v>9</v>
      </c>
      <c r="IC8">
        <v>10</v>
      </c>
      <c r="ID8">
        <v>10</v>
      </c>
      <c r="IE8">
        <v>5</v>
      </c>
      <c r="IF8">
        <v>8</v>
      </c>
      <c r="IG8">
        <v>10</v>
      </c>
      <c r="IH8">
        <v>5</v>
      </c>
      <c r="II8">
        <v>8</v>
      </c>
      <c r="IJ8">
        <v>3</v>
      </c>
      <c r="IK8">
        <v>3</v>
      </c>
      <c r="IL8">
        <v>7</v>
      </c>
      <c r="IM8">
        <v>9</v>
      </c>
      <c r="IN8">
        <v>8</v>
      </c>
      <c r="IO8">
        <v>3</v>
      </c>
      <c r="IP8">
        <v>6</v>
      </c>
      <c r="IQ8">
        <v>5</v>
      </c>
      <c r="IR8">
        <v>1</v>
      </c>
      <c r="IS8">
        <v>9</v>
      </c>
      <c r="IT8">
        <v>4</v>
      </c>
      <c r="IU8">
        <v>5</v>
      </c>
      <c r="IV8">
        <v>9</v>
      </c>
      <c r="IW8">
        <v>8</v>
      </c>
      <c r="IX8">
        <v>4</v>
      </c>
      <c r="IY8">
        <v>9</v>
      </c>
      <c r="IZ8">
        <v>3</v>
      </c>
      <c r="JA8">
        <v>8</v>
      </c>
      <c r="JB8">
        <v>7</v>
      </c>
      <c r="JC8">
        <v>4</v>
      </c>
      <c r="JD8">
        <v>9</v>
      </c>
      <c r="JE8">
        <v>5</v>
      </c>
      <c r="JF8">
        <v>3</v>
      </c>
      <c r="JG8">
        <v>1</v>
      </c>
      <c r="JH8">
        <v>1</v>
      </c>
      <c r="JI8">
        <v>9</v>
      </c>
      <c r="JJ8">
        <v>6</v>
      </c>
      <c r="JK8">
        <v>5</v>
      </c>
      <c r="JL8">
        <v>8</v>
      </c>
      <c r="JM8">
        <v>1</v>
      </c>
      <c r="JN8">
        <v>10</v>
      </c>
      <c r="JO8">
        <v>4</v>
      </c>
      <c r="JP8">
        <v>6</v>
      </c>
      <c r="JQ8">
        <v>5</v>
      </c>
      <c r="JR8">
        <v>10</v>
      </c>
      <c r="JS8">
        <v>1</v>
      </c>
      <c r="JT8">
        <v>4</v>
      </c>
      <c r="JU8">
        <v>9</v>
      </c>
      <c r="JV8">
        <v>8</v>
      </c>
      <c r="JW8">
        <v>3</v>
      </c>
      <c r="JX8">
        <v>3</v>
      </c>
      <c r="JY8">
        <v>3</v>
      </c>
      <c r="JZ8">
        <v>4</v>
      </c>
      <c r="KA8">
        <v>7</v>
      </c>
      <c r="KB8">
        <v>8</v>
      </c>
      <c r="KC8">
        <v>9</v>
      </c>
      <c r="KD8">
        <v>1</v>
      </c>
      <c r="KE8">
        <v>4</v>
      </c>
      <c r="KF8">
        <v>8</v>
      </c>
      <c r="KG8">
        <v>4</v>
      </c>
      <c r="KH8">
        <v>2</v>
      </c>
      <c r="KI8">
        <v>1</v>
      </c>
      <c r="KJ8">
        <v>5</v>
      </c>
      <c r="KK8">
        <v>3</v>
      </c>
      <c r="KL8">
        <v>7</v>
      </c>
      <c r="KM8">
        <v>4</v>
      </c>
      <c r="KN8">
        <v>2</v>
      </c>
      <c r="KO8">
        <v>3</v>
      </c>
      <c r="KP8">
        <v>2</v>
      </c>
      <c r="KQ8">
        <v>6</v>
      </c>
      <c r="KR8">
        <v>10</v>
      </c>
      <c r="KS8">
        <v>3</v>
      </c>
      <c r="KT8">
        <v>9</v>
      </c>
      <c r="KU8">
        <v>5</v>
      </c>
      <c r="KV8">
        <v>3</v>
      </c>
      <c r="KW8">
        <v>3</v>
      </c>
      <c r="KX8">
        <v>6</v>
      </c>
      <c r="KY8">
        <v>2</v>
      </c>
      <c r="KZ8">
        <v>3</v>
      </c>
      <c r="LA8">
        <v>3</v>
      </c>
      <c r="LB8">
        <v>10</v>
      </c>
      <c r="LC8">
        <v>3</v>
      </c>
      <c r="LD8">
        <v>7</v>
      </c>
      <c r="LE8">
        <v>5</v>
      </c>
      <c r="LF8">
        <v>4</v>
      </c>
      <c r="LG8">
        <v>3</v>
      </c>
      <c r="LH8">
        <v>2</v>
      </c>
      <c r="LI8">
        <v>6</v>
      </c>
      <c r="LJ8">
        <v>3</v>
      </c>
      <c r="LK8">
        <v>10</v>
      </c>
      <c r="LL8">
        <v>6</v>
      </c>
      <c r="LM8">
        <v>8</v>
      </c>
      <c r="LN8">
        <v>5</v>
      </c>
      <c r="LO8">
        <v>8</v>
      </c>
      <c r="LP8">
        <v>2</v>
      </c>
      <c r="LQ8">
        <v>1</v>
      </c>
      <c r="LR8">
        <v>6</v>
      </c>
      <c r="LS8">
        <v>5</v>
      </c>
      <c r="LT8">
        <v>1</v>
      </c>
      <c r="LU8">
        <v>7</v>
      </c>
      <c r="LV8">
        <v>5</v>
      </c>
      <c r="LW8">
        <v>10</v>
      </c>
      <c r="LX8">
        <v>1</v>
      </c>
      <c r="LY8">
        <v>4</v>
      </c>
      <c r="LZ8">
        <v>2</v>
      </c>
      <c r="MA8">
        <v>9</v>
      </c>
      <c r="MB8">
        <v>9</v>
      </c>
      <c r="MC8">
        <v>10</v>
      </c>
      <c r="MD8">
        <v>1</v>
      </c>
      <c r="ME8">
        <v>4</v>
      </c>
      <c r="MF8">
        <v>5</v>
      </c>
      <c r="MG8">
        <v>7</v>
      </c>
      <c r="MH8">
        <v>10</v>
      </c>
      <c r="MI8">
        <v>10</v>
      </c>
      <c r="MJ8">
        <v>8</v>
      </c>
      <c r="MK8">
        <v>1</v>
      </c>
      <c r="ML8">
        <v>1</v>
      </c>
      <c r="MM8">
        <v>3</v>
      </c>
      <c r="MN8">
        <v>2</v>
      </c>
      <c r="MO8">
        <v>7</v>
      </c>
      <c r="MP8">
        <v>9</v>
      </c>
      <c r="MQ8">
        <v>10</v>
      </c>
      <c r="MR8">
        <v>8</v>
      </c>
      <c r="MS8">
        <v>6</v>
      </c>
      <c r="MT8">
        <v>10</v>
      </c>
      <c r="MU8">
        <v>1</v>
      </c>
      <c r="MV8">
        <v>3</v>
      </c>
      <c r="MW8">
        <v>2</v>
      </c>
      <c r="MX8">
        <v>4</v>
      </c>
      <c r="MY8">
        <v>6</v>
      </c>
      <c r="MZ8">
        <v>5</v>
      </c>
      <c r="NA8">
        <v>10</v>
      </c>
      <c r="NB8">
        <v>2</v>
      </c>
      <c r="NC8">
        <v>9</v>
      </c>
      <c r="ND8">
        <v>6</v>
      </c>
      <c r="NE8">
        <v>4</v>
      </c>
      <c r="NF8">
        <v>5</v>
      </c>
      <c r="NG8">
        <v>9</v>
      </c>
      <c r="NH8">
        <v>8</v>
      </c>
      <c r="NI8">
        <v>2</v>
      </c>
      <c r="NJ8">
        <v>2</v>
      </c>
      <c r="NK8">
        <v>3</v>
      </c>
      <c r="NL8">
        <v>7</v>
      </c>
      <c r="NM8">
        <v>7</v>
      </c>
      <c r="NN8">
        <v>8</v>
      </c>
      <c r="NO8">
        <v>3</v>
      </c>
      <c r="NP8">
        <v>5</v>
      </c>
      <c r="NQ8">
        <v>9</v>
      </c>
      <c r="NR8">
        <v>8</v>
      </c>
      <c r="NS8">
        <v>9</v>
      </c>
      <c r="NT8">
        <v>2</v>
      </c>
      <c r="NU8">
        <v>2</v>
      </c>
      <c r="NV8">
        <v>1</v>
      </c>
      <c r="NW8">
        <v>2</v>
      </c>
      <c r="NX8">
        <v>4</v>
      </c>
      <c r="NY8">
        <v>5</v>
      </c>
      <c r="NZ8">
        <v>7</v>
      </c>
      <c r="OA8">
        <v>4</v>
      </c>
      <c r="OB8">
        <v>5</v>
      </c>
      <c r="OC8">
        <v>5</v>
      </c>
      <c r="OD8">
        <v>8</v>
      </c>
      <c r="OE8">
        <v>7</v>
      </c>
      <c r="OF8">
        <v>5</v>
      </c>
      <c r="OG8">
        <v>5</v>
      </c>
      <c r="OH8">
        <v>5</v>
      </c>
      <c r="OI8">
        <v>10</v>
      </c>
      <c r="OJ8">
        <v>9</v>
      </c>
      <c r="OK8">
        <v>5</v>
      </c>
      <c r="OL8">
        <v>5</v>
      </c>
      <c r="OM8">
        <v>8</v>
      </c>
      <c r="ON8">
        <v>5</v>
      </c>
      <c r="OO8">
        <v>1</v>
      </c>
      <c r="OP8">
        <v>8</v>
      </c>
      <c r="OQ8">
        <v>8</v>
      </c>
      <c r="OR8">
        <v>1</v>
      </c>
      <c r="OS8">
        <v>5</v>
      </c>
      <c r="OT8">
        <v>2</v>
      </c>
      <c r="OU8">
        <v>3</v>
      </c>
      <c r="OV8">
        <v>1</v>
      </c>
      <c r="OW8">
        <v>2</v>
      </c>
      <c r="OX8">
        <v>7</v>
      </c>
      <c r="OY8">
        <v>3</v>
      </c>
      <c r="OZ8">
        <v>9</v>
      </c>
      <c r="PA8">
        <v>3</v>
      </c>
      <c r="PB8">
        <v>2</v>
      </c>
      <c r="PC8">
        <v>5</v>
      </c>
      <c r="PD8">
        <v>3</v>
      </c>
      <c r="PE8">
        <v>8</v>
      </c>
      <c r="PF8">
        <v>7</v>
      </c>
      <c r="PG8">
        <v>3</v>
      </c>
      <c r="PH8">
        <v>7</v>
      </c>
      <c r="PI8">
        <v>7</v>
      </c>
      <c r="PJ8">
        <v>8</v>
      </c>
      <c r="PK8">
        <v>10</v>
      </c>
      <c r="PL8">
        <v>2</v>
      </c>
      <c r="PM8">
        <v>3</v>
      </c>
      <c r="PN8">
        <v>10</v>
      </c>
      <c r="PO8">
        <v>4</v>
      </c>
      <c r="PP8">
        <v>8</v>
      </c>
      <c r="PQ8">
        <v>7</v>
      </c>
      <c r="PR8">
        <v>6</v>
      </c>
      <c r="PS8">
        <v>5</v>
      </c>
      <c r="PT8">
        <v>9</v>
      </c>
      <c r="PU8">
        <v>5</v>
      </c>
      <c r="PV8">
        <v>4</v>
      </c>
      <c r="PW8">
        <v>9</v>
      </c>
      <c r="PX8">
        <v>10</v>
      </c>
      <c r="PY8">
        <v>1</v>
      </c>
      <c r="PZ8">
        <v>3</v>
      </c>
      <c r="QA8">
        <v>2</v>
      </c>
      <c r="QB8">
        <v>3</v>
      </c>
      <c r="QC8">
        <v>3</v>
      </c>
      <c r="QD8">
        <v>10</v>
      </c>
      <c r="QE8">
        <v>4</v>
      </c>
      <c r="QF8">
        <v>4</v>
      </c>
      <c r="QG8">
        <v>2</v>
      </c>
      <c r="QH8">
        <v>6</v>
      </c>
      <c r="QI8">
        <v>1</v>
      </c>
      <c r="QJ8">
        <v>5</v>
      </c>
      <c r="QK8">
        <v>6</v>
      </c>
      <c r="QL8">
        <v>7</v>
      </c>
      <c r="QM8">
        <v>7</v>
      </c>
      <c r="QN8">
        <v>6</v>
      </c>
      <c r="QO8">
        <v>7</v>
      </c>
      <c r="QP8">
        <v>4</v>
      </c>
      <c r="QQ8">
        <v>5</v>
      </c>
      <c r="QR8">
        <v>1</v>
      </c>
      <c r="QS8">
        <v>2</v>
      </c>
      <c r="QT8">
        <v>4</v>
      </c>
      <c r="QU8">
        <v>10</v>
      </c>
      <c r="QV8">
        <v>2</v>
      </c>
      <c r="QW8">
        <v>3</v>
      </c>
      <c r="QX8">
        <v>8</v>
      </c>
      <c r="QY8">
        <v>3</v>
      </c>
      <c r="QZ8">
        <v>6</v>
      </c>
      <c r="RA8">
        <v>1</v>
      </c>
      <c r="RB8">
        <v>1</v>
      </c>
      <c r="RC8">
        <v>1</v>
      </c>
      <c r="RD8">
        <v>3</v>
      </c>
      <c r="RE8">
        <v>4</v>
      </c>
      <c r="RF8">
        <v>3</v>
      </c>
      <c r="RG8">
        <v>10</v>
      </c>
      <c r="RH8">
        <v>2</v>
      </c>
      <c r="RI8">
        <v>5</v>
      </c>
      <c r="RJ8">
        <v>1</v>
      </c>
      <c r="RK8">
        <v>1</v>
      </c>
      <c r="RL8">
        <v>6</v>
      </c>
      <c r="RM8">
        <v>5</v>
      </c>
      <c r="RN8">
        <v>10</v>
      </c>
      <c r="RO8">
        <v>10</v>
      </c>
      <c r="RP8">
        <v>8</v>
      </c>
      <c r="RQ8">
        <v>3</v>
      </c>
      <c r="RR8">
        <v>7</v>
      </c>
      <c r="RS8">
        <v>5</v>
      </c>
      <c r="RT8">
        <v>5</v>
      </c>
      <c r="RU8">
        <v>4</v>
      </c>
      <c r="RV8">
        <v>2</v>
      </c>
      <c r="RW8">
        <v>6</v>
      </c>
      <c r="RX8">
        <v>8</v>
      </c>
      <c r="RY8">
        <v>8</v>
      </c>
      <c r="RZ8">
        <v>9</v>
      </c>
      <c r="SA8">
        <v>1</v>
      </c>
      <c r="SB8">
        <v>9</v>
      </c>
      <c r="SC8">
        <v>10</v>
      </c>
      <c r="SD8">
        <v>9</v>
      </c>
      <c r="SE8">
        <v>9</v>
      </c>
      <c r="SF8">
        <v>9</v>
      </c>
      <c r="SG8">
        <v>9</v>
      </c>
      <c r="SH8">
        <v>9</v>
      </c>
      <c r="SI8">
        <v>9</v>
      </c>
      <c r="SJ8">
        <v>7</v>
      </c>
      <c r="SK8">
        <v>4</v>
      </c>
      <c r="SL8">
        <v>4</v>
      </c>
      <c r="SM8">
        <v>9</v>
      </c>
      <c r="SN8">
        <v>4</v>
      </c>
      <c r="SO8">
        <v>4</v>
      </c>
      <c r="SP8">
        <v>8</v>
      </c>
      <c r="SQ8">
        <v>8</v>
      </c>
      <c r="SR8">
        <v>3</v>
      </c>
      <c r="SS8">
        <v>10</v>
      </c>
      <c r="ST8">
        <v>3</v>
      </c>
      <c r="SU8">
        <v>9</v>
      </c>
      <c r="SV8">
        <v>5</v>
      </c>
      <c r="SW8">
        <v>6</v>
      </c>
      <c r="SX8">
        <v>9</v>
      </c>
      <c r="SY8">
        <v>4</v>
      </c>
      <c r="SZ8">
        <v>2</v>
      </c>
      <c r="TA8">
        <v>1</v>
      </c>
      <c r="TB8">
        <v>3</v>
      </c>
      <c r="TC8">
        <v>7</v>
      </c>
      <c r="TD8">
        <v>6</v>
      </c>
      <c r="TE8">
        <v>1</v>
      </c>
      <c r="TF8">
        <v>5</v>
      </c>
      <c r="TG8">
        <v>10</v>
      </c>
      <c r="TH8">
        <v>1</v>
      </c>
      <c r="TI8">
        <v>1</v>
      </c>
      <c r="TJ8">
        <v>2</v>
      </c>
      <c r="TK8">
        <v>7</v>
      </c>
      <c r="TL8">
        <v>10</v>
      </c>
      <c r="TM8">
        <v>1</v>
      </c>
      <c r="TN8">
        <v>3</v>
      </c>
      <c r="TO8">
        <v>9</v>
      </c>
      <c r="TP8">
        <v>6</v>
      </c>
      <c r="TQ8">
        <v>3</v>
      </c>
      <c r="TR8">
        <v>9</v>
      </c>
      <c r="TS8">
        <v>8</v>
      </c>
      <c r="TT8">
        <v>2</v>
      </c>
      <c r="TU8">
        <v>6</v>
      </c>
      <c r="TV8">
        <v>6</v>
      </c>
      <c r="TW8">
        <v>4</v>
      </c>
      <c r="TX8">
        <v>10</v>
      </c>
      <c r="TY8">
        <v>5</v>
      </c>
      <c r="TZ8">
        <v>2</v>
      </c>
      <c r="UA8">
        <v>10</v>
      </c>
      <c r="UB8">
        <v>10</v>
      </c>
      <c r="UC8">
        <v>1</v>
      </c>
      <c r="UD8">
        <v>3</v>
      </c>
      <c r="UE8">
        <v>8</v>
      </c>
      <c r="UF8">
        <v>2</v>
      </c>
      <c r="UG8">
        <v>5</v>
      </c>
      <c r="UH8">
        <v>7</v>
      </c>
      <c r="UI8">
        <v>8</v>
      </c>
      <c r="UJ8">
        <v>3</v>
      </c>
      <c r="UK8">
        <v>9</v>
      </c>
      <c r="UL8">
        <v>2</v>
      </c>
      <c r="UM8">
        <v>10</v>
      </c>
      <c r="UN8">
        <v>1</v>
      </c>
      <c r="UO8">
        <v>9</v>
      </c>
      <c r="UP8">
        <v>1</v>
      </c>
      <c r="UQ8">
        <v>6</v>
      </c>
      <c r="UR8">
        <v>9</v>
      </c>
      <c r="US8">
        <v>8</v>
      </c>
      <c r="UT8">
        <v>9</v>
      </c>
      <c r="UU8">
        <v>4</v>
      </c>
      <c r="UV8">
        <v>7</v>
      </c>
      <c r="UW8">
        <v>10</v>
      </c>
      <c r="UX8">
        <v>5</v>
      </c>
      <c r="UY8">
        <v>5</v>
      </c>
      <c r="UZ8">
        <v>4</v>
      </c>
      <c r="VA8">
        <v>8</v>
      </c>
      <c r="VB8">
        <v>1</v>
      </c>
      <c r="VC8">
        <v>1</v>
      </c>
      <c r="VD8">
        <v>6</v>
      </c>
      <c r="VE8">
        <v>8</v>
      </c>
      <c r="VF8">
        <v>10</v>
      </c>
      <c r="VG8">
        <v>6</v>
      </c>
      <c r="VH8">
        <v>10</v>
      </c>
      <c r="VI8">
        <v>5</v>
      </c>
      <c r="VJ8">
        <v>8</v>
      </c>
      <c r="VK8">
        <v>6</v>
      </c>
      <c r="VL8">
        <v>2</v>
      </c>
      <c r="VM8">
        <v>3</v>
      </c>
      <c r="VN8">
        <v>7</v>
      </c>
      <c r="VO8">
        <v>9</v>
      </c>
      <c r="VP8">
        <v>7</v>
      </c>
      <c r="VQ8">
        <v>10</v>
      </c>
      <c r="VR8">
        <v>6</v>
      </c>
      <c r="VS8">
        <v>1</v>
      </c>
      <c r="VT8">
        <v>2</v>
      </c>
      <c r="VU8">
        <v>5</v>
      </c>
      <c r="VV8">
        <v>8</v>
      </c>
      <c r="VW8">
        <v>7</v>
      </c>
      <c r="VX8">
        <v>7</v>
      </c>
      <c r="VY8">
        <v>3</v>
      </c>
      <c r="VZ8">
        <v>9</v>
      </c>
      <c r="WA8">
        <v>1</v>
      </c>
      <c r="WB8">
        <v>8</v>
      </c>
      <c r="WC8">
        <v>4</v>
      </c>
      <c r="WD8">
        <v>1</v>
      </c>
      <c r="WE8">
        <v>3</v>
      </c>
      <c r="WF8">
        <v>5</v>
      </c>
      <c r="WG8">
        <v>10</v>
      </c>
      <c r="WH8">
        <v>8</v>
      </c>
      <c r="WI8">
        <v>9</v>
      </c>
      <c r="WJ8">
        <v>5</v>
      </c>
      <c r="WK8">
        <v>1</v>
      </c>
      <c r="WL8">
        <v>10</v>
      </c>
      <c r="WM8">
        <v>8</v>
      </c>
      <c r="WN8">
        <v>6</v>
      </c>
      <c r="WO8">
        <v>6</v>
      </c>
      <c r="WP8">
        <v>8</v>
      </c>
      <c r="WQ8">
        <v>3</v>
      </c>
      <c r="WR8">
        <v>8</v>
      </c>
      <c r="WS8">
        <v>6</v>
      </c>
      <c r="WT8">
        <v>10</v>
      </c>
      <c r="WU8">
        <v>6</v>
      </c>
      <c r="WV8">
        <v>9</v>
      </c>
      <c r="WW8">
        <v>8</v>
      </c>
      <c r="WX8">
        <v>7</v>
      </c>
      <c r="WY8">
        <v>5</v>
      </c>
      <c r="WZ8">
        <v>10</v>
      </c>
      <c r="XA8">
        <v>7</v>
      </c>
      <c r="XB8">
        <v>9</v>
      </c>
      <c r="XC8">
        <v>6</v>
      </c>
      <c r="XD8">
        <v>7</v>
      </c>
      <c r="XE8">
        <v>3</v>
      </c>
      <c r="XF8">
        <v>1</v>
      </c>
      <c r="XG8">
        <v>6</v>
      </c>
      <c r="XH8">
        <v>7</v>
      </c>
      <c r="XI8">
        <v>5</v>
      </c>
      <c r="XJ8">
        <v>6</v>
      </c>
      <c r="XK8">
        <v>9</v>
      </c>
      <c r="XL8">
        <v>7</v>
      </c>
      <c r="XM8">
        <v>6</v>
      </c>
      <c r="XN8">
        <v>6</v>
      </c>
      <c r="XO8">
        <v>7</v>
      </c>
      <c r="XP8">
        <v>3</v>
      </c>
      <c r="XQ8">
        <v>8</v>
      </c>
      <c r="XR8">
        <v>4</v>
      </c>
      <c r="XS8">
        <v>2</v>
      </c>
      <c r="XT8">
        <v>8</v>
      </c>
      <c r="XU8">
        <v>1</v>
      </c>
      <c r="XV8">
        <v>10</v>
      </c>
      <c r="XW8">
        <v>1</v>
      </c>
      <c r="XX8">
        <v>1</v>
      </c>
      <c r="XY8">
        <v>7</v>
      </c>
      <c r="XZ8">
        <v>2</v>
      </c>
      <c r="YA8">
        <v>4</v>
      </c>
      <c r="YB8">
        <v>9</v>
      </c>
      <c r="YC8">
        <v>4</v>
      </c>
      <c r="YD8">
        <v>7</v>
      </c>
      <c r="YE8">
        <v>5</v>
      </c>
      <c r="YF8">
        <v>2</v>
      </c>
      <c r="YG8">
        <v>8</v>
      </c>
      <c r="YH8">
        <v>3</v>
      </c>
      <c r="YI8">
        <v>10</v>
      </c>
      <c r="YJ8">
        <v>2</v>
      </c>
      <c r="YK8">
        <v>6</v>
      </c>
      <c r="YL8">
        <v>4</v>
      </c>
      <c r="YM8">
        <v>5</v>
      </c>
      <c r="YN8">
        <v>1</v>
      </c>
      <c r="YO8">
        <v>6</v>
      </c>
      <c r="YP8">
        <v>10</v>
      </c>
      <c r="YQ8">
        <v>9</v>
      </c>
      <c r="YR8">
        <v>1</v>
      </c>
      <c r="YS8">
        <v>10</v>
      </c>
      <c r="YT8">
        <v>5</v>
      </c>
      <c r="YU8">
        <v>1</v>
      </c>
      <c r="YV8">
        <v>8</v>
      </c>
      <c r="YW8">
        <v>2</v>
      </c>
      <c r="YX8">
        <v>6</v>
      </c>
      <c r="YY8">
        <v>10</v>
      </c>
      <c r="YZ8">
        <v>10</v>
      </c>
      <c r="ZA8">
        <v>4</v>
      </c>
      <c r="ZB8">
        <v>2</v>
      </c>
      <c r="ZC8">
        <v>5</v>
      </c>
      <c r="ZD8">
        <v>1</v>
      </c>
      <c r="ZE8">
        <v>8</v>
      </c>
      <c r="ZF8">
        <v>7</v>
      </c>
      <c r="ZG8">
        <v>6</v>
      </c>
      <c r="ZH8">
        <v>1</v>
      </c>
      <c r="ZI8">
        <v>9</v>
      </c>
      <c r="ZJ8">
        <v>10</v>
      </c>
      <c r="ZK8">
        <v>2</v>
      </c>
      <c r="ZL8">
        <v>1</v>
      </c>
      <c r="ZM8">
        <v>7</v>
      </c>
      <c r="ZN8">
        <v>4</v>
      </c>
      <c r="ZO8">
        <v>9</v>
      </c>
      <c r="ZP8">
        <v>4</v>
      </c>
      <c r="ZQ8">
        <v>9</v>
      </c>
      <c r="ZR8">
        <v>8</v>
      </c>
      <c r="ZS8">
        <v>2</v>
      </c>
      <c r="ZT8">
        <v>9</v>
      </c>
      <c r="ZU8">
        <v>3</v>
      </c>
      <c r="ZV8">
        <v>10</v>
      </c>
      <c r="ZW8">
        <v>2</v>
      </c>
      <c r="ZX8">
        <v>5</v>
      </c>
      <c r="ZY8">
        <v>3</v>
      </c>
      <c r="ZZ8">
        <v>1</v>
      </c>
      <c r="AAA8">
        <v>7</v>
      </c>
      <c r="AAB8">
        <v>7</v>
      </c>
      <c r="AAC8">
        <v>3</v>
      </c>
      <c r="AAD8">
        <v>5</v>
      </c>
      <c r="AAE8">
        <v>4</v>
      </c>
      <c r="AAF8">
        <v>1</v>
      </c>
      <c r="AAG8">
        <v>7</v>
      </c>
      <c r="AAH8">
        <v>9</v>
      </c>
      <c r="AAI8">
        <v>5</v>
      </c>
      <c r="AAJ8">
        <v>10</v>
      </c>
      <c r="AAK8">
        <v>2</v>
      </c>
      <c r="AAL8">
        <v>4</v>
      </c>
      <c r="AAM8">
        <v>6</v>
      </c>
      <c r="AAN8">
        <v>1</v>
      </c>
      <c r="AAO8">
        <v>5</v>
      </c>
      <c r="AAP8">
        <v>8</v>
      </c>
      <c r="AAQ8">
        <v>9</v>
      </c>
      <c r="AAR8">
        <v>10</v>
      </c>
      <c r="AAS8">
        <v>8</v>
      </c>
      <c r="AAT8">
        <v>1</v>
      </c>
      <c r="AAU8">
        <v>9</v>
      </c>
      <c r="AAV8">
        <v>10</v>
      </c>
      <c r="AAW8">
        <v>9</v>
      </c>
      <c r="AAX8">
        <v>1</v>
      </c>
      <c r="AAY8">
        <v>2</v>
      </c>
      <c r="AAZ8">
        <v>2</v>
      </c>
      <c r="ABA8">
        <v>4</v>
      </c>
      <c r="ABB8">
        <v>2</v>
      </c>
      <c r="ABC8">
        <v>6</v>
      </c>
      <c r="ABD8">
        <v>3</v>
      </c>
      <c r="ABE8">
        <v>2</v>
      </c>
      <c r="ABF8">
        <v>6</v>
      </c>
      <c r="ABG8">
        <v>3</v>
      </c>
      <c r="ABH8">
        <v>9</v>
      </c>
      <c r="ABI8">
        <v>8</v>
      </c>
      <c r="ABJ8">
        <v>1</v>
      </c>
      <c r="ABK8">
        <v>6</v>
      </c>
      <c r="ABL8">
        <v>6</v>
      </c>
      <c r="ABM8">
        <v>9</v>
      </c>
      <c r="ABN8">
        <v>1</v>
      </c>
      <c r="ABO8">
        <v>7</v>
      </c>
      <c r="ABP8">
        <v>4</v>
      </c>
      <c r="ABQ8">
        <v>3</v>
      </c>
      <c r="ABR8">
        <v>3</v>
      </c>
      <c r="ABS8">
        <v>2</v>
      </c>
      <c r="ABT8">
        <v>7</v>
      </c>
      <c r="ABU8">
        <v>3</v>
      </c>
      <c r="ABV8">
        <v>5</v>
      </c>
      <c r="ABW8">
        <v>8</v>
      </c>
      <c r="ABX8">
        <v>8</v>
      </c>
      <c r="ABY8">
        <v>5</v>
      </c>
      <c r="ABZ8">
        <v>9</v>
      </c>
      <c r="ACA8">
        <v>10</v>
      </c>
      <c r="ACB8">
        <v>7</v>
      </c>
      <c r="ACC8">
        <v>3</v>
      </c>
      <c r="ACD8">
        <v>9</v>
      </c>
      <c r="ACE8">
        <v>1</v>
      </c>
      <c r="ACF8">
        <v>6</v>
      </c>
      <c r="ACG8">
        <v>10</v>
      </c>
      <c r="ACH8">
        <v>6</v>
      </c>
      <c r="ACI8">
        <v>4</v>
      </c>
      <c r="ACJ8">
        <v>1</v>
      </c>
      <c r="ACK8">
        <v>8</v>
      </c>
      <c r="ACL8">
        <v>3</v>
      </c>
      <c r="ACM8">
        <v>7</v>
      </c>
      <c r="ACN8">
        <v>3</v>
      </c>
      <c r="ACO8">
        <v>5</v>
      </c>
      <c r="ACP8">
        <v>9</v>
      </c>
      <c r="ACQ8">
        <v>1</v>
      </c>
      <c r="ACR8">
        <v>5</v>
      </c>
      <c r="ACS8">
        <v>1</v>
      </c>
      <c r="ACT8">
        <v>2</v>
      </c>
      <c r="ACU8">
        <v>3</v>
      </c>
      <c r="ACV8">
        <v>10</v>
      </c>
      <c r="ACW8">
        <v>3</v>
      </c>
      <c r="ACX8">
        <v>2</v>
      </c>
      <c r="ACY8">
        <v>10</v>
      </c>
      <c r="ACZ8">
        <v>8</v>
      </c>
      <c r="ADA8">
        <v>3</v>
      </c>
      <c r="ADB8">
        <v>2</v>
      </c>
      <c r="ADC8">
        <v>8</v>
      </c>
      <c r="ADD8">
        <v>1</v>
      </c>
      <c r="ADE8">
        <v>6</v>
      </c>
      <c r="ADF8">
        <v>8</v>
      </c>
      <c r="ADG8">
        <v>8</v>
      </c>
      <c r="ADH8">
        <v>7</v>
      </c>
      <c r="ADI8">
        <v>8</v>
      </c>
      <c r="ADJ8">
        <v>7</v>
      </c>
      <c r="ADK8">
        <v>6</v>
      </c>
      <c r="ADL8">
        <v>2</v>
      </c>
      <c r="ADM8">
        <v>2</v>
      </c>
      <c r="ADN8">
        <v>7</v>
      </c>
      <c r="ADO8">
        <v>5</v>
      </c>
      <c r="ADP8">
        <v>3</v>
      </c>
      <c r="ADQ8">
        <v>4</v>
      </c>
      <c r="ADR8">
        <v>3</v>
      </c>
      <c r="ADS8">
        <v>1</v>
      </c>
      <c r="ADT8">
        <v>5</v>
      </c>
      <c r="ADU8">
        <v>5</v>
      </c>
      <c r="ADV8">
        <v>9</v>
      </c>
      <c r="ADW8">
        <v>9</v>
      </c>
      <c r="ADX8">
        <v>8</v>
      </c>
      <c r="ADY8">
        <v>4</v>
      </c>
      <c r="ADZ8">
        <v>2</v>
      </c>
      <c r="AEA8">
        <v>9</v>
      </c>
      <c r="AEB8">
        <v>10</v>
      </c>
      <c r="AEC8">
        <v>1</v>
      </c>
      <c r="AED8">
        <v>7</v>
      </c>
      <c r="AEE8">
        <v>1</v>
      </c>
      <c r="AEF8">
        <v>5</v>
      </c>
      <c r="AEG8">
        <v>4</v>
      </c>
      <c r="AEH8">
        <v>9</v>
      </c>
      <c r="AEI8">
        <v>8</v>
      </c>
      <c r="AEJ8">
        <v>1</v>
      </c>
      <c r="AEK8">
        <v>10</v>
      </c>
      <c r="AEL8">
        <v>6</v>
      </c>
      <c r="AEM8">
        <v>3</v>
      </c>
      <c r="AEN8">
        <v>9</v>
      </c>
      <c r="AEO8">
        <v>1</v>
      </c>
      <c r="AEP8">
        <v>5</v>
      </c>
      <c r="AEQ8">
        <v>1</v>
      </c>
      <c r="AER8">
        <v>7</v>
      </c>
      <c r="AES8">
        <v>8</v>
      </c>
      <c r="AET8">
        <v>8</v>
      </c>
      <c r="AEU8">
        <v>5</v>
      </c>
      <c r="AEV8">
        <v>7</v>
      </c>
      <c r="AEW8">
        <v>3</v>
      </c>
      <c r="AEX8">
        <v>1</v>
      </c>
      <c r="AEY8">
        <v>6</v>
      </c>
      <c r="AEZ8">
        <v>2</v>
      </c>
      <c r="AFA8">
        <v>1</v>
      </c>
      <c r="AFB8">
        <v>3</v>
      </c>
      <c r="AFC8">
        <v>8</v>
      </c>
      <c r="AFD8">
        <v>1</v>
      </c>
      <c r="AFE8">
        <v>6</v>
      </c>
      <c r="AFF8">
        <v>5</v>
      </c>
      <c r="AFG8">
        <v>2</v>
      </c>
      <c r="AFH8">
        <v>2</v>
      </c>
      <c r="AFI8">
        <v>1</v>
      </c>
      <c r="AFJ8">
        <v>1</v>
      </c>
      <c r="AFK8">
        <v>8</v>
      </c>
      <c r="AFL8">
        <v>3</v>
      </c>
      <c r="AFM8">
        <v>10</v>
      </c>
      <c r="AFN8">
        <v>5</v>
      </c>
      <c r="AFO8">
        <v>8</v>
      </c>
      <c r="AFP8">
        <v>6</v>
      </c>
      <c r="AFQ8">
        <v>1</v>
      </c>
      <c r="AFR8">
        <v>8</v>
      </c>
      <c r="AFS8">
        <v>9</v>
      </c>
      <c r="AFT8">
        <v>1</v>
      </c>
      <c r="AFU8">
        <v>1</v>
      </c>
      <c r="AFV8">
        <v>1</v>
      </c>
      <c r="AFW8">
        <v>5</v>
      </c>
      <c r="AFX8">
        <v>7</v>
      </c>
      <c r="AFY8">
        <v>5</v>
      </c>
      <c r="AFZ8">
        <v>9</v>
      </c>
      <c r="AGA8">
        <v>3</v>
      </c>
      <c r="AGB8">
        <v>6</v>
      </c>
      <c r="AGC8">
        <v>5</v>
      </c>
      <c r="AGD8">
        <v>6</v>
      </c>
      <c r="AGE8">
        <v>10</v>
      </c>
      <c r="AGF8">
        <v>2</v>
      </c>
      <c r="AGG8">
        <v>1</v>
      </c>
      <c r="AGH8">
        <v>1</v>
      </c>
      <c r="AGI8">
        <v>2</v>
      </c>
      <c r="AGJ8">
        <v>9</v>
      </c>
      <c r="AGK8">
        <v>4</v>
      </c>
      <c r="AGL8">
        <v>1</v>
      </c>
      <c r="AGM8">
        <v>5</v>
      </c>
      <c r="AGN8">
        <v>1</v>
      </c>
      <c r="AGO8">
        <v>3</v>
      </c>
      <c r="AGP8">
        <v>2</v>
      </c>
      <c r="AGQ8">
        <v>6</v>
      </c>
      <c r="AGR8">
        <v>5</v>
      </c>
      <c r="AGS8">
        <v>2</v>
      </c>
      <c r="AGT8">
        <v>4</v>
      </c>
      <c r="AGU8">
        <v>3</v>
      </c>
      <c r="AGV8">
        <v>4</v>
      </c>
      <c r="AGW8">
        <v>6</v>
      </c>
      <c r="AGX8">
        <v>8</v>
      </c>
      <c r="AGY8">
        <v>7</v>
      </c>
      <c r="AGZ8">
        <v>3</v>
      </c>
      <c r="AHA8">
        <v>5</v>
      </c>
      <c r="AHB8">
        <v>7</v>
      </c>
      <c r="AHC8">
        <v>9</v>
      </c>
      <c r="AHD8">
        <v>7</v>
      </c>
      <c r="AHE8">
        <v>2</v>
      </c>
      <c r="AHF8">
        <v>10</v>
      </c>
      <c r="AHG8">
        <v>9</v>
      </c>
      <c r="AHH8">
        <v>2</v>
      </c>
      <c r="AHI8">
        <v>5</v>
      </c>
      <c r="AHJ8">
        <v>9</v>
      </c>
      <c r="AHK8">
        <v>7</v>
      </c>
      <c r="AHL8">
        <v>5</v>
      </c>
      <c r="AHM8">
        <v>7</v>
      </c>
      <c r="AHN8">
        <v>6</v>
      </c>
      <c r="AHO8">
        <v>1</v>
      </c>
      <c r="AHP8">
        <v>6</v>
      </c>
      <c r="AHQ8">
        <v>4</v>
      </c>
      <c r="AHR8">
        <v>7</v>
      </c>
      <c r="AHS8">
        <v>7</v>
      </c>
      <c r="AHT8">
        <v>5</v>
      </c>
      <c r="AHU8">
        <v>5</v>
      </c>
      <c r="AHV8">
        <v>7</v>
      </c>
      <c r="AHW8">
        <v>4</v>
      </c>
      <c r="AHX8">
        <v>7</v>
      </c>
      <c r="AHY8">
        <v>4</v>
      </c>
      <c r="AHZ8">
        <v>3</v>
      </c>
      <c r="AIA8">
        <v>1</v>
      </c>
      <c r="AIB8">
        <v>8</v>
      </c>
      <c r="AIC8">
        <v>4</v>
      </c>
      <c r="AID8">
        <v>4</v>
      </c>
      <c r="AIE8">
        <v>1</v>
      </c>
      <c r="AIF8">
        <v>5</v>
      </c>
      <c r="AIG8">
        <v>2</v>
      </c>
      <c r="AIH8">
        <v>7</v>
      </c>
      <c r="AII8">
        <v>5</v>
      </c>
      <c r="AIJ8">
        <v>3</v>
      </c>
      <c r="AIK8">
        <v>5</v>
      </c>
      <c r="AIL8">
        <v>10</v>
      </c>
      <c r="AIM8">
        <v>10</v>
      </c>
      <c r="AIN8">
        <v>3</v>
      </c>
      <c r="AIO8">
        <v>10</v>
      </c>
      <c r="AIP8">
        <v>8</v>
      </c>
      <c r="AIQ8">
        <v>7</v>
      </c>
      <c r="AIR8">
        <v>5</v>
      </c>
      <c r="AIS8">
        <v>8</v>
      </c>
      <c r="AIT8">
        <v>3</v>
      </c>
      <c r="AIU8">
        <v>5</v>
      </c>
      <c r="AIV8">
        <v>4</v>
      </c>
      <c r="AIW8">
        <v>10</v>
      </c>
      <c r="AIX8">
        <v>7</v>
      </c>
      <c r="AIY8">
        <v>4</v>
      </c>
      <c r="AIZ8">
        <v>5</v>
      </c>
      <c r="AJA8">
        <v>5</v>
      </c>
      <c r="AJB8">
        <v>9</v>
      </c>
      <c r="AJC8">
        <v>3</v>
      </c>
      <c r="AJD8">
        <v>2</v>
      </c>
      <c r="AJE8">
        <v>8</v>
      </c>
      <c r="AJF8">
        <v>9</v>
      </c>
      <c r="AJG8">
        <v>1</v>
      </c>
      <c r="AJH8">
        <v>3</v>
      </c>
      <c r="AJI8">
        <v>8</v>
      </c>
      <c r="AJJ8">
        <v>8</v>
      </c>
      <c r="AJK8">
        <v>3</v>
      </c>
      <c r="AJL8">
        <v>4</v>
      </c>
      <c r="AJM8">
        <v>9</v>
      </c>
      <c r="AJN8">
        <v>7</v>
      </c>
      <c r="AJO8">
        <v>10</v>
      </c>
      <c r="AJP8">
        <v>8</v>
      </c>
      <c r="AJQ8">
        <v>3</v>
      </c>
      <c r="AJR8">
        <v>3</v>
      </c>
      <c r="AJS8">
        <v>4</v>
      </c>
      <c r="AJT8">
        <v>2</v>
      </c>
      <c r="AJU8">
        <v>3</v>
      </c>
      <c r="AJV8">
        <v>7</v>
      </c>
      <c r="AJW8">
        <v>2</v>
      </c>
      <c r="AJX8">
        <v>7</v>
      </c>
      <c r="AJY8">
        <v>10</v>
      </c>
      <c r="AJZ8">
        <v>8</v>
      </c>
      <c r="AKA8">
        <v>9</v>
      </c>
      <c r="AKB8">
        <v>8</v>
      </c>
      <c r="AKC8">
        <v>8</v>
      </c>
      <c r="AKD8">
        <v>1</v>
      </c>
      <c r="AKE8">
        <v>9</v>
      </c>
      <c r="AKF8">
        <v>10</v>
      </c>
      <c r="AKG8">
        <v>9</v>
      </c>
      <c r="AKH8">
        <v>5</v>
      </c>
      <c r="AKI8">
        <v>7</v>
      </c>
      <c r="AKJ8">
        <v>7</v>
      </c>
      <c r="AKK8">
        <v>8</v>
      </c>
      <c r="AKL8">
        <v>1</v>
      </c>
      <c r="AKM8">
        <v>4</v>
      </c>
      <c r="AKN8">
        <v>1</v>
      </c>
      <c r="AKO8">
        <v>1</v>
      </c>
      <c r="AKP8">
        <v>10</v>
      </c>
      <c r="AKQ8">
        <v>9</v>
      </c>
      <c r="AKR8">
        <v>9</v>
      </c>
      <c r="AKS8">
        <v>9</v>
      </c>
      <c r="AKT8">
        <v>5</v>
      </c>
      <c r="AKU8">
        <v>2</v>
      </c>
      <c r="AKV8">
        <v>2</v>
      </c>
      <c r="AKW8">
        <v>9</v>
      </c>
      <c r="AKX8">
        <v>4</v>
      </c>
      <c r="AKY8">
        <v>10</v>
      </c>
      <c r="AKZ8">
        <v>6</v>
      </c>
      <c r="ALA8">
        <v>5</v>
      </c>
      <c r="ALB8">
        <v>1</v>
      </c>
      <c r="ALC8">
        <v>6</v>
      </c>
      <c r="ALD8">
        <v>3</v>
      </c>
      <c r="ALE8">
        <v>6</v>
      </c>
      <c r="ALF8">
        <v>9</v>
      </c>
      <c r="ALG8">
        <v>6</v>
      </c>
      <c r="ALH8">
        <v>3</v>
      </c>
      <c r="ALI8">
        <v>1</v>
      </c>
      <c r="ALJ8">
        <v>5</v>
      </c>
      <c r="ALK8">
        <v>9</v>
      </c>
      <c r="ALL8">
        <v>8</v>
      </c>
      <c r="ALM8">
        <v>7</v>
      </c>
    </row>
    <row r="9" spans="1:1001" ht="29.4" customHeight="1" x14ac:dyDescent="0.3">
      <c r="A9" s="1" t="s">
        <v>8</v>
      </c>
      <c r="B9">
        <v>480.58</v>
      </c>
      <c r="C9">
        <v>2093.35</v>
      </c>
      <c r="D9">
        <v>2332.84</v>
      </c>
      <c r="E9">
        <v>3805.41</v>
      </c>
      <c r="F9">
        <v>628.03</v>
      </c>
      <c r="G9">
        <v>4422.68</v>
      </c>
      <c r="H9">
        <v>1484.47</v>
      </c>
      <c r="I9">
        <v>4648.24</v>
      </c>
      <c r="J9">
        <v>4394.83</v>
      </c>
      <c r="K9">
        <v>1546.77</v>
      </c>
      <c r="L9">
        <v>366.27</v>
      </c>
      <c r="M9">
        <v>661.42</v>
      </c>
      <c r="N9">
        <v>2651.15</v>
      </c>
      <c r="O9">
        <v>659.48</v>
      </c>
      <c r="P9">
        <v>458.39</v>
      </c>
      <c r="Q9">
        <v>3052.59</v>
      </c>
      <c r="R9">
        <v>1340.89</v>
      </c>
      <c r="S9">
        <v>2794.82</v>
      </c>
      <c r="T9">
        <v>3113.54</v>
      </c>
      <c r="U9">
        <v>2355.56</v>
      </c>
      <c r="V9">
        <v>2779.01</v>
      </c>
      <c r="W9">
        <v>491.23</v>
      </c>
      <c r="X9">
        <v>1193.8399999999999</v>
      </c>
      <c r="Y9">
        <v>3655.85</v>
      </c>
      <c r="Z9">
        <v>1177.43</v>
      </c>
      <c r="AA9">
        <v>4955.28</v>
      </c>
      <c r="AB9">
        <v>2398.73</v>
      </c>
      <c r="AC9">
        <v>2986.63</v>
      </c>
      <c r="AD9">
        <v>1305.01</v>
      </c>
      <c r="AE9">
        <v>760.23</v>
      </c>
      <c r="AF9">
        <v>2766.61</v>
      </c>
      <c r="AG9">
        <v>975.26</v>
      </c>
      <c r="AH9">
        <v>1740.55</v>
      </c>
      <c r="AI9">
        <v>4199.2700000000004</v>
      </c>
      <c r="AJ9">
        <v>4618.7</v>
      </c>
      <c r="AK9">
        <v>444.36</v>
      </c>
      <c r="AL9">
        <v>3924.7</v>
      </c>
      <c r="AM9">
        <v>1348.4</v>
      </c>
      <c r="AN9">
        <v>2738.25</v>
      </c>
      <c r="AO9">
        <v>4091.24</v>
      </c>
      <c r="AP9">
        <v>1048.6199999999999</v>
      </c>
      <c r="AQ9">
        <v>2042.23</v>
      </c>
      <c r="AR9">
        <v>775.84</v>
      </c>
      <c r="AS9">
        <v>4033.33</v>
      </c>
      <c r="AT9">
        <v>1321.17</v>
      </c>
      <c r="AU9">
        <v>1532.11</v>
      </c>
      <c r="AV9">
        <v>1356.58</v>
      </c>
      <c r="AW9">
        <v>1060.1300000000001</v>
      </c>
      <c r="AX9">
        <v>4202.45</v>
      </c>
      <c r="AY9">
        <v>1049.47</v>
      </c>
      <c r="AZ9">
        <v>3333.38</v>
      </c>
      <c r="BA9">
        <v>932.64</v>
      </c>
      <c r="BB9">
        <v>4538.1400000000003</v>
      </c>
      <c r="BC9">
        <v>530.67999999999995</v>
      </c>
      <c r="BD9">
        <v>1916.03</v>
      </c>
      <c r="BE9">
        <v>992.18</v>
      </c>
      <c r="BF9">
        <v>1695.97</v>
      </c>
      <c r="BG9">
        <v>3756.8</v>
      </c>
      <c r="BH9">
        <v>4363.6000000000004</v>
      </c>
      <c r="BI9">
        <v>1082.56</v>
      </c>
      <c r="BJ9">
        <v>2587.8000000000002</v>
      </c>
      <c r="BK9">
        <v>2899.59</v>
      </c>
      <c r="BL9">
        <v>1561.74</v>
      </c>
      <c r="BM9">
        <v>1946.69</v>
      </c>
      <c r="BN9">
        <v>4576.2700000000004</v>
      </c>
      <c r="BO9">
        <v>1741.2</v>
      </c>
      <c r="BP9">
        <v>2102.9</v>
      </c>
      <c r="BQ9">
        <v>4315.68</v>
      </c>
      <c r="BR9">
        <v>3001.15</v>
      </c>
      <c r="BS9">
        <v>3077.12</v>
      </c>
      <c r="BT9">
        <v>4229.95</v>
      </c>
      <c r="BU9">
        <v>2387.37</v>
      </c>
      <c r="BV9">
        <v>2723.72</v>
      </c>
      <c r="BW9">
        <v>2062.73</v>
      </c>
      <c r="BX9">
        <v>2034.15</v>
      </c>
      <c r="BY9">
        <v>2786.95</v>
      </c>
      <c r="BZ9">
        <v>4062.77</v>
      </c>
      <c r="CA9">
        <v>4480.96</v>
      </c>
      <c r="CB9">
        <v>4516.93</v>
      </c>
      <c r="CC9">
        <v>2396.69</v>
      </c>
      <c r="CD9">
        <v>4935.47</v>
      </c>
      <c r="CE9">
        <v>2905.63</v>
      </c>
      <c r="CF9">
        <v>4209.08</v>
      </c>
      <c r="CG9">
        <v>3135.78</v>
      </c>
      <c r="CH9">
        <v>2389.71</v>
      </c>
      <c r="CI9">
        <v>1186.49</v>
      </c>
      <c r="CJ9">
        <v>3228.85</v>
      </c>
      <c r="CK9">
        <v>2703.43</v>
      </c>
      <c r="CL9">
        <v>4763.6099999999997</v>
      </c>
      <c r="CM9">
        <v>2248.81</v>
      </c>
      <c r="CN9">
        <v>423.09</v>
      </c>
      <c r="CO9">
        <v>2919.64</v>
      </c>
      <c r="CP9">
        <v>3390.71</v>
      </c>
      <c r="CQ9">
        <v>813.9</v>
      </c>
      <c r="CR9">
        <v>3245.79</v>
      </c>
      <c r="CS9">
        <v>3043.32</v>
      </c>
      <c r="CT9">
        <v>1694.51</v>
      </c>
      <c r="CU9">
        <v>2433.14</v>
      </c>
      <c r="CV9">
        <v>1442.96</v>
      </c>
      <c r="CW9">
        <v>1579.19</v>
      </c>
      <c r="CX9">
        <v>4761.93</v>
      </c>
      <c r="CY9">
        <v>3673.2</v>
      </c>
      <c r="CZ9">
        <v>1837.73</v>
      </c>
      <c r="DA9">
        <v>519.26</v>
      </c>
      <c r="DB9">
        <v>1772.75</v>
      </c>
      <c r="DC9">
        <v>2600.4699999999998</v>
      </c>
      <c r="DD9">
        <v>4710.95</v>
      </c>
      <c r="DE9">
        <v>4840.12</v>
      </c>
      <c r="DF9">
        <v>947.38</v>
      </c>
      <c r="DG9">
        <v>3273.22</v>
      </c>
      <c r="DH9">
        <v>528.77</v>
      </c>
      <c r="DI9">
        <v>2619.59</v>
      </c>
      <c r="DJ9">
        <v>2297.48</v>
      </c>
      <c r="DK9">
        <v>1322.78</v>
      </c>
      <c r="DL9">
        <v>2803.99</v>
      </c>
      <c r="DM9">
        <v>2071.4299999999998</v>
      </c>
      <c r="DN9">
        <v>4323.8900000000003</v>
      </c>
      <c r="DO9">
        <v>3507.73</v>
      </c>
      <c r="DP9">
        <v>3166.33</v>
      </c>
      <c r="DQ9">
        <v>3887.65</v>
      </c>
      <c r="DR9">
        <v>2009.42</v>
      </c>
      <c r="DS9">
        <v>2982.76</v>
      </c>
      <c r="DT9">
        <v>2231.7800000000002</v>
      </c>
      <c r="DU9">
        <v>1721.01</v>
      </c>
      <c r="DV9">
        <v>508.19</v>
      </c>
      <c r="DW9">
        <v>2986.64</v>
      </c>
      <c r="DX9">
        <v>3749.29</v>
      </c>
      <c r="DY9">
        <v>1243.31</v>
      </c>
      <c r="DZ9">
        <v>3184.64</v>
      </c>
      <c r="EA9">
        <v>4383.04</v>
      </c>
      <c r="EB9">
        <v>307.10000000000002</v>
      </c>
      <c r="EC9">
        <v>2047.19</v>
      </c>
      <c r="ED9">
        <v>478.46</v>
      </c>
      <c r="EE9">
        <v>3951.7</v>
      </c>
      <c r="EF9">
        <v>402.21</v>
      </c>
      <c r="EG9">
        <v>2319.4499999999998</v>
      </c>
      <c r="EH9">
        <v>428.8</v>
      </c>
      <c r="EI9">
        <v>3240.88</v>
      </c>
      <c r="EJ9">
        <v>3436.3</v>
      </c>
      <c r="EK9">
        <v>4438.9399999999996</v>
      </c>
      <c r="EL9">
        <v>3787.42</v>
      </c>
      <c r="EM9">
        <v>723.86</v>
      </c>
      <c r="EN9">
        <v>4537.49</v>
      </c>
      <c r="EO9">
        <v>4220.78</v>
      </c>
      <c r="EP9">
        <v>693.85</v>
      </c>
      <c r="EQ9">
        <v>4095.58</v>
      </c>
      <c r="ER9">
        <v>1396.59</v>
      </c>
      <c r="ES9">
        <v>3380.7</v>
      </c>
      <c r="ET9">
        <v>500.58</v>
      </c>
      <c r="EU9">
        <v>1824.33</v>
      </c>
      <c r="EV9">
        <v>2865.09</v>
      </c>
      <c r="EW9">
        <v>1750.68</v>
      </c>
      <c r="EX9">
        <v>3257.17</v>
      </c>
      <c r="EY9">
        <v>1773.23</v>
      </c>
      <c r="EZ9">
        <v>1298.78</v>
      </c>
      <c r="FA9">
        <v>777.39</v>
      </c>
      <c r="FB9">
        <v>3364.22</v>
      </c>
      <c r="FC9">
        <v>2611.36</v>
      </c>
      <c r="FD9">
        <v>406.26</v>
      </c>
      <c r="FE9">
        <v>3816.59</v>
      </c>
      <c r="FF9">
        <v>2326.98</v>
      </c>
      <c r="FG9">
        <v>810.39</v>
      </c>
      <c r="FH9">
        <v>1069.97</v>
      </c>
      <c r="FI9">
        <v>587.51</v>
      </c>
      <c r="FJ9">
        <v>1225.3800000000001</v>
      </c>
      <c r="FK9">
        <v>3895.84</v>
      </c>
      <c r="FL9">
        <v>4868.7700000000004</v>
      </c>
      <c r="FM9">
        <v>2547.15</v>
      </c>
      <c r="FN9">
        <v>2093.79</v>
      </c>
      <c r="FO9">
        <v>3919.71</v>
      </c>
      <c r="FP9">
        <v>430.53</v>
      </c>
      <c r="FQ9">
        <v>1355.63</v>
      </c>
      <c r="FR9">
        <v>1489.81</v>
      </c>
      <c r="FS9">
        <v>3274.41</v>
      </c>
      <c r="FT9">
        <v>2581.62</v>
      </c>
      <c r="FU9">
        <v>2852.48</v>
      </c>
      <c r="FV9">
        <v>3401.76</v>
      </c>
      <c r="FW9">
        <v>1812.8</v>
      </c>
      <c r="FX9">
        <v>3966.01</v>
      </c>
      <c r="FY9">
        <v>3080.66</v>
      </c>
      <c r="FZ9">
        <v>2593.34</v>
      </c>
      <c r="GA9">
        <v>3515.88</v>
      </c>
      <c r="GB9">
        <v>577.09</v>
      </c>
      <c r="GC9">
        <v>768.33</v>
      </c>
      <c r="GD9">
        <v>2183.48</v>
      </c>
      <c r="GE9">
        <v>329.99</v>
      </c>
      <c r="GF9">
        <v>3525.06</v>
      </c>
      <c r="GG9">
        <v>1699.38</v>
      </c>
      <c r="GH9">
        <v>2488.02</v>
      </c>
      <c r="GI9">
        <v>1881.58</v>
      </c>
      <c r="GJ9">
        <v>3915.83</v>
      </c>
      <c r="GK9">
        <v>3650.96</v>
      </c>
      <c r="GL9">
        <v>3348.83</v>
      </c>
      <c r="GM9">
        <v>1543.69</v>
      </c>
      <c r="GN9">
        <v>1297.98</v>
      </c>
      <c r="GO9">
        <v>2642.46</v>
      </c>
      <c r="GP9">
        <v>494.07</v>
      </c>
      <c r="GQ9">
        <v>4640.58</v>
      </c>
      <c r="GR9">
        <v>1657.37</v>
      </c>
      <c r="GS9">
        <v>2485.6999999999998</v>
      </c>
      <c r="GT9">
        <v>541.59</v>
      </c>
      <c r="GU9">
        <v>904.42</v>
      </c>
      <c r="GV9">
        <v>1730.65</v>
      </c>
      <c r="GW9">
        <v>2782.61</v>
      </c>
      <c r="GX9">
        <v>2761.98</v>
      </c>
      <c r="GY9">
        <v>428.91</v>
      </c>
      <c r="GZ9">
        <v>4934.3100000000004</v>
      </c>
      <c r="HA9">
        <v>1966</v>
      </c>
      <c r="HB9">
        <v>1871.9</v>
      </c>
      <c r="HC9">
        <v>4670.4399999999996</v>
      </c>
      <c r="HD9">
        <v>1610.86</v>
      </c>
      <c r="HE9">
        <v>3023.65</v>
      </c>
      <c r="HF9">
        <v>3156.97</v>
      </c>
      <c r="HG9">
        <v>666.78</v>
      </c>
      <c r="HH9">
        <v>3865.62</v>
      </c>
      <c r="HI9">
        <v>2735.49</v>
      </c>
      <c r="HJ9">
        <v>187.84</v>
      </c>
      <c r="HK9">
        <v>4580.76</v>
      </c>
      <c r="HL9">
        <v>2135.4899999999998</v>
      </c>
      <c r="HM9">
        <v>3036.92</v>
      </c>
      <c r="HN9">
        <v>4706.1899999999996</v>
      </c>
      <c r="HO9">
        <v>2886.45</v>
      </c>
      <c r="HP9">
        <v>2854.47</v>
      </c>
      <c r="HQ9">
        <v>264.85000000000002</v>
      </c>
      <c r="HR9">
        <v>4709.3900000000003</v>
      </c>
      <c r="HS9">
        <v>51.41</v>
      </c>
      <c r="HT9">
        <v>2559.4899999999998</v>
      </c>
      <c r="HU9">
        <v>4288.42</v>
      </c>
      <c r="HV9">
        <v>2355.16</v>
      </c>
      <c r="HW9">
        <v>2959.94</v>
      </c>
      <c r="HX9">
        <v>1027.28</v>
      </c>
      <c r="HY9">
        <v>1359.4</v>
      </c>
      <c r="HZ9">
        <v>4603.83</v>
      </c>
      <c r="IA9">
        <v>4649.7</v>
      </c>
      <c r="IB9">
        <v>704.65</v>
      </c>
      <c r="IC9">
        <v>2533.64</v>
      </c>
      <c r="ID9">
        <v>436.1</v>
      </c>
      <c r="IE9">
        <v>627.23</v>
      </c>
      <c r="IF9">
        <v>3805.12</v>
      </c>
      <c r="IG9">
        <v>4091.6</v>
      </c>
      <c r="IH9">
        <v>2163.2800000000002</v>
      </c>
      <c r="II9">
        <v>180.61</v>
      </c>
      <c r="IJ9">
        <v>1532.16</v>
      </c>
      <c r="IK9">
        <v>2799.89</v>
      </c>
      <c r="IL9">
        <v>3747.88</v>
      </c>
      <c r="IM9">
        <v>3454.16</v>
      </c>
      <c r="IN9">
        <v>1856.06</v>
      </c>
      <c r="IO9">
        <v>3503.3</v>
      </c>
      <c r="IP9">
        <v>2496.94</v>
      </c>
      <c r="IQ9">
        <v>4282.6400000000003</v>
      </c>
      <c r="IR9">
        <v>1925.24</v>
      </c>
      <c r="IS9">
        <v>1357.07</v>
      </c>
      <c r="IT9">
        <v>2076.96</v>
      </c>
      <c r="IU9">
        <v>4759.13</v>
      </c>
      <c r="IV9">
        <v>1711.18</v>
      </c>
      <c r="IW9">
        <v>593.64</v>
      </c>
      <c r="IX9">
        <v>4139.0200000000004</v>
      </c>
      <c r="IY9">
        <v>3728.57</v>
      </c>
      <c r="IZ9">
        <v>1306.17</v>
      </c>
      <c r="JA9">
        <v>4574.95</v>
      </c>
      <c r="JB9">
        <v>105.82</v>
      </c>
      <c r="JC9">
        <v>4615.93</v>
      </c>
      <c r="JD9">
        <v>3469.57</v>
      </c>
      <c r="JE9">
        <v>1098.1400000000001</v>
      </c>
      <c r="JF9">
        <v>1610.75</v>
      </c>
      <c r="JG9">
        <v>4954.99</v>
      </c>
      <c r="JH9">
        <v>401.52</v>
      </c>
      <c r="JI9">
        <v>3628.83</v>
      </c>
      <c r="JJ9">
        <v>1684.57</v>
      </c>
      <c r="JK9">
        <v>1481.54</v>
      </c>
      <c r="JL9">
        <v>4470.0200000000004</v>
      </c>
      <c r="JM9">
        <v>3746.07</v>
      </c>
      <c r="JN9">
        <v>51.08</v>
      </c>
      <c r="JO9">
        <v>4914.71</v>
      </c>
      <c r="JP9">
        <v>554.15</v>
      </c>
      <c r="JQ9">
        <v>3809.6</v>
      </c>
      <c r="JR9">
        <v>4976.0600000000004</v>
      </c>
      <c r="JS9">
        <v>1640.64</v>
      </c>
      <c r="JT9">
        <v>4341.32</v>
      </c>
      <c r="JU9">
        <v>1553.01</v>
      </c>
      <c r="JV9">
        <v>2962.81</v>
      </c>
      <c r="JW9">
        <v>2934.26</v>
      </c>
      <c r="JX9">
        <v>3425.97</v>
      </c>
      <c r="JY9">
        <v>1083.9000000000001</v>
      </c>
      <c r="JZ9">
        <v>588.19000000000005</v>
      </c>
      <c r="KA9">
        <v>535.13</v>
      </c>
      <c r="KB9">
        <v>2449.63</v>
      </c>
      <c r="KC9">
        <v>4367.42</v>
      </c>
      <c r="KD9">
        <v>3048.12</v>
      </c>
      <c r="KE9">
        <v>1747.65</v>
      </c>
      <c r="KF9">
        <v>2835.49</v>
      </c>
      <c r="KG9">
        <v>3412.98</v>
      </c>
      <c r="KH9">
        <v>769.68</v>
      </c>
      <c r="KI9">
        <v>4939.38</v>
      </c>
      <c r="KJ9">
        <v>2340.17</v>
      </c>
      <c r="KK9">
        <v>1218.0999999999999</v>
      </c>
      <c r="KL9">
        <v>490.64</v>
      </c>
      <c r="KM9">
        <v>4520.18</v>
      </c>
      <c r="KN9">
        <v>2394.79</v>
      </c>
      <c r="KO9">
        <v>4847.74</v>
      </c>
      <c r="KP9">
        <v>3276.61</v>
      </c>
      <c r="KQ9">
        <v>3446.15</v>
      </c>
      <c r="KR9">
        <v>3936.75</v>
      </c>
      <c r="KS9">
        <v>1734.71</v>
      </c>
      <c r="KT9">
        <v>1119.52</v>
      </c>
      <c r="KU9">
        <v>94.01</v>
      </c>
      <c r="KV9">
        <v>4412.05</v>
      </c>
      <c r="KW9">
        <v>1558.63</v>
      </c>
      <c r="KX9">
        <v>2916.86</v>
      </c>
      <c r="KY9">
        <v>3830.28</v>
      </c>
      <c r="KZ9">
        <v>859.49</v>
      </c>
      <c r="LA9">
        <v>4485.72</v>
      </c>
      <c r="LB9">
        <v>4521.1000000000004</v>
      </c>
      <c r="LC9">
        <v>3097.09</v>
      </c>
      <c r="LD9">
        <v>3588.03</v>
      </c>
      <c r="LE9">
        <v>4072.9</v>
      </c>
      <c r="LF9">
        <v>720.78</v>
      </c>
      <c r="LG9">
        <v>2978.02</v>
      </c>
      <c r="LH9">
        <v>948.16</v>
      </c>
      <c r="LI9">
        <v>917.82</v>
      </c>
      <c r="LJ9">
        <v>4951.47</v>
      </c>
      <c r="LK9">
        <v>397.41</v>
      </c>
      <c r="LL9">
        <v>4942.93</v>
      </c>
      <c r="LM9">
        <v>1675.07</v>
      </c>
      <c r="LN9">
        <v>4245.41</v>
      </c>
      <c r="LO9">
        <v>1266.4000000000001</v>
      </c>
      <c r="LP9">
        <v>2415.35</v>
      </c>
      <c r="LQ9">
        <v>4868.6000000000004</v>
      </c>
      <c r="LR9">
        <v>192.49</v>
      </c>
      <c r="LS9">
        <v>3085.5</v>
      </c>
      <c r="LT9">
        <v>3445.19</v>
      </c>
      <c r="LU9">
        <v>4729.24</v>
      </c>
      <c r="LV9">
        <v>3491.38</v>
      </c>
      <c r="LW9">
        <v>3056.54</v>
      </c>
      <c r="LX9">
        <v>1415.99</v>
      </c>
      <c r="LY9">
        <v>4243.46</v>
      </c>
      <c r="LZ9">
        <v>3841.22</v>
      </c>
      <c r="MA9">
        <v>2018.05</v>
      </c>
      <c r="MB9">
        <v>4321.1000000000004</v>
      </c>
      <c r="MC9">
        <v>4758.4799999999996</v>
      </c>
      <c r="MD9">
        <v>2295.27</v>
      </c>
      <c r="ME9">
        <v>991.92</v>
      </c>
      <c r="MF9">
        <v>4637.08</v>
      </c>
      <c r="MG9">
        <v>4424.0200000000004</v>
      </c>
      <c r="MH9">
        <v>3635.01</v>
      </c>
      <c r="MI9">
        <v>4992.3900000000003</v>
      </c>
      <c r="MJ9">
        <v>695.29</v>
      </c>
      <c r="MK9">
        <v>3229.42</v>
      </c>
      <c r="ML9">
        <v>2756.08</v>
      </c>
      <c r="MM9">
        <v>3295.98</v>
      </c>
      <c r="MN9">
        <v>4366.03</v>
      </c>
      <c r="MO9">
        <v>4596.51</v>
      </c>
      <c r="MP9">
        <v>3184.46</v>
      </c>
      <c r="MQ9">
        <v>377.6</v>
      </c>
      <c r="MR9">
        <v>663.92</v>
      </c>
      <c r="MS9">
        <v>522.48</v>
      </c>
      <c r="MT9">
        <v>4783.49</v>
      </c>
      <c r="MU9">
        <v>3502.78</v>
      </c>
      <c r="MV9">
        <v>1902.97</v>
      </c>
      <c r="MW9">
        <v>4990.53</v>
      </c>
      <c r="MX9">
        <v>2385.5100000000002</v>
      </c>
      <c r="MY9">
        <v>4318.12</v>
      </c>
      <c r="MZ9">
        <v>4217.55</v>
      </c>
      <c r="NA9">
        <v>2435.7199999999998</v>
      </c>
      <c r="NB9">
        <v>1010.66</v>
      </c>
      <c r="NC9">
        <v>1303.8800000000001</v>
      </c>
      <c r="ND9">
        <v>4809.37</v>
      </c>
      <c r="NE9">
        <v>308.82</v>
      </c>
      <c r="NF9">
        <v>4333.4399999999996</v>
      </c>
      <c r="NG9">
        <v>4676.76</v>
      </c>
      <c r="NH9">
        <v>3193.98</v>
      </c>
      <c r="NI9">
        <v>2840.09</v>
      </c>
      <c r="NJ9">
        <v>3264.99</v>
      </c>
      <c r="NK9">
        <v>3380.22</v>
      </c>
      <c r="NL9">
        <v>2131.0300000000002</v>
      </c>
      <c r="NM9">
        <v>2294.7600000000002</v>
      </c>
      <c r="NN9">
        <v>4526.37</v>
      </c>
      <c r="NO9">
        <v>3594.16</v>
      </c>
      <c r="NP9">
        <v>1698.19</v>
      </c>
      <c r="NQ9">
        <v>1188.8900000000001</v>
      </c>
      <c r="NR9">
        <v>1263.6400000000001</v>
      </c>
      <c r="NS9">
        <v>2499.44</v>
      </c>
      <c r="NT9">
        <v>687.98</v>
      </c>
      <c r="NU9">
        <v>3624.4</v>
      </c>
      <c r="NV9">
        <v>4056.97</v>
      </c>
      <c r="NW9">
        <v>3303.62</v>
      </c>
      <c r="NX9">
        <v>4131.21</v>
      </c>
      <c r="NY9">
        <v>3127.04</v>
      </c>
      <c r="NZ9">
        <v>3076.2</v>
      </c>
      <c r="OA9">
        <v>734.93</v>
      </c>
      <c r="OB9">
        <v>1718.38</v>
      </c>
      <c r="OC9">
        <v>2233.6799999999998</v>
      </c>
      <c r="OD9">
        <v>2395.7199999999998</v>
      </c>
      <c r="OE9">
        <v>1795.51</v>
      </c>
      <c r="OF9">
        <v>4117.1000000000004</v>
      </c>
      <c r="OG9">
        <v>3076.54</v>
      </c>
      <c r="OH9">
        <v>550.29999999999995</v>
      </c>
      <c r="OI9">
        <v>2959.8</v>
      </c>
      <c r="OJ9">
        <v>1668.35</v>
      </c>
      <c r="OK9">
        <v>4101.8599999999997</v>
      </c>
      <c r="OL9">
        <v>1821.37</v>
      </c>
      <c r="OM9">
        <v>3397.82</v>
      </c>
      <c r="ON9">
        <v>3558.96</v>
      </c>
      <c r="OO9">
        <v>3666.82</v>
      </c>
      <c r="OP9">
        <v>4575.6099999999997</v>
      </c>
      <c r="OQ9">
        <v>2143.35</v>
      </c>
      <c r="OR9">
        <v>4876.92</v>
      </c>
      <c r="OS9">
        <v>283.95999999999998</v>
      </c>
      <c r="OT9">
        <v>1462.68</v>
      </c>
      <c r="OU9">
        <v>2405.66</v>
      </c>
      <c r="OV9">
        <v>4547.2</v>
      </c>
      <c r="OW9">
        <v>988.09</v>
      </c>
      <c r="OX9">
        <v>2669.17</v>
      </c>
      <c r="OY9">
        <v>2574.2600000000002</v>
      </c>
      <c r="OZ9">
        <v>4495.6400000000003</v>
      </c>
      <c r="PA9">
        <v>4319.09</v>
      </c>
      <c r="PB9">
        <v>2671.86</v>
      </c>
      <c r="PC9">
        <v>2209.3200000000002</v>
      </c>
      <c r="PD9">
        <v>1119.47</v>
      </c>
      <c r="PE9">
        <v>286.33</v>
      </c>
      <c r="PF9">
        <v>2533.67</v>
      </c>
      <c r="PG9">
        <v>73.38</v>
      </c>
      <c r="PH9">
        <v>4785.2299999999996</v>
      </c>
      <c r="PI9">
        <v>3336.33</v>
      </c>
      <c r="PJ9">
        <v>1274.6199999999999</v>
      </c>
      <c r="PK9">
        <v>1773.98</v>
      </c>
      <c r="PL9">
        <v>2754.84</v>
      </c>
      <c r="PM9">
        <v>241.34</v>
      </c>
      <c r="PN9">
        <v>3299.52</v>
      </c>
      <c r="PO9">
        <v>2700.49</v>
      </c>
      <c r="PP9">
        <v>3363.51</v>
      </c>
      <c r="PQ9">
        <v>534.19000000000005</v>
      </c>
      <c r="PR9">
        <v>383.34</v>
      </c>
      <c r="PS9">
        <v>2801.91</v>
      </c>
      <c r="PT9">
        <v>4414.62</v>
      </c>
      <c r="PU9">
        <v>2399.8000000000002</v>
      </c>
      <c r="PV9">
        <v>3427.73</v>
      </c>
      <c r="PW9">
        <v>3499.97</v>
      </c>
      <c r="PX9">
        <v>477.03</v>
      </c>
      <c r="PY9">
        <v>4227.1000000000004</v>
      </c>
      <c r="PZ9">
        <v>243.28</v>
      </c>
      <c r="QA9">
        <v>4864.8</v>
      </c>
      <c r="QB9">
        <v>2111.5700000000002</v>
      </c>
      <c r="QC9">
        <v>1766.55</v>
      </c>
      <c r="QD9">
        <v>2698.08</v>
      </c>
      <c r="QE9">
        <v>132.38999999999999</v>
      </c>
      <c r="QF9">
        <v>2243.44</v>
      </c>
      <c r="QG9">
        <v>2145.73</v>
      </c>
      <c r="QH9">
        <v>1916.87</v>
      </c>
      <c r="QI9">
        <v>3596.52</v>
      </c>
      <c r="QJ9">
        <v>634.72</v>
      </c>
      <c r="QK9">
        <v>4622</v>
      </c>
      <c r="QL9">
        <v>3568.02</v>
      </c>
      <c r="QM9">
        <v>577.44000000000005</v>
      </c>
      <c r="QN9">
        <v>774.78</v>
      </c>
      <c r="QO9">
        <v>2139.63</v>
      </c>
      <c r="QP9">
        <v>3573.71</v>
      </c>
      <c r="QQ9">
        <v>1894.23</v>
      </c>
      <c r="QR9">
        <v>706.26</v>
      </c>
      <c r="QS9">
        <v>3748.68</v>
      </c>
      <c r="QT9">
        <v>1000.84</v>
      </c>
      <c r="QU9">
        <v>1702.55</v>
      </c>
      <c r="QV9">
        <v>2950.35</v>
      </c>
      <c r="QW9">
        <v>3240.7</v>
      </c>
      <c r="QX9">
        <v>4717.29</v>
      </c>
      <c r="QY9">
        <v>3136.63</v>
      </c>
      <c r="QZ9">
        <v>4084.87</v>
      </c>
      <c r="RA9">
        <v>1687.77</v>
      </c>
      <c r="RB9">
        <v>4385.3100000000004</v>
      </c>
      <c r="RC9">
        <v>3444.01</v>
      </c>
      <c r="RD9">
        <v>742.79</v>
      </c>
      <c r="RE9">
        <v>1157.97</v>
      </c>
      <c r="RF9">
        <v>4628.12</v>
      </c>
      <c r="RG9">
        <v>3076.48</v>
      </c>
      <c r="RH9">
        <v>2093.71</v>
      </c>
      <c r="RI9">
        <v>3336.71</v>
      </c>
      <c r="RJ9">
        <v>3364.79</v>
      </c>
      <c r="RK9">
        <v>502.97</v>
      </c>
      <c r="RL9">
        <v>3192.93</v>
      </c>
      <c r="RM9">
        <v>3064.77</v>
      </c>
      <c r="RN9">
        <v>4756.04</v>
      </c>
      <c r="RO9">
        <v>2464.8200000000002</v>
      </c>
      <c r="RP9">
        <v>4877</v>
      </c>
      <c r="RQ9">
        <v>4704.59</v>
      </c>
      <c r="RR9">
        <v>2749.52</v>
      </c>
      <c r="RS9">
        <v>3107.74</v>
      </c>
      <c r="RT9">
        <v>3160.56</v>
      </c>
      <c r="RU9">
        <v>2044.27</v>
      </c>
      <c r="RV9">
        <v>227.31</v>
      </c>
      <c r="RW9">
        <v>4358.6499999999996</v>
      </c>
      <c r="RX9">
        <v>4723.6000000000004</v>
      </c>
      <c r="RY9">
        <v>59.46</v>
      </c>
      <c r="RZ9">
        <v>1432</v>
      </c>
      <c r="SA9">
        <v>3541.03</v>
      </c>
      <c r="SB9">
        <v>3846.21</v>
      </c>
      <c r="SC9">
        <v>2046.44</v>
      </c>
      <c r="SD9">
        <v>1459.37</v>
      </c>
      <c r="SE9">
        <v>3736.59</v>
      </c>
      <c r="SF9">
        <v>3518.42</v>
      </c>
      <c r="SG9">
        <v>1520.49</v>
      </c>
      <c r="SH9">
        <v>3902.52</v>
      </c>
      <c r="SI9">
        <v>1055.67</v>
      </c>
      <c r="SJ9">
        <v>2948.72</v>
      </c>
      <c r="SK9">
        <v>1813.99</v>
      </c>
      <c r="SL9">
        <v>4530.5</v>
      </c>
      <c r="SM9">
        <v>3993.7</v>
      </c>
      <c r="SN9">
        <v>2550.66</v>
      </c>
      <c r="SO9">
        <v>3044.36</v>
      </c>
      <c r="SP9">
        <v>3425.99</v>
      </c>
      <c r="SQ9">
        <v>3994.16</v>
      </c>
      <c r="SR9">
        <v>1538.94</v>
      </c>
      <c r="SS9">
        <v>2769.13</v>
      </c>
      <c r="ST9">
        <v>4061.86</v>
      </c>
      <c r="SU9">
        <v>4327.68</v>
      </c>
      <c r="SV9">
        <v>3333.94</v>
      </c>
      <c r="SW9">
        <v>4366.91</v>
      </c>
      <c r="SX9">
        <v>2022.93</v>
      </c>
      <c r="SY9">
        <v>331.75</v>
      </c>
      <c r="SZ9">
        <v>663.22</v>
      </c>
      <c r="TA9">
        <v>2432.7600000000002</v>
      </c>
      <c r="TB9">
        <v>335.47</v>
      </c>
      <c r="TC9">
        <v>2892.33</v>
      </c>
      <c r="TD9">
        <v>304.11</v>
      </c>
      <c r="TE9">
        <v>1375.02</v>
      </c>
      <c r="TF9">
        <v>231.36</v>
      </c>
      <c r="TG9">
        <v>1637.55</v>
      </c>
      <c r="TH9">
        <v>2682.39</v>
      </c>
      <c r="TI9">
        <v>374.6</v>
      </c>
      <c r="TJ9">
        <v>3731.51</v>
      </c>
      <c r="TK9">
        <v>3449.88</v>
      </c>
      <c r="TL9">
        <v>1670.81</v>
      </c>
      <c r="TM9">
        <v>1326.61</v>
      </c>
      <c r="TN9">
        <v>3453.86</v>
      </c>
      <c r="TO9">
        <v>2321.89</v>
      </c>
      <c r="TP9">
        <v>4873.62</v>
      </c>
      <c r="TQ9">
        <v>2793.6</v>
      </c>
      <c r="TR9">
        <v>1793.13</v>
      </c>
      <c r="TS9">
        <v>1305.54</v>
      </c>
      <c r="TT9">
        <v>3236.32</v>
      </c>
      <c r="TU9">
        <v>4223.6400000000003</v>
      </c>
      <c r="TV9">
        <v>1307.9000000000001</v>
      </c>
      <c r="TW9">
        <v>4139.93</v>
      </c>
      <c r="TX9">
        <v>4898.0200000000004</v>
      </c>
      <c r="TY9">
        <v>4274.68</v>
      </c>
      <c r="TZ9">
        <v>4228.76</v>
      </c>
      <c r="UA9">
        <v>4189.97</v>
      </c>
      <c r="UB9">
        <v>1663.21</v>
      </c>
      <c r="UC9">
        <v>2203.7199999999998</v>
      </c>
      <c r="UD9">
        <v>2417.8000000000002</v>
      </c>
      <c r="UE9">
        <v>4403.62</v>
      </c>
      <c r="UF9">
        <v>1670.89</v>
      </c>
      <c r="UG9">
        <v>128.51</v>
      </c>
      <c r="UH9">
        <v>1150.4100000000001</v>
      </c>
      <c r="UI9">
        <v>4731.78</v>
      </c>
      <c r="UJ9">
        <v>63.05</v>
      </c>
      <c r="UK9">
        <v>415.49</v>
      </c>
      <c r="UL9">
        <v>3489.83</v>
      </c>
      <c r="UM9">
        <v>2640.62</v>
      </c>
      <c r="UN9">
        <v>4228.5200000000004</v>
      </c>
      <c r="UO9">
        <v>4954.91</v>
      </c>
      <c r="UP9">
        <v>3342.11</v>
      </c>
      <c r="UQ9">
        <v>3913.71</v>
      </c>
      <c r="UR9">
        <v>1789.86</v>
      </c>
      <c r="US9">
        <v>4907.4799999999996</v>
      </c>
      <c r="UT9">
        <v>2335.91</v>
      </c>
      <c r="UU9">
        <v>3284.06</v>
      </c>
      <c r="UV9">
        <v>1001.59</v>
      </c>
      <c r="UW9">
        <v>459.88</v>
      </c>
      <c r="UX9">
        <v>3298.13</v>
      </c>
      <c r="UY9">
        <v>1557.42</v>
      </c>
      <c r="UZ9">
        <v>4948.2299999999996</v>
      </c>
      <c r="VA9">
        <v>2318.52</v>
      </c>
      <c r="VB9">
        <v>2482.0500000000002</v>
      </c>
      <c r="VC9">
        <v>1322.5</v>
      </c>
      <c r="VD9">
        <v>508.92</v>
      </c>
      <c r="VE9">
        <v>601.52</v>
      </c>
      <c r="VF9">
        <v>3793.29</v>
      </c>
      <c r="VG9">
        <v>764.73</v>
      </c>
      <c r="VH9">
        <v>768.13</v>
      </c>
      <c r="VI9">
        <v>432.65</v>
      </c>
      <c r="VJ9">
        <v>3236.07</v>
      </c>
      <c r="VK9">
        <v>2233.44</v>
      </c>
      <c r="VL9">
        <v>4201.3900000000003</v>
      </c>
      <c r="VM9">
        <v>1442.54</v>
      </c>
      <c r="VN9">
        <v>2248.9</v>
      </c>
      <c r="VO9">
        <v>4009.63</v>
      </c>
      <c r="VP9">
        <v>3540.95</v>
      </c>
      <c r="VQ9">
        <v>4991.34</v>
      </c>
      <c r="VR9">
        <v>225.82</v>
      </c>
      <c r="VS9">
        <v>674.83</v>
      </c>
      <c r="VT9">
        <v>1965.45</v>
      </c>
      <c r="VU9">
        <v>2799.44</v>
      </c>
      <c r="VV9">
        <v>4481.07</v>
      </c>
      <c r="VW9">
        <v>1775.18</v>
      </c>
      <c r="VX9">
        <v>4546.79</v>
      </c>
      <c r="VY9">
        <v>96.88</v>
      </c>
      <c r="VZ9">
        <v>411.13</v>
      </c>
      <c r="WA9">
        <v>1082.58</v>
      </c>
      <c r="WB9">
        <v>2302.7800000000002</v>
      </c>
      <c r="WC9">
        <v>2360.7399999999998</v>
      </c>
      <c r="WD9">
        <v>482.15</v>
      </c>
      <c r="WE9">
        <v>2960.56</v>
      </c>
      <c r="WF9">
        <v>1466.18</v>
      </c>
      <c r="WG9">
        <v>4625.57</v>
      </c>
      <c r="WH9">
        <v>4944.78</v>
      </c>
      <c r="WI9">
        <v>2286.73</v>
      </c>
      <c r="WJ9">
        <v>2717.08</v>
      </c>
      <c r="WK9">
        <v>4101.21</v>
      </c>
      <c r="WL9">
        <v>2246.2399999999998</v>
      </c>
      <c r="WM9">
        <v>3012.51</v>
      </c>
      <c r="WN9">
        <v>4806.1099999999997</v>
      </c>
      <c r="WO9">
        <v>3139.3</v>
      </c>
      <c r="WP9">
        <v>1769.1</v>
      </c>
      <c r="WQ9">
        <v>4679.6400000000003</v>
      </c>
      <c r="WR9">
        <v>1577.83</v>
      </c>
      <c r="WS9">
        <v>4856.55</v>
      </c>
      <c r="WT9">
        <v>326.76</v>
      </c>
      <c r="WU9">
        <v>3608.33</v>
      </c>
      <c r="WV9">
        <v>1808.81</v>
      </c>
      <c r="WW9">
        <v>4509.7299999999996</v>
      </c>
      <c r="WX9">
        <v>575.73</v>
      </c>
      <c r="WY9">
        <v>319.48</v>
      </c>
      <c r="WZ9">
        <v>1313.82</v>
      </c>
      <c r="XA9">
        <v>2064.23</v>
      </c>
      <c r="XB9">
        <v>2987.49</v>
      </c>
      <c r="XC9">
        <v>4437.09</v>
      </c>
      <c r="XD9">
        <v>3127.87</v>
      </c>
      <c r="XE9">
        <v>1085.8599999999999</v>
      </c>
      <c r="XF9">
        <v>121.4</v>
      </c>
      <c r="XG9">
        <v>4587.28</v>
      </c>
      <c r="XH9">
        <v>2787.13</v>
      </c>
      <c r="XI9">
        <v>2497.66</v>
      </c>
      <c r="XJ9">
        <v>1277.0999999999999</v>
      </c>
      <c r="XK9">
        <v>3845.26</v>
      </c>
      <c r="XL9">
        <v>1135.18</v>
      </c>
      <c r="XM9">
        <v>3532.4</v>
      </c>
      <c r="XN9">
        <v>1855.23</v>
      </c>
      <c r="XO9">
        <v>251.31</v>
      </c>
      <c r="XP9">
        <v>1150.77</v>
      </c>
      <c r="XQ9">
        <v>2389.46</v>
      </c>
      <c r="XR9">
        <v>3780.24</v>
      </c>
      <c r="XS9">
        <v>93.8</v>
      </c>
      <c r="XT9">
        <v>3493.53</v>
      </c>
      <c r="XU9">
        <v>99.65</v>
      </c>
      <c r="XV9">
        <v>1802.73</v>
      </c>
      <c r="XW9">
        <v>1439.52</v>
      </c>
      <c r="XX9">
        <v>2321.86</v>
      </c>
      <c r="XY9">
        <v>4593.24</v>
      </c>
      <c r="XZ9">
        <v>1161.94</v>
      </c>
      <c r="YA9">
        <v>1384.08</v>
      </c>
      <c r="YB9">
        <v>1837.24</v>
      </c>
      <c r="YC9">
        <v>402.75</v>
      </c>
      <c r="YD9">
        <v>519.07000000000005</v>
      </c>
      <c r="YE9">
        <v>4590.4399999999996</v>
      </c>
      <c r="YF9">
        <v>1623.92</v>
      </c>
      <c r="YG9">
        <v>4866.49</v>
      </c>
      <c r="YH9">
        <v>4246.4799999999996</v>
      </c>
      <c r="YI9">
        <v>750.94</v>
      </c>
      <c r="YJ9">
        <v>4661.74</v>
      </c>
      <c r="YK9">
        <v>3228.73</v>
      </c>
      <c r="YL9">
        <v>2766.06</v>
      </c>
      <c r="YM9">
        <v>3943.61</v>
      </c>
      <c r="YN9">
        <v>3753.16</v>
      </c>
      <c r="YO9">
        <v>881.13</v>
      </c>
      <c r="YP9">
        <v>3083.24</v>
      </c>
      <c r="YQ9">
        <v>4504.3900000000003</v>
      </c>
      <c r="YR9">
        <v>1621.84</v>
      </c>
      <c r="YS9">
        <v>4744.16</v>
      </c>
      <c r="YT9">
        <v>2481.29</v>
      </c>
      <c r="YU9">
        <v>3106.82</v>
      </c>
      <c r="YV9">
        <v>508.65</v>
      </c>
      <c r="YW9">
        <v>4483.7700000000004</v>
      </c>
      <c r="YX9">
        <v>2215.8000000000002</v>
      </c>
      <c r="YY9">
        <v>2371.77</v>
      </c>
      <c r="YZ9">
        <v>4886.3900000000003</v>
      </c>
      <c r="ZA9">
        <v>1694.65</v>
      </c>
      <c r="ZB9">
        <v>2443.36</v>
      </c>
      <c r="ZC9">
        <v>4844.83</v>
      </c>
      <c r="ZD9">
        <v>2966.59</v>
      </c>
      <c r="ZE9">
        <v>4039.44</v>
      </c>
      <c r="ZF9">
        <v>92.56</v>
      </c>
      <c r="ZG9">
        <v>2107.4899999999998</v>
      </c>
      <c r="ZH9">
        <v>2017.17</v>
      </c>
      <c r="ZI9">
        <v>2142</v>
      </c>
      <c r="ZJ9">
        <v>3901.42</v>
      </c>
      <c r="ZK9">
        <v>3617.24</v>
      </c>
      <c r="ZL9">
        <v>2826.56</v>
      </c>
      <c r="ZM9">
        <v>315.27</v>
      </c>
      <c r="ZN9">
        <v>83.39</v>
      </c>
      <c r="ZO9">
        <v>1043.33</v>
      </c>
      <c r="ZP9">
        <v>1464.23</v>
      </c>
      <c r="ZQ9">
        <v>4911.74</v>
      </c>
      <c r="ZR9">
        <v>1115.46</v>
      </c>
      <c r="ZS9">
        <v>278.32</v>
      </c>
      <c r="ZT9">
        <v>3636.99</v>
      </c>
      <c r="ZU9">
        <v>3801.49</v>
      </c>
      <c r="ZV9">
        <v>1810.63</v>
      </c>
      <c r="ZW9">
        <v>450.82</v>
      </c>
      <c r="ZX9">
        <v>2436.34</v>
      </c>
      <c r="ZY9">
        <v>358.73</v>
      </c>
      <c r="ZZ9">
        <v>2634.87</v>
      </c>
      <c r="AAA9">
        <v>252.82</v>
      </c>
      <c r="AAB9">
        <v>2502.09</v>
      </c>
      <c r="AAC9">
        <v>2955.64</v>
      </c>
      <c r="AAD9">
        <v>91.49</v>
      </c>
      <c r="AAE9">
        <v>3019.98</v>
      </c>
      <c r="AAF9">
        <v>4189.9399999999996</v>
      </c>
      <c r="AAG9">
        <v>4673.88</v>
      </c>
      <c r="AAH9">
        <v>3265.69</v>
      </c>
      <c r="AAI9">
        <v>4882.41</v>
      </c>
      <c r="AAJ9">
        <v>3010.19</v>
      </c>
      <c r="AAK9">
        <v>2842.23</v>
      </c>
      <c r="AAL9">
        <v>4209.71</v>
      </c>
      <c r="AAM9">
        <v>4423.3</v>
      </c>
      <c r="AAN9">
        <v>2504.91</v>
      </c>
      <c r="AAO9">
        <v>2000.14</v>
      </c>
      <c r="AAP9">
        <v>1910.14</v>
      </c>
      <c r="AAQ9">
        <v>4745.17</v>
      </c>
      <c r="AAR9">
        <v>1810.14</v>
      </c>
      <c r="AAS9">
        <v>1003.76</v>
      </c>
      <c r="AAT9">
        <v>3254.3</v>
      </c>
      <c r="AAU9">
        <v>1856.78</v>
      </c>
      <c r="AAV9">
        <v>3585.51</v>
      </c>
      <c r="AAW9">
        <v>2279.5700000000002</v>
      </c>
      <c r="AAX9">
        <v>3102.21</v>
      </c>
      <c r="AAY9">
        <v>2087.62</v>
      </c>
      <c r="AAZ9">
        <v>1539.74</v>
      </c>
      <c r="ABA9">
        <v>2781.67</v>
      </c>
      <c r="ABB9">
        <v>495.99</v>
      </c>
      <c r="ABC9">
        <v>721.83</v>
      </c>
      <c r="ABD9">
        <v>1872.05</v>
      </c>
      <c r="ABE9">
        <v>3075.67</v>
      </c>
      <c r="ABF9">
        <v>1322.77</v>
      </c>
      <c r="ABG9">
        <v>2017.54</v>
      </c>
      <c r="ABH9">
        <v>1381.8</v>
      </c>
      <c r="ABI9">
        <v>456.66</v>
      </c>
      <c r="ABJ9">
        <v>3398.38</v>
      </c>
      <c r="ABK9">
        <v>4801.51</v>
      </c>
      <c r="ABL9">
        <v>1701.75</v>
      </c>
      <c r="ABM9">
        <v>3354.17</v>
      </c>
      <c r="ABN9">
        <v>600.38</v>
      </c>
      <c r="ABO9">
        <v>4800.29</v>
      </c>
      <c r="ABP9">
        <v>3799.57</v>
      </c>
      <c r="ABQ9">
        <v>1247.8800000000001</v>
      </c>
      <c r="ABR9">
        <v>2260.23</v>
      </c>
      <c r="ABS9">
        <v>2507.15</v>
      </c>
      <c r="ABT9">
        <v>4540.74</v>
      </c>
      <c r="ABU9">
        <v>1347.5</v>
      </c>
      <c r="ABV9">
        <v>281.98</v>
      </c>
      <c r="ABW9">
        <v>4714.3500000000004</v>
      </c>
      <c r="ABX9">
        <v>4422.17</v>
      </c>
      <c r="ABY9">
        <v>2863.94</v>
      </c>
      <c r="ABZ9">
        <v>2952.11</v>
      </c>
      <c r="ACA9">
        <v>691.21</v>
      </c>
      <c r="ACB9">
        <v>219.08</v>
      </c>
      <c r="ACC9">
        <v>3102.53</v>
      </c>
      <c r="ACD9">
        <v>3217.61</v>
      </c>
      <c r="ACE9">
        <v>534.67999999999995</v>
      </c>
      <c r="ACF9">
        <v>1498.96</v>
      </c>
      <c r="ACG9">
        <v>3323.9</v>
      </c>
      <c r="ACH9">
        <v>1198.3800000000001</v>
      </c>
      <c r="ACI9">
        <v>784.72</v>
      </c>
      <c r="ACJ9">
        <v>806.57</v>
      </c>
      <c r="ACK9">
        <v>4524.3500000000004</v>
      </c>
      <c r="ACL9">
        <v>1779.25</v>
      </c>
      <c r="ACM9">
        <v>1744.65</v>
      </c>
      <c r="ACN9">
        <v>4700.8599999999997</v>
      </c>
      <c r="ACO9">
        <v>1661.76</v>
      </c>
      <c r="ACP9">
        <v>1906.86</v>
      </c>
      <c r="ACQ9">
        <v>986.24</v>
      </c>
      <c r="ACR9">
        <v>4495.92</v>
      </c>
      <c r="ACS9">
        <v>1905.34</v>
      </c>
      <c r="ACT9">
        <v>3453.38</v>
      </c>
      <c r="ACU9">
        <v>3845.89</v>
      </c>
      <c r="ACV9">
        <v>3516.95</v>
      </c>
      <c r="ACW9">
        <v>2439.08</v>
      </c>
      <c r="ACX9">
        <v>1376.17</v>
      </c>
      <c r="ACY9">
        <v>3260.82</v>
      </c>
      <c r="ACZ9">
        <v>2818.61</v>
      </c>
      <c r="ADA9">
        <v>462.48</v>
      </c>
      <c r="ADB9">
        <v>369.48</v>
      </c>
      <c r="ADC9">
        <v>4817.51</v>
      </c>
      <c r="ADD9">
        <v>4387.54</v>
      </c>
      <c r="ADE9">
        <v>2367.65</v>
      </c>
      <c r="ADF9">
        <v>1947.55</v>
      </c>
      <c r="ADG9">
        <v>4304.1000000000004</v>
      </c>
      <c r="ADH9">
        <v>1913.93</v>
      </c>
      <c r="ADI9">
        <v>868.12</v>
      </c>
      <c r="ADJ9">
        <v>3731.49</v>
      </c>
      <c r="ADK9">
        <v>2304.06</v>
      </c>
      <c r="ADL9">
        <v>336.46</v>
      </c>
      <c r="ADM9">
        <v>4532.24</v>
      </c>
      <c r="ADN9">
        <v>1358.68</v>
      </c>
      <c r="ADO9">
        <v>4119.12</v>
      </c>
      <c r="ADP9">
        <v>3458.95</v>
      </c>
      <c r="ADQ9">
        <v>535.25</v>
      </c>
      <c r="ADR9">
        <v>2732.19</v>
      </c>
      <c r="ADS9">
        <v>1541.32</v>
      </c>
      <c r="ADT9">
        <v>3561.44</v>
      </c>
      <c r="ADU9">
        <v>1781.38</v>
      </c>
      <c r="ADV9">
        <v>224.14</v>
      </c>
      <c r="ADW9">
        <v>646.64</v>
      </c>
      <c r="ADX9">
        <v>2247.13</v>
      </c>
      <c r="ADY9">
        <v>1721.27</v>
      </c>
      <c r="ADZ9">
        <v>390.61</v>
      </c>
      <c r="AEA9">
        <v>4442.3500000000004</v>
      </c>
      <c r="AEB9">
        <v>1783.6</v>
      </c>
      <c r="AEC9">
        <v>1677.72</v>
      </c>
      <c r="AED9">
        <v>487.8</v>
      </c>
      <c r="AEE9">
        <v>4341.3500000000004</v>
      </c>
      <c r="AEF9">
        <v>4513.88</v>
      </c>
      <c r="AEG9">
        <v>4064</v>
      </c>
      <c r="AEH9">
        <v>690.4</v>
      </c>
      <c r="AEI9">
        <v>3628.25</v>
      </c>
      <c r="AEJ9">
        <v>354.72</v>
      </c>
      <c r="AEK9">
        <v>3966.62</v>
      </c>
      <c r="AEL9">
        <v>3418.97</v>
      </c>
      <c r="AEM9">
        <v>965.89</v>
      </c>
      <c r="AEN9">
        <v>1753.58</v>
      </c>
      <c r="AEO9">
        <v>4622.6499999999996</v>
      </c>
      <c r="AEP9">
        <v>2583.02</v>
      </c>
      <c r="AEQ9">
        <v>2756.33</v>
      </c>
      <c r="AER9">
        <v>932.6</v>
      </c>
      <c r="AES9">
        <v>664.82</v>
      </c>
      <c r="AET9">
        <v>4872.67</v>
      </c>
      <c r="AEU9">
        <v>621</v>
      </c>
      <c r="AEV9">
        <v>3388.81</v>
      </c>
      <c r="AEW9">
        <v>2349.42</v>
      </c>
      <c r="AEX9">
        <v>819.16</v>
      </c>
      <c r="AEY9">
        <v>2999.74</v>
      </c>
      <c r="AEZ9">
        <v>3353.22</v>
      </c>
      <c r="AFA9">
        <v>4309.3999999999996</v>
      </c>
      <c r="AFB9">
        <v>4359.1899999999996</v>
      </c>
      <c r="AFC9">
        <v>2077.02</v>
      </c>
      <c r="AFD9">
        <v>2615.48</v>
      </c>
      <c r="AFE9">
        <v>4254.71</v>
      </c>
      <c r="AFF9">
        <v>2028.6</v>
      </c>
      <c r="AFG9">
        <v>2187.27</v>
      </c>
      <c r="AFH9">
        <v>943.37</v>
      </c>
      <c r="AFI9">
        <v>1750.03</v>
      </c>
      <c r="AFJ9">
        <v>4185.99</v>
      </c>
      <c r="AFK9">
        <v>4018.37</v>
      </c>
      <c r="AFL9">
        <v>1406.18</v>
      </c>
      <c r="AFM9">
        <v>3034.68</v>
      </c>
      <c r="AFN9">
        <v>4039.15</v>
      </c>
      <c r="AFO9">
        <v>1679.17</v>
      </c>
      <c r="AFP9">
        <v>3413.23</v>
      </c>
      <c r="AFQ9">
        <v>645.19000000000005</v>
      </c>
      <c r="AFR9">
        <v>1669.81</v>
      </c>
      <c r="AFS9">
        <v>4137.8</v>
      </c>
      <c r="AFT9">
        <v>4067.74</v>
      </c>
      <c r="AFU9">
        <v>1761.33</v>
      </c>
      <c r="AFV9">
        <v>2112.69</v>
      </c>
      <c r="AFW9">
        <v>2685.71</v>
      </c>
      <c r="AFX9">
        <v>3379.38</v>
      </c>
      <c r="AFY9">
        <v>2455.94</v>
      </c>
      <c r="AFZ9">
        <v>169.44</v>
      </c>
      <c r="AGA9">
        <v>2525.38</v>
      </c>
      <c r="AGB9">
        <v>3564.39</v>
      </c>
      <c r="AGC9">
        <v>487.8</v>
      </c>
      <c r="AGD9">
        <v>301.35000000000002</v>
      </c>
      <c r="AGE9">
        <v>2294.81</v>
      </c>
      <c r="AGF9">
        <v>2754.08</v>
      </c>
      <c r="AGG9">
        <v>3832.51</v>
      </c>
      <c r="AGH9">
        <v>4737.3500000000004</v>
      </c>
      <c r="AGI9">
        <v>4153.57</v>
      </c>
      <c r="AGJ9">
        <v>594.88</v>
      </c>
      <c r="AGK9">
        <v>3761.64</v>
      </c>
      <c r="AGL9">
        <v>383.38</v>
      </c>
      <c r="AGM9">
        <v>4621.08</v>
      </c>
      <c r="AGN9">
        <v>2593.41</v>
      </c>
      <c r="AGO9">
        <v>3903.05</v>
      </c>
      <c r="AGP9">
        <v>4643.03</v>
      </c>
      <c r="AGQ9">
        <v>2234.13</v>
      </c>
      <c r="AGR9">
        <v>3650.8</v>
      </c>
      <c r="AGS9">
        <v>4430.51</v>
      </c>
      <c r="AGT9">
        <v>1650.39</v>
      </c>
      <c r="AGU9">
        <v>2419.11</v>
      </c>
      <c r="AGV9">
        <v>121.14</v>
      </c>
      <c r="AGW9">
        <v>1999.74</v>
      </c>
      <c r="AGX9">
        <v>2373.44</v>
      </c>
      <c r="AGY9">
        <v>2511.46</v>
      </c>
      <c r="AGZ9">
        <v>494.23</v>
      </c>
      <c r="AHA9">
        <v>1500.27</v>
      </c>
      <c r="AHB9">
        <v>2573.8000000000002</v>
      </c>
      <c r="AHC9">
        <v>1895.85</v>
      </c>
      <c r="AHD9">
        <v>2082.17</v>
      </c>
      <c r="AHE9">
        <v>4431.1899999999996</v>
      </c>
      <c r="AHF9">
        <v>2982.89</v>
      </c>
      <c r="AHG9">
        <v>888.28</v>
      </c>
      <c r="AHH9">
        <v>4075.83</v>
      </c>
      <c r="AHI9">
        <v>643.28</v>
      </c>
      <c r="AHJ9">
        <v>1259.29</v>
      </c>
      <c r="AHK9">
        <v>1375.47</v>
      </c>
      <c r="AHL9">
        <v>1412.93</v>
      </c>
      <c r="AHM9">
        <v>1865.32</v>
      </c>
      <c r="AHN9">
        <v>2257.69</v>
      </c>
      <c r="AHO9">
        <v>4704.32</v>
      </c>
      <c r="AHP9">
        <v>2347.48</v>
      </c>
      <c r="AHQ9">
        <v>2971.74</v>
      </c>
      <c r="AHR9">
        <v>2980.92</v>
      </c>
      <c r="AHS9">
        <v>1952.69</v>
      </c>
      <c r="AHT9">
        <v>122.68</v>
      </c>
      <c r="AHU9">
        <v>2728.51</v>
      </c>
      <c r="AHV9">
        <v>4131.7700000000004</v>
      </c>
      <c r="AHW9">
        <v>4160.3999999999996</v>
      </c>
      <c r="AHX9">
        <v>2288.41</v>
      </c>
      <c r="AHY9">
        <v>3745.52</v>
      </c>
      <c r="AHZ9">
        <v>3462.75</v>
      </c>
      <c r="AIA9">
        <v>2442.37</v>
      </c>
      <c r="AIB9">
        <v>3205.88</v>
      </c>
      <c r="AIC9">
        <v>835.81</v>
      </c>
      <c r="AID9">
        <v>2472.67</v>
      </c>
      <c r="AIE9">
        <v>3151.59</v>
      </c>
      <c r="AIF9">
        <v>1420.25</v>
      </c>
      <c r="AIG9">
        <v>1516.91</v>
      </c>
      <c r="AIH9">
        <v>3419.49</v>
      </c>
      <c r="AII9">
        <v>3421.65</v>
      </c>
      <c r="AIJ9">
        <v>735.67</v>
      </c>
      <c r="AIK9">
        <v>3313.24</v>
      </c>
      <c r="AIL9">
        <v>1006.66</v>
      </c>
      <c r="AIM9">
        <v>2749.85</v>
      </c>
      <c r="AIN9">
        <v>4589.26</v>
      </c>
      <c r="AIO9">
        <v>4855.05</v>
      </c>
      <c r="AIP9">
        <v>3676.11</v>
      </c>
      <c r="AIQ9">
        <v>3700.34</v>
      </c>
      <c r="AIR9">
        <v>368.99</v>
      </c>
      <c r="AIS9">
        <v>332.71</v>
      </c>
      <c r="AIT9">
        <v>3380.12</v>
      </c>
      <c r="AIU9">
        <v>4093.59</v>
      </c>
      <c r="AIV9">
        <v>2975.44</v>
      </c>
      <c r="AIW9">
        <v>2195.6</v>
      </c>
      <c r="AIX9">
        <v>1754.21</v>
      </c>
      <c r="AIY9">
        <v>4188.05</v>
      </c>
      <c r="AIZ9">
        <v>2398.06</v>
      </c>
      <c r="AJA9">
        <v>4782.3500000000004</v>
      </c>
      <c r="AJB9">
        <v>2719.07</v>
      </c>
      <c r="AJC9">
        <v>2821.51</v>
      </c>
      <c r="AJD9">
        <v>4470.8</v>
      </c>
      <c r="AJE9">
        <v>4483.8100000000004</v>
      </c>
      <c r="AJF9">
        <v>4994.53</v>
      </c>
      <c r="AJG9">
        <v>4264.5600000000004</v>
      </c>
      <c r="AJH9">
        <v>4592.92</v>
      </c>
      <c r="AJI9">
        <v>1248.24</v>
      </c>
      <c r="AJJ9">
        <v>4627.26</v>
      </c>
      <c r="AJK9">
        <v>1975.56</v>
      </c>
      <c r="AJL9">
        <v>3588.63</v>
      </c>
      <c r="AJM9">
        <v>600.04</v>
      </c>
      <c r="AJN9">
        <v>3817.26</v>
      </c>
      <c r="AJO9">
        <v>1678.64</v>
      </c>
      <c r="AJP9">
        <v>3362.96</v>
      </c>
      <c r="AJQ9">
        <v>350.93</v>
      </c>
      <c r="AJR9">
        <v>3916.21</v>
      </c>
      <c r="AJS9">
        <v>312.57</v>
      </c>
      <c r="AJT9">
        <v>1612.02</v>
      </c>
      <c r="AJU9">
        <v>2169.9699999999998</v>
      </c>
      <c r="AJV9">
        <v>2649.27</v>
      </c>
      <c r="AJW9">
        <v>1543.26</v>
      </c>
      <c r="AJX9">
        <v>185.18</v>
      </c>
      <c r="AJY9">
        <v>4997.75</v>
      </c>
      <c r="AJZ9">
        <v>1185.81</v>
      </c>
      <c r="AKA9">
        <v>2503.25</v>
      </c>
      <c r="AKB9">
        <v>2562.5500000000002</v>
      </c>
      <c r="AKC9">
        <v>4245.08</v>
      </c>
      <c r="AKD9">
        <v>3538.36</v>
      </c>
      <c r="AKE9">
        <v>4621.58</v>
      </c>
      <c r="AKF9">
        <v>1544.53</v>
      </c>
      <c r="AKG9">
        <v>4009.54</v>
      </c>
      <c r="AKH9">
        <v>3759.55</v>
      </c>
      <c r="AKI9">
        <v>3506.08</v>
      </c>
      <c r="AKJ9">
        <v>956.73</v>
      </c>
      <c r="AKK9">
        <v>2592.39</v>
      </c>
      <c r="AKL9">
        <v>2723.65</v>
      </c>
      <c r="AKM9">
        <v>3625.06</v>
      </c>
      <c r="AKN9">
        <v>3046.43</v>
      </c>
      <c r="AKO9">
        <v>2541.0100000000002</v>
      </c>
      <c r="AKP9">
        <v>3810.82</v>
      </c>
      <c r="AKQ9">
        <v>1643.41</v>
      </c>
      <c r="AKR9">
        <v>931.91</v>
      </c>
      <c r="AKS9">
        <v>1869.27</v>
      </c>
      <c r="AKT9">
        <v>2627.41</v>
      </c>
      <c r="AKU9">
        <v>1609.31</v>
      </c>
      <c r="AKV9">
        <v>242.79</v>
      </c>
      <c r="AKW9">
        <v>4563.2700000000004</v>
      </c>
      <c r="AKX9">
        <v>232.73</v>
      </c>
      <c r="AKY9">
        <v>2895.53</v>
      </c>
      <c r="AKZ9">
        <v>1134.19</v>
      </c>
      <c r="ALA9">
        <v>4435.34</v>
      </c>
      <c r="ALB9">
        <v>2222.11</v>
      </c>
      <c r="ALC9">
        <v>1433.79</v>
      </c>
      <c r="ALD9">
        <v>3304.3</v>
      </c>
      <c r="ALE9">
        <v>1117.5</v>
      </c>
      <c r="ALF9">
        <v>2225.17</v>
      </c>
      <c r="ALG9">
        <v>2015.79</v>
      </c>
      <c r="ALH9">
        <v>1319.16</v>
      </c>
      <c r="ALI9">
        <v>1393.71</v>
      </c>
      <c r="ALJ9">
        <v>632.55999999999995</v>
      </c>
      <c r="ALK9">
        <v>3510.34</v>
      </c>
      <c r="ALL9">
        <v>2358.2800000000002</v>
      </c>
      <c r="ALM9">
        <v>4191.55</v>
      </c>
    </row>
    <row r="10" spans="1:1001" ht="29.4" customHeight="1" x14ac:dyDescent="0.3">
      <c r="A10" s="1" t="s">
        <v>10</v>
      </c>
      <c r="B10" t="s">
        <v>19</v>
      </c>
      <c r="C10" t="s">
        <v>28</v>
      </c>
      <c r="D10" t="s">
        <v>19</v>
      </c>
      <c r="E10" t="s">
        <v>42</v>
      </c>
      <c r="F10" t="s">
        <v>50</v>
      </c>
      <c r="G10" t="s">
        <v>50</v>
      </c>
      <c r="H10" t="s">
        <v>19</v>
      </c>
      <c r="I10" t="s">
        <v>19</v>
      </c>
      <c r="J10" t="s">
        <v>42</v>
      </c>
      <c r="K10" t="s">
        <v>19</v>
      </c>
      <c r="L10" t="s">
        <v>42</v>
      </c>
      <c r="M10" t="s">
        <v>50</v>
      </c>
      <c r="N10" t="s">
        <v>19</v>
      </c>
      <c r="O10" t="s">
        <v>50</v>
      </c>
      <c r="P10" t="s">
        <v>50</v>
      </c>
      <c r="Q10" t="s">
        <v>50</v>
      </c>
      <c r="R10" t="s">
        <v>19</v>
      </c>
      <c r="S10" t="s">
        <v>50</v>
      </c>
      <c r="T10" t="s">
        <v>19</v>
      </c>
      <c r="U10" t="s">
        <v>19</v>
      </c>
      <c r="V10" t="s">
        <v>28</v>
      </c>
      <c r="W10" t="s">
        <v>19</v>
      </c>
      <c r="X10" t="s">
        <v>28</v>
      </c>
      <c r="Y10" t="s">
        <v>19</v>
      </c>
      <c r="Z10" t="s">
        <v>42</v>
      </c>
      <c r="AA10" t="s">
        <v>50</v>
      </c>
      <c r="AB10" t="s">
        <v>50</v>
      </c>
      <c r="AC10" t="s">
        <v>50</v>
      </c>
      <c r="AD10" t="s">
        <v>19</v>
      </c>
      <c r="AE10" t="s">
        <v>19</v>
      </c>
      <c r="AF10" t="s">
        <v>28</v>
      </c>
      <c r="AG10" t="s">
        <v>50</v>
      </c>
      <c r="AH10" t="s">
        <v>28</v>
      </c>
      <c r="AI10" t="s">
        <v>42</v>
      </c>
      <c r="AJ10" t="s">
        <v>42</v>
      </c>
      <c r="AK10" t="s">
        <v>19</v>
      </c>
      <c r="AL10" t="s">
        <v>28</v>
      </c>
      <c r="AM10" t="s">
        <v>50</v>
      </c>
      <c r="AN10" t="s">
        <v>19</v>
      </c>
      <c r="AO10" t="s">
        <v>50</v>
      </c>
      <c r="AP10" t="s">
        <v>28</v>
      </c>
      <c r="AQ10" t="s">
        <v>28</v>
      </c>
      <c r="AR10" t="s">
        <v>50</v>
      </c>
      <c r="AS10" t="s">
        <v>19</v>
      </c>
      <c r="AT10" t="s">
        <v>19</v>
      </c>
      <c r="AU10" t="s">
        <v>50</v>
      </c>
      <c r="AV10" t="s">
        <v>19</v>
      </c>
      <c r="AW10" t="s">
        <v>19</v>
      </c>
      <c r="AX10" t="s">
        <v>50</v>
      </c>
      <c r="AY10" t="s">
        <v>19</v>
      </c>
      <c r="AZ10" t="s">
        <v>28</v>
      </c>
      <c r="BA10" t="s">
        <v>19</v>
      </c>
      <c r="BB10" t="s">
        <v>42</v>
      </c>
      <c r="BC10" t="s">
        <v>19</v>
      </c>
      <c r="BD10" t="s">
        <v>50</v>
      </c>
      <c r="BE10" t="s">
        <v>50</v>
      </c>
      <c r="BF10" t="s">
        <v>28</v>
      </c>
      <c r="BG10" t="s">
        <v>42</v>
      </c>
      <c r="BH10" t="s">
        <v>19</v>
      </c>
      <c r="BI10" t="s">
        <v>50</v>
      </c>
      <c r="BJ10" t="s">
        <v>42</v>
      </c>
      <c r="BK10" t="s">
        <v>19</v>
      </c>
      <c r="BL10" t="s">
        <v>42</v>
      </c>
      <c r="BM10" t="s">
        <v>50</v>
      </c>
      <c r="BN10" t="s">
        <v>42</v>
      </c>
      <c r="BO10" t="s">
        <v>50</v>
      </c>
      <c r="BP10" t="s">
        <v>42</v>
      </c>
      <c r="BQ10" t="s">
        <v>50</v>
      </c>
      <c r="BR10" t="s">
        <v>19</v>
      </c>
      <c r="BS10" t="s">
        <v>19</v>
      </c>
      <c r="BT10" t="s">
        <v>42</v>
      </c>
      <c r="BU10" t="s">
        <v>50</v>
      </c>
      <c r="BV10" t="s">
        <v>19</v>
      </c>
      <c r="BW10" t="s">
        <v>50</v>
      </c>
      <c r="BX10" t="s">
        <v>19</v>
      </c>
      <c r="BY10" t="s">
        <v>50</v>
      </c>
      <c r="BZ10" t="s">
        <v>42</v>
      </c>
      <c r="CA10" t="s">
        <v>19</v>
      </c>
      <c r="CB10" t="s">
        <v>50</v>
      </c>
      <c r="CC10" t="s">
        <v>28</v>
      </c>
      <c r="CD10" t="s">
        <v>19</v>
      </c>
      <c r="CE10" t="s">
        <v>50</v>
      </c>
      <c r="CF10" t="s">
        <v>42</v>
      </c>
      <c r="CG10" t="s">
        <v>50</v>
      </c>
      <c r="CH10" t="s">
        <v>19</v>
      </c>
      <c r="CI10" t="s">
        <v>19</v>
      </c>
      <c r="CJ10" t="s">
        <v>42</v>
      </c>
      <c r="CK10" t="s">
        <v>28</v>
      </c>
      <c r="CL10" t="s">
        <v>28</v>
      </c>
      <c r="CM10" t="s">
        <v>19</v>
      </c>
      <c r="CN10" t="s">
        <v>50</v>
      </c>
      <c r="CO10" t="s">
        <v>50</v>
      </c>
      <c r="CP10" t="s">
        <v>19</v>
      </c>
      <c r="CQ10" t="s">
        <v>28</v>
      </c>
      <c r="CR10" t="s">
        <v>19</v>
      </c>
      <c r="CS10" t="s">
        <v>42</v>
      </c>
      <c r="CT10" t="s">
        <v>42</v>
      </c>
      <c r="CU10" t="s">
        <v>42</v>
      </c>
      <c r="CV10" t="s">
        <v>28</v>
      </c>
      <c r="CW10" t="s">
        <v>42</v>
      </c>
      <c r="CX10" t="s">
        <v>42</v>
      </c>
      <c r="CY10" t="s">
        <v>42</v>
      </c>
      <c r="CZ10" t="s">
        <v>19</v>
      </c>
      <c r="DA10" t="s">
        <v>19</v>
      </c>
      <c r="DB10" t="s">
        <v>50</v>
      </c>
      <c r="DC10" t="s">
        <v>42</v>
      </c>
      <c r="DD10" t="s">
        <v>42</v>
      </c>
      <c r="DE10" t="s">
        <v>19</v>
      </c>
      <c r="DF10" t="s">
        <v>19</v>
      </c>
      <c r="DG10" t="s">
        <v>28</v>
      </c>
      <c r="DH10" t="s">
        <v>28</v>
      </c>
      <c r="DI10" t="s">
        <v>42</v>
      </c>
      <c r="DJ10" t="s">
        <v>19</v>
      </c>
      <c r="DK10" t="s">
        <v>50</v>
      </c>
      <c r="DL10" t="s">
        <v>28</v>
      </c>
      <c r="DM10" t="s">
        <v>28</v>
      </c>
      <c r="DN10" t="s">
        <v>28</v>
      </c>
      <c r="DO10" t="s">
        <v>42</v>
      </c>
      <c r="DP10" t="s">
        <v>50</v>
      </c>
      <c r="DQ10" t="s">
        <v>42</v>
      </c>
      <c r="DR10" t="s">
        <v>19</v>
      </c>
      <c r="DS10" t="s">
        <v>28</v>
      </c>
      <c r="DT10" t="s">
        <v>50</v>
      </c>
      <c r="DU10" t="s">
        <v>42</v>
      </c>
      <c r="DV10" t="s">
        <v>19</v>
      </c>
      <c r="DW10" t="s">
        <v>50</v>
      </c>
      <c r="DX10" t="s">
        <v>50</v>
      </c>
      <c r="DY10" t="s">
        <v>42</v>
      </c>
      <c r="DZ10" t="s">
        <v>19</v>
      </c>
      <c r="EA10" t="s">
        <v>50</v>
      </c>
      <c r="EB10" t="s">
        <v>50</v>
      </c>
      <c r="EC10" t="s">
        <v>42</v>
      </c>
      <c r="ED10" t="s">
        <v>19</v>
      </c>
      <c r="EE10" t="s">
        <v>42</v>
      </c>
      <c r="EF10" t="s">
        <v>42</v>
      </c>
      <c r="EG10" t="s">
        <v>42</v>
      </c>
      <c r="EH10" t="s">
        <v>19</v>
      </c>
      <c r="EI10" t="s">
        <v>28</v>
      </c>
      <c r="EJ10" t="s">
        <v>50</v>
      </c>
      <c r="EK10" t="s">
        <v>50</v>
      </c>
      <c r="EL10" t="s">
        <v>42</v>
      </c>
      <c r="EM10" t="s">
        <v>50</v>
      </c>
      <c r="EN10" t="s">
        <v>19</v>
      </c>
      <c r="EO10" t="s">
        <v>50</v>
      </c>
      <c r="EP10" t="s">
        <v>28</v>
      </c>
      <c r="EQ10" t="s">
        <v>50</v>
      </c>
      <c r="ER10" t="s">
        <v>28</v>
      </c>
      <c r="ES10" t="s">
        <v>19</v>
      </c>
      <c r="ET10" t="s">
        <v>19</v>
      </c>
      <c r="EU10" t="s">
        <v>19</v>
      </c>
      <c r="EV10" t="s">
        <v>50</v>
      </c>
      <c r="EW10" t="s">
        <v>19</v>
      </c>
      <c r="EX10" t="s">
        <v>19</v>
      </c>
      <c r="EY10" t="s">
        <v>42</v>
      </c>
      <c r="EZ10" t="s">
        <v>42</v>
      </c>
      <c r="FA10" t="s">
        <v>50</v>
      </c>
      <c r="FB10" t="s">
        <v>42</v>
      </c>
      <c r="FC10" t="s">
        <v>42</v>
      </c>
      <c r="FD10" t="s">
        <v>42</v>
      </c>
      <c r="FE10" t="s">
        <v>19</v>
      </c>
      <c r="FF10" t="s">
        <v>28</v>
      </c>
      <c r="FG10" t="s">
        <v>28</v>
      </c>
      <c r="FH10" t="s">
        <v>28</v>
      </c>
      <c r="FI10" t="s">
        <v>50</v>
      </c>
      <c r="FJ10" t="s">
        <v>28</v>
      </c>
      <c r="FK10" t="s">
        <v>50</v>
      </c>
      <c r="FL10" t="s">
        <v>28</v>
      </c>
      <c r="FM10" t="s">
        <v>50</v>
      </c>
      <c r="FN10" t="s">
        <v>50</v>
      </c>
      <c r="FO10" t="s">
        <v>42</v>
      </c>
      <c r="FP10" t="s">
        <v>42</v>
      </c>
      <c r="FQ10" t="s">
        <v>50</v>
      </c>
      <c r="FR10" t="s">
        <v>28</v>
      </c>
      <c r="FS10" t="s">
        <v>42</v>
      </c>
      <c r="FT10" t="s">
        <v>19</v>
      </c>
      <c r="FU10" t="s">
        <v>50</v>
      </c>
      <c r="FV10" t="s">
        <v>28</v>
      </c>
      <c r="FW10" t="s">
        <v>19</v>
      </c>
      <c r="FX10" t="s">
        <v>28</v>
      </c>
      <c r="FY10" t="s">
        <v>28</v>
      </c>
      <c r="FZ10" t="s">
        <v>19</v>
      </c>
      <c r="GA10" t="s">
        <v>42</v>
      </c>
      <c r="GB10" t="s">
        <v>28</v>
      </c>
      <c r="GC10" t="s">
        <v>42</v>
      </c>
      <c r="GD10" t="s">
        <v>28</v>
      </c>
      <c r="GE10" t="s">
        <v>19</v>
      </c>
      <c r="GF10" t="s">
        <v>42</v>
      </c>
      <c r="GG10" t="s">
        <v>42</v>
      </c>
      <c r="GH10" t="s">
        <v>50</v>
      </c>
      <c r="GI10" t="s">
        <v>19</v>
      </c>
      <c r="GJ10" t="s">
        <v>42</v>
      </c>
      <c r="GK10" t="s">
        <v>42</v>
      </c>
      <c r="GL10" t="s">
        <v>28</v>
      </c>
      <c r="GM10" t="s">
        <v>19</v>
      </c>
      <c r="GN10" t="s">
        <v>50</v>
      </c>
      <c r="GO10" t="s">
        <v>28</v>
      </c>
      <c r="GP10" t="s">
        <v>28</v>
      </c>
      <c r="GQ10" t="s">
        <v>19</v>
      </c>
      <c r="GR10" t="s">
        <v>28</v>
      </c>
      <c r="GS10" t="s">
        <v>50</v>
      </c>
      <c r="GT10" t="s">
        <v>42</v>
      </c>
      <c r="GU10" t="s">
        <v>19</v>
      </c>
      <c r="GV10" t="s">
        <v>28</v>
      </c>
      <c r="GW10" t="s">
        <v>50</v>
      </c>
      <c r="GX10" t="s">
        <v>28</v>
      </c>
      <c r="GY10" t="s">
        <v>19</v>
      </c>
      <c r="GZ10" t="s">
        <v>19</v>
      </c>
      <c r="HA10" t="s">
        <v>50</v>
      </c>
      <c r="HB10" t="s">
        <v>42</v>
      </c>
      <c r="HC10" t="s">
        <v>28</v>
      </c>
      <c r="HD10" t="s">
        <v>42</v>
      </c>
      <c r="HE10" t="s">
        <v>19</v>
      </c>
      <c r="HF10" t="s">
        <v>19</v>
      </c>
      <c r="HG10" t="s">
        <v>28</v>
      </c>
      <c r="HH10" t="s">
        <v>42</v>
      </c>
      <c r="HI10" t="s">
        <v>28</v>
      </c>
      <c r="HJ10" t="s">
        <v>50</v>
      </c>
      <c r="HK10" t="s">
        <v>50</v>
      </c>
      <c r="HL10" t="s">
        <v>19</v>
      </c>
      <c r="HM10" t="s">
        <v>50</v>
      </c>
      <c r="HN10" t="s">
        <v>50</v>
      </c>
      <c r="HO10" t="s">
        <v>42</v>
      </c>
      <c r="HP10" t="s">
        <v>19</v>
      </c>
      <c r="HQ10" t="s">
        <v>19</v>
      </c>
      <c r="HR10" t="s">
        <v>42</v>
      </c>
      <c r="HS10" t="s">
        <v>42</v>
      </c>
      <c r="HT10" t="s">
        <v>50</v>
      </c>
      <c r="HU10" t="s">
        <v>50</v>
      </c>
      <c r="HV10" t="s">
        <v>28</v>
      </c>
      <c r="HW10" t="s">
        <v>28</v>
      </c>
      <c r="HX10" t="s">
        <v>50</v>
      </c>
      <c r="HY10" t="s">
        <v>50</v>
      </c>
      <c r="HZ10" t="s">
        <v>42</v>
      </c>
      <c r="IA10" t="s">
        <v>19</v>
      </c>
      <c r="IB10" t="s">
        <v>19</v>
      </c>
      <c r="IC10" t="s">
        <v>50</v>
      </c>
      <c r="ID10" t="s">
        <v>19</v>
      </c>
      <c r="IE10" t="s">
        <v>50</v>
      </c>
      <c r="IF10" t="s">
        <v>50</v>
      </c>
      <c r="IG10" t="s">
        <v>42</v>
      </c>
      <c r="IH10" t="s">
        <v>42</v>
      </c>
      <c r="II10" t="s">
        <v>50</v>
      </c>
      <c r="IJ10" t="s">
        <v>28</v>
      </c>
      <c r="IK10" t="s">
        <v>19</v>
      </c>
      <c r="IL10" t="s">
        <v>28</v>
      </c>
      <c r="IM10" t="s">
        <v>19</v>
      </c>
      <c r="IN10" t="s">
        <v>50</v>
      </c>
      <c r="IO10" t="s">
        <v>19</v>
      </c>
      <c r="IP10" t="s">
        <v>19</v>
      </c>
      <c r="IQ10" t="s">
        <v>28</v>
      </c>
      <c r="IR10" t="s">
        <v>42</v>
      </c>
      <c r="IS10" t="s">
        <v>28</v>
      </c>
      <c r="IT10" t="s">
        <v>50</v>
      </c>
      <c r="IU10" t="s">
        <v>50</v>
      </c>
      <c r="IV10" t="s">
        <v>28</v>
      </c>
      <c r="IW10" t="s">
        <v>28</v>
      </c>
      <c r="IX10" t="s">
        <v>19</v>
      </c>
      <c r="IY10" t="s">
        <v>50</v>
      </c>
      <c r="IZ10" t="s">
        <v>42</v>
      </c>
      <c r="JA10" t="s">
        <v>42</v>
      </c>
      <c r="JB10" t="s">
        <v>19</v>
      </c>
      <c r="JC10" t="s">
        <v>28</v>
      </c>
      <c r="JD10" t="s">
        <v>42</v>
      </c>
      <c r="JE10" t="s">
        <v>50</v>
      </c>
      <c r="JF10" t="s">
        <v>19</v>
      </c>
      <c r="JG10" t="s">
        <v>42</v>
      </c>
      <c r="JH10" t="s">
        <v>42</v>
      </c>
      <c r="JI10" t="s">
        <v>50</v>
      </c>
      <c r="JJ10" t="s">
        <v>19</v>
      </c>
      <c r="JK10" t="s">
        <v>28</v>
      </c>
      <c r="JL10" t="s">
        <v>50</v>
      </c>
      <c r="JM10" t="s">
        <v>42</v>
      </c>
      <c r="JN10" t="s">
        <v>28</v>
      </c>
      <c r="JO10" t="s">
        <v>28</v>
      </c>
      <c r="JP10" t="s">
        <v>50</v>
      </c>
      <c r="JQ10" t="s">
        <v>42</v>
      </c>
      <c r="JR10" t="s">
        <v>50</v>
      </c>
      <c r="JS10" t="s">
        <v>28</v>
      </c>
      <c r="JT10" t="s">
        <v>28</v>
      </c>
      <c r="JU10" t="s">
        <v>28</v>
      </c>
      <c r="JV10" t="s">
        <v>28</v>
      </c>
      <c r="JW10" t="s">
        <v>28</v>
      </c>
      <c r="JX10" t="s">
        <v>19</v>
      </c>
      <c r="JY10" t="s">
        <v>50</v>
      </c>
      <c r="JZ10" t="s">
        <v>19</v>
      </c>
      <c r="KA10" t="s">
        <v>42</v>
      </c>
      <c r="KB10" t="s">
        <v>28</v>
      </c>
      <c r="KC10" t="s">
        <v>19</v>
      </c>
      <c r="KD10" t="s">
        <v>28</v>
      </c>
      <c r="KE10" t="s">
        <v>19</v>
      </c>
      <c r="KF10" t="s">
        <v>19</v>
      </c>
      <c r="KG10" t="s">
        <v>50</v>
      </c>
      <c r="KH10" t="s">
        <v>50</v>
      </c>
      <c r="KI10" t="s">
        <v>50</v>
      </c>
      <c r="KJ10" t="s">
        <v>42</v>
      </c>
      <c r="KK10" t="s">
        <v>42</v>
      </c>
      <c r="KL10" t="s">
        <v>50</v>
      </c>
      <c r="KM10" t="s">
        <v>50</v>
      </c>
      <c r="KN10" t="s">
        <v>50</v>
      </c>
      <c r="KO10" t="s">
        <v>50</v>
      </c>
      <c r="KP10" t="s">
        <v>42</v>
      </c>
      <c r="KQ10" t="s">
        <v>19</v>
      </c>
      <c r="KR10" t="s">
        <v>42</v>
      </c>
      <c r="KS10" t="s">
        <v>28</v>
      </c>
      <c r="KT10" t="s">
        <v>42</v>
      </c>
      <c r="KU10" t="s">
        <v>19</v>
      </c>
      <c r="KV10" t="s">
        <v>19</v>
      </c>
      <c r="KW10" t="s">
        <v>19</v>
      </c>
      <c r="KX10" t="s">
        <v>28</v>
      </c>
      <c r="KY10" t="s">
        <v>42</v>
      </c>
      <c r="KZ10" t="s">
        <v>28</v>
      </c>
      <c r="LA10" t="s">
        <v>19</v>
      </c>
      <c r="LB10" t="s">
        <v>42</v>
      </c>
      <c r="LC10" t="s">
        <v>28</v>
      </c>
      <c r="LD10" t="s">
        <v>50</v>
      </c>
      <c r="LE10" t="s">
        <v>50</v>
      </c>
      <c r="LF10" t="s">
        <v>42</v>
      </c>
      <c r="LG10" t="s">
        <v>42</v>
      </c>
      <c r="LH10" t="s">
        <v>42</v>
      </c>
      <c r="LI10" t="s">
        <v>28</v>
      </c>
      <c r="LJ10" t="s">
        <v>19</v>
      </c>
      <c r="LK10" t="s">
        <v>42</v>
      </c>
      <c r="LL10" t="s">
        <v>42</v>
      </c>
      <c r="LM10" t="s">
        <v>19</v>
      </c>
      <c r="LN10" t="s">
        <v>50</v>
      </c>
      <c r="LO10" t="s">
        <v>50</v>
      </c>
      <c r="LP10" t="s">
        <v>28</v>
      </c>
      <c r="LQ10" t="s">
        <v>28</v>
      </c>
      <c r="LR10" t="s">
        <v>19</v>
      </c>
      <c r="LS10" t="s">
        <v>42</v>
      </c>
      <c r="LT10" t="s">
        <v>19</v>
      </c>
      <c r="LU10" t="s">
        <v>50</v>
      </c>
      <c r="LV10" t="s">
        <v>50</v>
      </c>
      <c r="LW10" t="s">
        <v>50</v>
      </c>
      <c r="LX10" t="s">
        <v>19</v>
      </c>
      <c r="LY10" t="s">
        <v>42</v>
      </c>
      <c r="LZ10" t="s">
        <v>42</v>
      </c>
      <c r="MA10" t="s">
        <v>50</v>
      </c>
      <c r="MB10" t="s">
        <v>50</v>
      </c>
      <c r="MC10" t="s">
        <v>28</v>
      </c>
      <c r="MD10" t="s">
        <v>19</v>
      </c>
      <c r="ME10" t="s">
        <v>50</v>
      </c>
      <c r="MF10" t="s">
        <v>28</v>
      </c>
      <c r="MG10" t="s">
        <v>19</v>
      </c>
      <c r="MH10" t="s">
        <v>50</v>
      </c>
      <c r="MI10" t="s">
        <v>28</v>
      </c>
      <c r="MJ10" t="s">
        <v>28</v>
      </c>
      <c r="MK10" t="s">
        <v>50</v>
      </c>
      <c r="ML10" t="s">
        <v>28</v>
      </c>
      <c r="MM10" t="s">
        <v>42</v>
      </c>
      <c r="MN10" t="s">
        <v>28</v>
      </c>
      <c r="MO10" t="s">
        <v>50</v>
      </c>
      <c r="MP10" t="s">
        <v>42</v>
      </c>
      <c r="MQ10" t="s">
        <v>42</v>
      </c>
      <c r="MR10" t="s">
        <v>28</v>
      </c>
      <c r="MS10" t="s">
        <v>50</v>
      </c>
      <c r="MT10" t="s">
        <v>42</v>
      </c>
      <c r="MU10" t="s">
        <v>50</v>
      </c>
      <c r="MV10" t="s">
        <v>42</v>
      </c>
      <c r="MW10" t="s">
        <v>50</v>
      </c>
      <c r="MX10" t="s">
        <v>19</v>
      </c>
      <c r="MY10" t="s">
        <v>19</v>
      </c>
      <c r="MZ10" t="s">
        <v>19</v>
      </c>
      <c r="NA10" t="s">
        <v>50</v>
      </c>
      <c r="NB10" t="s">
        <v>19</v>
      </c>
      <c r="NC10" t="s">
        <v>19</v>
      </c>
      <c r="ND10" t="s">
        <v>50</v>
      </c>
      <c r="NE10" t="s">
        <v>19</v>
      </c>
      <c r="NF10" t="s">
        <v>42</v>
      </c>
      <c r="NG10" t="s">
        <v>28</v>
      </c>
      <c r="NH10" t="s">
        <v>50</v>
      </c>
      <c r="NI10" t="s">
        <v>28</v>
      </c>
      <c r="NJ10" t="s">
        <v>50</v>
      </c>
      <c r="NK10" t="s">
        <v>50</v>
      </c>
      <c r="NL10" t="s">
        <v>28</v>
      </c>
      <c r="NM10" t="s">
        <v>42</v>
      </c>
      <c r="NN10" t="s">
        <v>50</v>
      </c>
      <c r="NO10" t="s">
        <v>42</v>
      </c>
      <c r="NP10" t="s">
        <v>19</v>
      </c>
      <c r="NQ10" t="s">
        <v>28</v>
      </c>
      <c r="NR10" t="s">
        <v>19</v>
      </c>
      <c r="NS10" t="s">
        <v>50</v>
      </c>
      <c r="NT10" t="s">
        <v>28</v>
      </c>
      <c r="NU10" t="s">
        <v>28</v>
      </c>
      <c r="NV10" t="s">
        <v>19</v>
      </c>
      <c r="NW10" t="s">
        <v>28</v>
      </c>
      <c r="NX10" t="s">
        <v>42</v>
      </c>
      <c r="NY10" t="s">
        <v>42</v>
      </c>
      <c r="NZ10" t="s">
        <v>42</v>
      </c>
      <c r="OA10" t="s">
        <v>42</v>
      </c>
      <c r="OB10" t="s">
        <v>50</v>
      </c>
      <c r="OC10" t="s">
        <v>42</v>
      </c>
      <c r="OD10" t="s">
        <v>42</v>
      </c>
      <c r="OE10" t="s">
        <v>28</v>
      </c>
      <c r="OF10" t="s">
        <v>28</v>
      </c>
      <c r="OG10" t="s">
        <v>50</v>
      </c>
      <c r="OH10" t="s">
        <v>19</v>
      </c>
      <c r="OI10" t="s">
        <v>28</v>
      </c>
      <c r="OJ10" t="s">
        <v>28</v>
      </c>
      <c r="OK10" t="s">
        <v>42</v>
      </c>
      <c r="OL10" t="s">
        <v>28</v>
      </c>
      <c r="OM10" t="s">
        <v>19</v>
      </c>
      <c r="ON10" t="s">
        <v>50</v>
      </c>
      <c r="OO10" t="s">
        <v>50</v>
      </c>
      <c r="OP10" t="s">
        <v>28</v>
      </c>
      <c r="OQ10" t="s">
        <v>19</v>
      </c>
      <c r="OR10" t="s">
        <v>19</v>
      </c>
      <c r="OS10" t="s">
        <v>50</v>
      </c>
      <c r="OT10" t="s">
        <v>28</v>
      </c>
      <c r="OU10" t="s">
        <v>19</v>
      </c>
      <c r="OV10" t="s">
        <v>50</v>
      </c>
      <c r="OW10" t="s">
        <v>42</v>
      </c>
      <c r="OX10" t="s">
        <v>19</v>
      </c>
      <c r="OY10" t="s">
        <v>19</v>
      </c>
      <c r="OZ10" t="s">
        <v>28</v>
      </c>
      <c r="PA10" t="s">
        <v>42</v>
      </c>
      <c r="PB10" t="s">
        <v>50</v>
      </c>
      <c r="PC10" t="s">
        <v>28</v>
      </c>
      <c r="PD10" t="s">
        <v>28</v>
      </c>
      <c r="PE10" t="s">
        <v>42</v>
      </c>
      <c r="PF10" t="s">
        <v>42</v>
      </c>
      <c r="PG10" t="s">
        <v>28</v>
      </c>
      <c r="PH10" t="s">
        <v>28</v>
      </c>
      <c r="PI10" t="s">
        <v>19</v>
      </c>
      <c r="PJ10" t="s">
        <v>42</v>
      </c>
      <c r="PK10" t="s">
        <v>28</v>
      </c>
      <c r="PL10" t="s">
        <v>19</v>
      </c>
      <c r="PM10" t="s">
        <v>28</v>
      </c>
      <c r="PN10" t="s">
        <v>19</v>
      </c>
      <c r="PO10" t="s">
        <v>50</v>
      </c>
      <c r="PP10" t="s">
        <v>42</v>
      </c>
      <c r="PQ10" t="s">
        <v>50</v>
      </c>
      <c r="PR10" t="s">
        <v>19</v>
      </c>
      <c r="PS10" t="s">
        <v>50</v>
      </c>
      <c r="PT10" t="s">
        <v>42</v>
      </c>
      <c r="PU10" t="s">
        <v>50</v>
      </c>
      <c r="PV10" t="s">
        <v>42</v>
      </c>
      <c r="PW10" t="s">
        <v>28</v>
      </c>
      <c r="PX10" t="s">
        <v>50</v>
      </c>
      <c r="PY10" t="s">
        <v>50</v>
      </c>
      <c r="PZ10" t="s">
        <v>50</v>
      </c>
      <c r="QA10" t="s">
        <v>28</v>
      </c>
      <c r="QB10" t="s">
        <v>28</v>
      </c>
      <c r="QC10" t="s">
        <v>50</v>
      </c>
      <c r="QD10" t="s">
        <v>19</v>
      </c>
      <c r="QE10" t="s">
        <v>28</v>
      </c>
      <c r="QF10" t="s">
        <v>28</v>
      </c>
      <c r="QG10" t="s">
        <v>28</v>
      </c>
      <c r="QH10" t="s">
        <v>42</v>
      </c>
      <c r="QI10" t="s">
        <v>42</v>
      </c>
      <c r="QJ10" t="s">
        <v>50</v>
      </c>
      <c r="QK10" t="s">
        <v>42</v>
      </c>
      <c r="QL10" t="s">
        <v>19</v>
      </c>
      <c r="QM10" t="s">
        <v>28</v>
      </c>
      <c r="QN10" t="s">
        <v>19</v>
      </c>
      <c r="QO10" t="s">
        <v>42</v>
      </c>
      <c r="QP10" t="s">
        <v>50</v>
      </c>
      <c r="QQ10" t="s">
        <v>19</v>
      </c>
      <c r="QR10" t="s">
        <v>28</v>
      </c>
      <c r="QS10" t="s">
        <v>19</v>
      </c>
      <c r="QT10" t="s">
        <v>50</v>
      </c>
      <c r="QU10" t="s">
        <v>42</v>
      </c>
      <c r="QV10" t="s">
        <v>28</v>
      </c>
      <c r="QW10" t="s">
        <v>42</v>
      </c>
      <c r="QX10" t="s">
        <v>19</v>
      </c>
      <c r="QY10" t="s">
        <v>28</v>
      </c>
      <c r="QZ10" t="s">
        <v>42</v>
      </c>
      <c r="RA10" t="s">
        <v>28</v>
      </c>
      <c r="RB10" t="s">
        <v>50</v>
      </c>
      <c r="RC10" t="s">
        <v>42</v>
      </c>
      <c r="RD10" t="s">
        <v>50</v>
      </c>
      <c r="RE10" t="s">
        <v>42</v>
      </c>
      <c r="RF10" t="s">
        <v>42</v>
      </c>
      <c r="RG10" t="s">
        <v>42</v>
      </c>
      <c r="RH10" t="s">
        <v>28</v>
      </c>
      <c r="RI10" t="s">
        <v>42</v>
      </c>
      <c r="RJ10" t="s">
        <v>19</v>
      </c>
      <c r="RK10" t="s">
        <v>50</v>
      </c>
      <c r="RL10" t="s">
        <v>50</v>
      </c>
      <c r="RM10" t="s">
        <v>50</v>
      </c>
      <c r="RN10" t="s">
        <v>42</v>
      </c>
      <c r="RO10" t="s">
        <v>42</v>
      </c>
      <c r="RP10" t="s">
        <v>28</v>
      </c>
      <c r="RQ10" t="s">
        <v>28</v>
      </c>
      <c r="RR10" t="s">
        <v>42</v>
      </c>
      <c r="RS10" t="s">
        <v>42</v>
      </c>
      <c r="RT10" t="s">
        <v>28</v>
      </c>
      <c r="RU10" t="s">
        <v>28</v>
      </c>
      <c r="RV10" t="s">
        <v>19</v>
      </c>
      <c r="RW10" t="s">
        <v>50</v>
      </c>
      <c r="RX10" t="s">
        <v>19</v>
      </c>
      <c r="RY10" t="s">
        <v>19</v>
      </c>
      <c r="RZ10" t="s">
        <v>50</v>
      </c>
      <c r="SA10" t="s">
        <v>42</v>
      </c>
      <c r="SB10" t="s">
        <v>42</v>
      </c>
      <c r="SC10" t="s">
        <v>42</v>
      </c>
      <c r="SD10" t="s">
        <v>28</v>
      </c>
      <c r="SE10" t="s">
        <v>50</v>
      </c>
      <c r="SF10" t="s">
        <v>28</v>
      </c>
      <c r="SG10" t="s">
        <v>42</v>
      </c>
      <c r="SH10" t="s">
        <v>28</v>
      </c>
      <c r="SI10" t="s">
        <v>42</v>
      </c>
      <c r="SJ10" t="s">
        <v>19</v>
      </c>
      <c r="SK10" t="s">
        <v>42</v>
      </c>
      <c r="SL10" t="s">
        <v>50</v>
      </c>
      <c r="SM10" t="s">
        <v>42</v>
      </c>
      <c r="SN10" t="s">
        <v>42</v>
      </c>
      <c r="SO10" t="s">
        <v>19</v>
      </c>
      <c r="SP10" t="s">
        <v>42</v>
      </c>
      <c r="SQ10" t="s">
        <v>28</v>
      </c>
      <c r="SR10" t="s">
        <v>19</v>
      </c>
      <c r="SS10" t="s">
        <v>42</v>
      </c>
      <c r="ST10" t="s">
        <v>19</v>
      </c>
      <c r="SU10" t="s">
        <v>50</v>
      </c>
      <c r="SV10" t="s">
        <v>50</v>
      </c>
      <c r="SW10" t="s">
        <v>50</v>
      </c>
      <c r="SX10" t="s">
        <v>28</v>
      </c>
      <c r="SY10" t="s">
        <v>19</v>
      </c>
      <c r="SZ10" t="s">
        <v>28</v>
      </c>
      <c r="TA10" t="s">
        <v>42</v>
      </c>
      <c r="TB10" t="s">
        <v>50</v>
      </c>
      <c r="TC10" t="s">
        <v>28</v>
      </c>
      <c r="TD10" t="s">
        <v>28</v>
      </c>
      <c r="TE10" t="s">
        <v>28</v>
      </c>
      <c r="TF10" t="s">
        <v>19</v>
      </c>
      <c r="TG10" t="s">
        <v>42</v>
      </c>
      <c r="TH10" t="s">
        <v>28</v>
      </c>
      <c r="TI10" t="s">
        <v>50</v>
      </c>
      <c r="TJ10" t="s">
        <v>50</v>
      </c>
      <c r="TK10" t="s">
        <v>50</v>
      </c>
      <c r="TL10" t="s">
        <v>42</v>
      </c>
      <c r="TM10" t="s">
        <v>19</v>
      </c>
      <c r="TN10" t="s">
        <v>28</v>
      </c>
      <c r="TO10" t="s">
        <v>28</v>
      </c>
      <c r="TP10" t="s">
        <v>28</v>
      </c>
      <c r="TQ10" t="s">
        <v>42</v>
      </c>
      <c r="TR10" t="s">
        <v>19</v>
      </c>
      <c r="TS10" t="s">
        <v>28</v>
      </c>
      <c r="TT10" t="s">
        <v>28</v>
      </c>
      <c r="TU10" t="s">
        <v>19</v>
      </c>
      <c r="TV10" t="s">
        <v>19</v>
      </c>
      <c r="TW10" t="s">
        <v>42</v>
      </c>
      <c r="TX10" t="s">
        <v>42</v>
      </c>
      <c r="TY10" t="s">
        <v>28</v>
      </c>
      <c r="TZ10" t="s">
        <v>50</v>
      </c>
      <c r="UA10" t="s">
        <v>28</v>
      </c>
      <c r="UB10" t="s">
        <v>42</v>
      </c>
      <c r="UC10" t="s">
        <v>28</v>
      </c>
      <c r="UD10" t="s">
        <v>19</v>
      </c>
      <c r="UE10" t="s">
        <v>42</v>
      </c>
      <c r="UF10" t="s">
        <v>50</v>
      </c>
      <c r="UG10" t="s">
        <v>28</v>
      </c>
      <c r="UH10" t="s">
        <v>50</v>
      </c>
      <c r="UI10" t="s">
        <v>28</v>
      </c>
      <c r="UJ10" t="s">
        <v>19</v>
      </c>
      <c r="UK10" t="s">
        <v>19</v>
      </c>
      <c r="UL10" t="s">
        <v>19</v>
      </c>
      <c r="UM10" t="s">
        <v>19</v>
      </c>
      <c r="UN10" t="s">
        <v>50</v>
      </c>
      <c r="UO10" t="s">
        <v>42</v>
      </c>
      <c r="UP10" t="s">
        <v>19</v>
      </c>
      <c r="UQ10" t="s">
        <v>28</v>
      </c>
      <c r="UR10" t="s">
        <v>50</v>
      </c>
      <c r="US10" t="s">
        <v>28</v>
      </c>
      <c r="UT10" t="s">
        <v>42</v>
      </c>
      <c r="UU10" t="s">
        <v>42</v>
      </c>
      <c r="UV10" t="s">
        <v>50</v>
      </c>
      <c r="UW10" t="s">
        <v>19</v>
      </c>
      <c r="UX10" t="s">
        <v>50</v>
      </c>
      <c r="UY10" t="s">
        <v>19</v>
      </c>
      <c r="UZ10" t="s">
        <v>19</v>
      </c>
      <c r="VA10" t="s">
        <v>42</v>
      </c>
      <c r="VB10" t="s">
        <v>50</v>
      </c>
      <c r="VC10" t="s">
        <v>42</v>
      </c>
      <c r="VD10" t="s">
        <v>28</v>
      </c>
      <c r="VE10" t="s">
        <v>50</v>
      </c>
      <c r="VF10" t="s">
        <v>42</v>
      </c>
      <c r="VG10" t="s">
        <v>42</v>
      </c>
      <c r="VH10" t="s">
        <v>42</v>
      </c>
      <c r="VI10" t="s">
        <v>19</v>
      </c>
      <c r="VJ10" t="s">
        <v>42</v>
      </c>
      <c r="VK10" t="s">
        <v>42</v>
      </c>
      <c r="VL10" t="s">
        <v>42</v>
      </c>
      <c r="VM10" t="s">
        <v>28</v>
      </c>
      <c r="VN10" t="s">
        <v>19</v>
      </c>
      <c r="VO10" t="s">
        <v>50</v>
      </c>
      <c r="VP10" t="s">
        <v>19</v>
      </c>
      <c r="VQ10" t="s">
        <v>28</v>
      </c>
      <c r="VR10" t="s">
        <v>19</v>
      </c>
      <c r="VS10" t="s">
        <v>42</v>
      </c>
      <c r="VT10" t="s">
        <v>19</v>
      </c>
      <c r="VU10" t="s">
        <v>42</v>
      </c>
      <c r="VV10" t="s">
        <v>42</v>
      </c>
      <c r="VW10" t="s">
        <v>19</v>
      </c>
      <c r="VX10" t="s">
        <v>50</v>
      </c>
      <c r="VY10" t="s">
        <v>19</v>
      </c>
      <c r="VZ10" t="s">
        <v>19</v>
      </c>
      <c r="WA10" t="s">
        <v>28</v>
      </c>
      <c r="WB10" t="s">
        <v>19</v>
      </c>
      <c r="WC10" t="s">
        <v>28</v>
      </c>
      <c r="WD10" t="s">
        <v>50</v>
      </c>
      <c r="WE10" t="s">
        <v>19</v>
      </c>
      <c r="WF10" t="s">
        <v>19</v>
      </c>
      <c r="WG10" t="s">
        <v>28</v>
      </c>
      <c r="WH10" t="s">
        <v>50</v>
      </c>
      <c r="WI10" t="s">
        <v>42</v>
      </c>
      <c r="WJ10" t="s">
        <v>42</v>
      </c>
      <c r="WK10" t="s">
        <v>50</v>
      </c>
      <c r="WL10" t="s">
        <v>19</v>
      </c>
      <c r="WM10" t="s">
        <v>19</v>
      </c>
      <c r="WN10" t="s">
        <v>28</v>
      </c>
      <c r="WO10" t="s">
        <v>28</v>
      </c>
      <c r="WP10" t="s">
        <v>50</v>
      </c>
      <c r="WQ10" t="s">
        <v>50</v>
      </c>
      <c r="WR10" t="s">
        <v>19</v>
      </c>
      <c r="WS10" t="s">
        <v>19</v>
      </c>
      <c r="WT10" t="s">
        <v>42</v>
      </c>
      <c r="WU10" t="s">
        <v>19</v>
      </c>
      <c r="WV10" t="s">
        <v>28</v>
      </c>
      <c r="WW10" t="s">
        <v>28</v>
      </c>
      <c r="WX10" t="s">
        <v>50</v>
      </c>
      <c r="WY10" t="s">
        <v>28</v>
      </c>
      <c r="WZ10" t="s">
        <v>28</v>
      </c>
      <c r="XA10" t="s">
        <v>28</v>
      </c>
      <c r="XB10" t="s">
        <v>28</v>
      </c>
      <c r="XC10" t="s">
        <v>19</v>
      </c>
      <c r="XD10" t="s">
        <v>50</v>
      </c>
      <c r="XE10" t="s">
        <v>19</v>
      </c>
      <c r="XF10" t="s">
        <v>42</v>
      </c>
      <c r="XG10" t="s">
        <v>42</v>
      </c>
      <c r="XH10" t="s">
        <v>19</v>
      </c>
      <c r="XI10" t="s">
        <v>42</v>
      </c>
      <c r="XJ10" t="s">
        <v>42</v>
      </c>
      <c r="XK10" t="s">
        <v>42</v>
      </c>
      <c r="XL10" t="s">
        <v>19</v>
      </c>
      <c r="XM10" t="s">
        <v>19</v>
      </c>
      <c r="XN10" t="s">
        <v>42</v>
      </c>
      <c r="XO10" t="s">
        <v>19</v>
      </c>
      <c r="XP10" t="s">
        <v>28</v>
      </c>
      <c r="XQ10" t="s">
        <v>42</v>
      </c>
      <c r="XR10" t="s">
        <v>50</v>
      </c>
      <c r="XS10" t="s">
        <v>42</v>
      </c>
      <c r="XT10" t="s">
        <v>19</v>
      </c>
      <c r="XU10" t="s">
        <v>19</v>
      </c>
      <c r="XV10" t="s">
        <v>50</v>
      </c>
      <c r="XW10" t="s">
        <v>50</v>
      </c>
      <c r="XX10" t="s">
        <v>28</v>
      </c>
      <c r="XY10" t="s">
        <v>28</v>
      </c>
      <c r="XZ10" t="s">
        <v>28</v>
      </c>
      <c r="YA10" t="s">
        <v>42</v>
      </c>
      <c r="YB10" t="s">
        <v>50</v>
      </c>
      <c r="YC10" t="s">
        <v>28</v>
      </c>
      <c r="YD10" t="s">
        <v>19</v>
      </c>
      <c r="YE10" t="s">
        <v>42</v>
      </c>
      <c r="YF10" t="s">
        <v>50</v>
      </c>
      <c r="YG10" t="s">
        <v>19</v>
      </c>
      <c r="YH10" t="s">
        <v>42</v>
      </c>
      <c r="YI10" t="s">
        <v>50</v>
      </c>
      <c r="YJ10" t="s">
        <v>28</v>
      </c>
      <c r="YK10" t="s">
        <v>19</v>
      </c>
      <c r="YL10" t="s">
        <v>28</v>
      </c>
      <c r="YM10" t="s">
        <v>28</v>
      </c>
      <c r="YN10" t="s">
        <v>19</v>
      </c>
      <c r="YO10" t="s">
        <v>28</v>
      </c>
      <c r="YP10" t="s">
        <v>42</v>
      </c>
      <c r="YQ10" t="s">
        <v>19</v>
      </c>
      <c r="YR10" t="s">
        <v>19</v>
      </c>
      <c r="YS10" t="s">
        <v>28</v>
      </c>
      <c r="YT10" t="s">
        <v>50</v>
      </c>
      <c r="YU10" t="s">
        <v>42</v>
      </c>
      <c r="YV10" t="s">
        <v>50</v>
      </c>
      <c r="YW10" t="s">
        <v>50</v>
      </c>
      <c r="YX10" t="s">
        <v>42</v>
      </c>
      <c r="YY10" t="s">
        <v>28</v>
      </c>
      <c r="YZ10" t="s">
        <v>28</v>
      </c>
      <c r="ZA10" t="s">
        <v>19</v>
      </c>
      <c r="ZB10" t="s">
        <v>50</v>
      </c>
      <c r="ZC10" t="s">
        <v>42</v>
      </c>
      <c r="ZD10" t="s">
        <v>50</v>
      </c>
      <c r="ZE10" t="s">
        <v>19</v>
      </c>
      <c r="ZF10" t="s">
        <v>50</v>
      </c>
      <c r="ZG10" t="s">
        <v>28</v>
      </c>
      <c r="ZH10" t="s">
        <v>50</v>
      </c>
      <c r="ZI10" t="s">
        <v>42</v>
      </c>
      <c r="ZJ10" t="s">
        <v>42</v>
      </c>
      <c r="ZK10" t="s">
        <v>19</v>
      </c>
      <c r="ZL10" t="s">
        <v>42</v>
      </c>
      <c r="ZM10" t="s">
        <v>42</v>
      </c>
      <c r="ZN10" t="s">
        <v>50</v>
      </c>
      <c r="ZO10" t="s">
        <v>19</v>
      </c>
      <c r="ZP10" t="s">
        <v>19</v>
      </c>
      <c r="ZQ10" t="s">
        <v>50</v>
      </c>
      <c r="ZR10" t="s">
        <v>42</v>
      </c>
      <c r="ZS10" t="s">
        <v>50</v>
      </c>
      <c r="ZT10" t="s">
        <v>50</v>
      </c>
      <c r="ZU10" t="s">
        <v>28</v>
      </c>
      <c r="ZV10" t="s">
        <v>28</v>
      </c>
      <c r="ZW10" t="s">
        <v>42</v>
      </c>
      <c r="ZX10" t="s">
        <v>50</v>
      </c>
      <c r="ZY10" t="s">
        <v>42</v>
      </c>
      <c r="ZZ10" t="s">
        <v>19</v>
      </c>
      <c r="AAA10" t="s">
        <v>28</v>
      </c>
      <c r="AAB10" t="s">
        <v>19</v>
      </c>
      <c r="AAC10" t="s">
        <v>50</v>
      </c>
      <c r="AAD10" t="s">
        <v>50</v>
      </c>
      <c r="AAE10" t="s">
        <v>50</v>
      </c>
      <c r="AAF10" t="s">
        <v>19</v>
      </c>
      <c r="AAG10" t="s">
        <v>28</v>
      </c>
      <c r="AAH10" t="s">
        <v>50</v>
      </c>
      <c r="AAI10" t="s">
        <v>19</v>
      </c>
      <c r="AAJ10" t="s">
        <v>50</v>
      </c>
      <c r="AAK10" t="s">
        <v>28</v>
      </c>
      <c r="AAL10" t="s">
        <v>42</v>
      </c>
      <c r="AAM10" t="s">
        <v>28</v>
      </c>
      <c r="AAN10" t="s">
        <v>50</v>
      </c>
      <c r="AAO10" t="s">
        <v>19</v>
      </c>
      <c r="AAP10" t="s">
        <v>42</v>
      </c>
      <c r="AAQ10" t="s">
        <v>50</v>
      </c>
      <c r="AAR10" t="s">
        <v>19</v>
      </c>
      <c r="AAS10" t="s">
        <v>42</v>
      </c>
      <c r="AAT10" t="s">
        <v>28</v>
      </c>
      <c r="AAU10" t="s">
        <v>42</v>
      </c>
      <c r="AAV10" t="s">
        <v>19</v>
      </c>
      <c r="AAW10" t="s">
        <v>42</v>
      </c>
      <c r="AAX10" t="s">
        <v>28</v>
      </c>
      <c r="AAY10" t="s">
        <v>50</v>
      </c>
      <c r="AAZ10" t="s">
        <v>28</v>
      </c>
      <c r="ABA10" t="s">
        <v>42</v>
      </c>
      <c r="ABB10" t="s">
        <v>42</v>
      </c>
      <c r="ABC10" t="s">
        <v>19</v>
      </c>
      <c r="ABD10" t="s">
        <v>42</v>
      </c>
      <c r="ABE10" t="s">
        <v>19</v>
      </c>
      <c r="ABF10" t="s">
        <v>28</v>
      </c>
      <c r="ABG10" t="s">
        <v>42</v>
      </c>
      <c r="ABH10" t="s">
        <v>19</v>
      </c>
      <c r="ABI10" t="s">
        <v>28</v>
      </c>
      <c r="ABJ10" t="s">
        <v>19</v>
      </c>
      <c r="ABK10" t="s">
        <v>19</v>
      </c>
      <c r="ABL10" t="s">
        <v>19</v>
      </c>
      <c r="ABM10" t="s">
        <v>19</v>
      </c>
      <c r="ABN10" t="s">
        <v>42</v>
      </c>
      <c r="ABO10" t="s">
        <v>28</v>
      </c>
      <c r="ABP10" t="s">
        <v>19</v>
      </c>
      <c r="ABQ10" t="s">
        <v>50</v>
      </c>
      <c r="ABR10" t="s">
        <v>42</v>
      </c>
      <c r="ABS10" t="s">
        <v>28</v>
      </c>
      <c r="ABT10" t="s">
        <v>50</v>
      </c>
      <c r="ABU10" t="s">
        <v>28</v>
      </c>
      <c r="ABV10" t="s">
        <v>42</v>
      </c>
      <c r="ABW10" t="s">
        <v>28</v>
      </c>
      <c r="ABX10" t="s">
        <v>50</v>
      </c>
      <c r="ABY10" t="s">
        <v>19</v>
      </c>
      <c r="ABZ10" t="s">
        <v>19</v>
      </c>
      <c r="ACA10" t="s">
        <v>50</v>
      </c>
      <c r="ACB10" t="s">
        <v>19</v>
      </c>
      <c r="ACC10" t="s">
        <v>42</v>
      </c>
      <c r="ACD10" t="s">
        <v>28</v>
      </c>
      <c r="ACE10" t="s">
        <v>19</v>
      </c>
      <c r="ACF10" t="s">
        <v>19</v>
      </c>
      <c r="ACG10" t="s">
        <v>50</v>
      </c>
      <c r="ACH10" t="s">
        <v>50</v>
      </c>
      <c r="ACI10" t="s">
        <v>19</v>
      </c>
      <c r="ACJ10" t="s">
        <v>42</v>
      </c>
      <c r="ACK10" t="s">
        <v>28</v>
      </c>
      <c r="ACL10" t="s">
        <v>28</v>
      </c>
      <c r="ACM10" t="s">
        <v>42</v>
      </c>
      <c r="ACN10" t="s">
        <v>50</v>
      </c>
      <c r="ACO10" t="s">
        <v>28</v>
      </c>
      <c r="ACP10" t="s">
        <v>50</v>
      </c>
      <c r="ACQ10" t="s">
        <v>42</v>
      </c>
      <c r="ACR10" t="s">
        <v>28</v>
      </c>
      <c r="ACS10" t="s">
        <v>50</v>
      </c>
      <c r="ACT10" t="s">
        <v>19</v>
      </c>
      <c r="ACU10" t="s">
        <v>50</v>
      </c>
      <c r="ACV10" t="s">
        <v>42</v>
      </c>
      <c r="ACW10" t="s">
        <v>19</v>
      </c>
      <c r="ACX10" t="s">
        <v>19</v>
      </c>
      <c r="ACY10" t="s">
        <v>50</v>
      </c>
      <c r="ACZ10" t="s">
        <v>50</v>
      </c>
      <c r="ADA10" t="s">
        <v>28</v>
      </c>
      <c r="ADB10" t="s">
        <v>28</v>
      </c>
      <c r="ADC10" t="s">
        <v>19</v>
      </c>
      <c r="ADD10" t="s">
        <v>42</v>
      </c>
      <c r="ADE10" t="s">
        <v>50</v>
      </c>
      <c r="ADF10" t="s">
        <v>50</v>
      </c>
      <c r="ADG10" t="s">
        <v>50</v>
      </c>
      <c r="ADH10" t="s">
        <v>19</v>
      </c>
      <c r="ADI10" t="s">
        <v>19</v>
      </c>
      <c r="ADJ10" t="s">
        <v>42</v>
      </c>
      <c r="ADK10" t="s">
        <v>19</v>
      </c>
      <c r="ADL10" t="s">
        <v>28</v>
      </c>
      <c r="ADM10" t="s">
        <v>28</v>
      </c>
      <c r="ADN10" t="s">
        <v>19</v>
      </c>
      <c r="ADO10" t="s">
        <v>42</v>
      </c>
      <c r="ADP10" t="s">
        <v>50</v>
      </c>
      <c r="ADQ10" t="s">
        <v>28</v>
      </c>
      <c r="ADR10" t="s">
        <v>28</v>
      </c>
      <c r="ADS10" t="s">
        <v>50</v>
      </c>
      <c r="ADT10" t="s">
        <v>50</v>
      </c>
      <c r="ADU10" t="s">
        <v>50</v>
      </c>
      <c r="ADV10" t="s">
        <v>42</v>
      </c>
      <c r="ADW10" t="s">
        <v>19</v>
      </c>
      <c r="ADX10" t="s">
        <v>42</v>
      </c>
      <c r="ADY10" t="s">
        <v>50</v>
      </c>
      <c r="ADZ10" t="s">
        <v>28</v>
      </c>
      <c r="AEA10" t="s">
        <v>19</v>
      </c>
      <c r="AEB10" t="s">
        <v>19</v>
      </c>
      <c r="AEC10" t="s">
        <v>28</v>
      </c>
      <c r="AED10" t="s">
        <v>42</v>
      </c>
      <c r="AEE10" t="s">
        <v>28</v>
      </c>
      <c r="AEF10" t="s">
        <v>42</v>
      </c>
      <c r="AEG10" t="s">
        <v>19</v>
      </c>
      <c r="AEH10" t="s">
        <v>19</v>
      </c>
      <c r="AEI10" t="s">
        <v>19</v>
      </c>
      <c r="AEJ10" t="s">
        <v>28</v>
      </c>
      <c r="AEK10" t="s">
        <v>19</v>
      </c>
      <c r="AEL10" t="s">
        <v>28</v>
      </c>
      <c r="AEM10" t="s">
        <v>50</v>
      </c>
      <c r="AEN10" t="s">
        <v>28</v>
      </c>
      <c r="AEO10" t="s">
        <v>42</v>
      </c>
      <c r="AEP10" t="s">
        <v>50</v>
      </c>
      <c r="AEQ10" t="s">
        <v>50</v>
      </c>
      <c r="AER10" t="s">
        <v>19</v>
      </c>
      <c r="AES10" t="s">
        <v>19</v>
      </c>
      <c r="AET10" t="s">
        <v>42</v>
      </c>
      <c r="AEU10" t="s">
        <v>42</v>
      </c>
      <c r="AEV10" t="s">
        <v>42</v>
      </c>
      <c r="AEW10" t="s">
        <v>28</v>
      </c>
      <c r="AEX10" t="s">
        <v>42</v>
      </c>
      <c r="AEY10" t="s">
        <v>28</v>
      </c>
      <c r="AEZ10" t="s">
        <v>42</v>
      </c>
      <c r="AFA10" t="s">
        <v>50</v>
      </c>
      <c r="AFB10" t="s">
        <v>28</v>
      </c>
      <c r="AFC10" t="s">
        <v>19</v>
      </c>
      <c r="AFD10" t="s">
        <v>19</v>
      </c>
      <c r="AFE10" t="s">
        <v>28</v>
      </c>
      <c r="AFF10" t="s">
        <v>50</v>
      </c>
      <c r="AFG10" t="s">
        <v>50</v>
      </c>
      <c r="AFH10" t="s">
        <v>19</v>
      </c>
      <c r="AFI10" t="s">
        <v>28</v>
      </c>
      <c r="AFJ10" t="s">
        <v>19</v>
      </c>
      <c r="AFK10" t="s">
        <v>19</v>
      </c>
      <c r="AFL10" t="s">
        <v>50</v>
      </c>
      <c r="AFM10" t="s">
        <v>50</v>
      </c>
      <c r="AFN10" t="s">
        <v>42</v>
      </c>
      <c r="AFO10" t="s">
        <v>28</v>
      </c>
      <c r="AFP10" t="s">
        <v>19</v>
      </c>
      <c r="AFQ10" t="s">
        <v>19</v>
      </c>
      <c r="AFR10" t="s">
        <v>42</v>
      </c>
      <c r="AFS10" t="s">
        <v>42</v>
      </c>
      <c r="AFT10" t="s">
        <v>50</v>
      </c>
      <c r="AFU10" t="s">
        <v>50</v>
      </c>
      <c r="AFV10" t="s">
        <v>19</v>
      </c>
      <c r="AFW10" t="s">
        <v>50</v>
      </c>
      <c r="AFX10" t="s">
        <v>28</v>
      </c>
      <c r="AFY10" t="s">
        <v>19</v>
      </c>
      <c r="AFZ10" t="s">
        <v>19</v>
      </c>
      <c r="AGA10" t="s">
        <v>50</v>
      </c>
      <c r="AGB10" t="s">
        <v>19</v>
      </c>
      <c r="AGC10" t="s">
        <v>42</v>
      </c>
      <c r="AGD10" t="s">
        <v>50</v>
      </c>
      <c r="AGE10" t="s">
        <v>42</v>
      </c>
      <c r="AGF10" t="s">
        <v>42</v>
      </c>
      <c r="AGG10" t="s">
        <v>50</v>
      </c>
      <c r="AGH10" t="s">
        <v>42</v>
      </c>
      <c r="AGI10" t="s">
        <v>28</v>
      </c>
      <c r="AGJ10" t="s">
        <v>28</v>
      </c>
      <c r="AGK10" t="s">
        <v>28</v>
      </c>
      <c r="AGL10" t="s">
        <v>42</v>
      </c>
      <c r="AGM10" t="s">
        <v>50</v>
      </c>
      <c r="AGN10" t="s">
        <v>19</v>
      </c>
      <c r="AGO10" t="s">
        <v>42</v>
      </c>
      <c r="AGP10" t="s">
        <v>42</v>
      </c>
      <c r="AGQ10" t="s">
        <v>42</v>
      </c>
      <c r="AGR10" t="s">
        <v>28</v>
      </c>
      <c r="AGS10" t="s">
        <v>50</v>
      </c>
      <c r="AGT10" t="s">
        <v>19</v>
      </c>
      <c r="AGU10" t="s">
        <v>28</v>
      </c>
      <c r="AGV10" t="s">
        <v>50</v>
      </c>
      <c r="AGW10" t="s">
        <v>19</v>
      </c>
      <c r="AGX10" t="s">
        <v>28</v>
      </c>
      <c r="AGY10" t="s">
        <v>42</v>
      </c>
      <c r="AGZ10" t="s">
        <v>19</v>
      </c>
      <c r="AHA10" t="s">
        <v>19</v>
      </c>
      <c r="AHB10" t="s">
        <v>28</v>
      </c>
      <c r="AHC10" t="s">
        <v>28</v>
      </c>
      <c r="AHD10" t="s">
        <v>19</v>
      </c>
      <c r="AHE10" t="s">
        <v>50</v>
      </c>
      <c r="AHF10" t="s">
        <v>42</v>
      </c>
      <c r="AHG10" t="s">
        <v>19</v>
      </c>
      <c r="AHH10" t="s">
        <v>19</v>
      </c>
      <c r="AHI10" t="s">
        <v>28</v>
      </c>
      <c r="AHJ10" t="s">
        <v>19</v>
      </c>
      <c r="AHK10" t="s">
        <v>19</v>
      </c>
      <c r="AHL10" t="s">
        <v>42</v>
      </c>
      <c r="AHM10" t="s">
        <v>42</v>
      </c>
      <c r="AHN10" t="s">
        <v>19</v>
      </c>
      <c r="AHO10" t="s">
        <v>42</v>
      </c>
      <c r="AHP10" t="s">
        <v>19</v>
      </c>
      <c r="AHQ10" t="s">
        <v>28</v>
      </c>
      <c r="AHR10" t="s">
        <v>19</v>
      </c>
      <c r="AHS10" t="s">
        <v>28</v>
      </c>
      <c r="AHT10" t="s">
        <v>50</v>
      </c>
      <c r="AHU10" t="s">
        <v>28</v>
      </c>
      <c r="AHV10" t="s">
        <v>50</v>
      </c>
      <c r="AHW10" t="s">
        <v>28</v>
      </c>
      <c r="AHX10" t="s">
        <v>19</v>
      </c>
      <c r="AHY10" t="s">
        <v>50</v>
      </c>
      <c r="AHZ10" t="s">
        <v>42</v>
      </c>
      <c r="AIA10" t="s">
        <v>28</v>
      </c>
      <c r="AIB10" t="s">
        <v>42</v>
      </c>
      <c r="AIC10" t="s">
        <v>19</v>
      </c>
      <c r="AID10" t="s">
        <v>50</v>
      </c>
      <c r="AIE10" t="s">
        <v>19</v>
      </c>
      <c r="AIF10" t="s">
        <v>42</v>
      </c>
      <c r="AIG10" t="s">
        <v>28</v>
      </c>
      <c r="AIH10" t="s">
        <v>42</v>
      </c>
      <c r="AII10" t="s">
        <v>19</v>
      </c>
      <c r="AIJ10" t="s">
        <v>28</v>
      </c>
      <c r="AIK10" t="s">
        <v>50</v>
      </c>
      <c r="AIL10" t="s">
        <v>19</v>
      </c>
      <c r="AIM10" t="s">
        <v>19</v>
      </c>
      <c r="AIN10" t="s">
        <v>50</v>
      </c>
      <c r="AIO10" t="s">
        <v>19</v>
      </c>
      <c r="AIP10" t="s">
        <v>42</v>
      </c>
      <c r="AIQ10" t="s">
        <v>28</v>
      </c>
      <c r="AIR10" t="s">
        <v>42</v>
      </c>
      <c r="AIS10" t="s">
        <v>19</v>
      </c>
      <c r="AIT10" t="s">
        <v>42</v>
      </c>
      <c r="AIU10" t="s">
        <v>28</v>
      </c>
      <c r="AIV10" t="s">
        <v>19</v>
      </c>
      <c r="AIW10" t="s">
        <v>19</v>
      </c>
      <c r="AIX10" t="s">
        <v>19</v>
      </c>
      <c r="AIY10" t="s">
        <v>50</v>
      </c>
      <c r="AIZ10" t="s">
        <v>50</v>
      </c>
      <c r="AJA10" t="s">
        <v>28</v>
      </c>
      <c r="AJB10" t="s">
        <v>19</v>
      </c>
      <c r="AJC10" t="s">
        <v>42</v>
      </c>
      <c r="AJD10" t="s">
        <v>50</v>
      </c>
      <c r="AJE10" t="s">
        <v>19</v>
      </c>
      <c r="AJF10" t="s">
        <v>42</v>
      </c>
      <c r="AJG10" t="s">
        <v>50</v>
      </c>
      <c r="AJH10" t="s">
        <v>50</v>
      </c>
      <c r="AJI10" t="s">
        <v>50</v>
      </c>
      <c r="AJJ10" t="s">
        <v>50</v>
      </c>
      <c r="AJK10" t="s">
        <v>19</v>
      </c>
      <c r="AJL10" t="s">
        <v>50</v>
      </c>
      <c r="AJM10" t="s">
        <v>42</v>
      </c>
      <c r="AJN10" t="s">
        <v>42</v>
      </c>
      <c r="AJO10" t="s">
        <v>19</v>
      </c>
      <c r="AJP10" t="s">
        <v>42</v>
      </c>
      <c r="AJQ10" t="s">
        <v>50</v>
      </c>
      <c r="AJR10" t="s">
        <v>28</v>
      </c>
      <c r="AJS10" t="s">
        <v>19</v>
      </c>
      <c r="AJT10" t="s">
        <v>50</v>
      </c>
      <c r="AJU10" t="s">
        <v>28</v>
      </c>
      <c r="AJV10" t="s">
        <v>19</v>
      </c>
      <c r="AJW10" t="s">
        <v>28</v>
      </c>
      <c r="AJX10" t="s">
        <v>50</v>
      </c>
      <c r="AJY10" t="s">
        <v>19</v>
      </c>
      <c r="AJZ10" t="s">
        <v>19</v>
      </c>
      <c r="AKA10" t="s">
        <v>50</v>
      </c>
      <c r="AKB10" t="s">
        <v>42</v>
      </c>
      <c r="AKC10" t="s">
        <v>42</v>
      </c>
      <c r="AKD10" t="s">
        <v>19</v>
      </c>
      <c r="AKE10" t="s">
        <v>19</v>
      </c>
      <c r="AKF10" t="s">
        <v>28</v>
      </c>
      <c r="AKG10" t="s">
        <v>42</v>
      </c>
      <c r="AKH10" t="s">
        <v>50</v>
      </c>
      <c r="AKI10" t="s">
        <v>50</v>
      </c>
      <c r="AKJ10" t="s">
        <v>19</v>
      </c>
      <c r="AKK10" t="s">
        <v>19</v>
      </c>
      <c r="AKL10" t="s">
        <v>42</v>
      </c>
      <c r="AKM10" t="s">
        <v>42</v>
      </c>
      <c r="AKN10" t="s">
        <v>50</v>
      </c>
      <c r="AKO10" t="s">
        <v>50</v>
      </c>
      <c r="AKP10" t="s">
        <v>28</v>
      </c>
      <c r="AKQ10" t="s">
        <v>42</v>
      </c>
      <c r="AKR10" t="s">
        <v>28</v>
      </c>
      <c r="AKS10" t="s">
        <v>50</v>
      </c>
      <c r="AKT10" t="s">
        <v>50</v>
      </c>
      <c r="AKU10" t="s">
        <v>28</v>
      </c>
      <c r="AKV10" t="s">
        <v>19</v>
      </c>
      <c r="AKW10" t="s">
        <v>42</v>
      </c>
      <c r="AKX10" t="s">
        <v>42</v>
      </c>
      <c r="AKY10" t="s">
        <v>42</v>
      </c>
      <c r="AKZ10" t="s">
        <v>50</v>
      </c>
      <c r="ALA10" t="s">
        <v>42</v>
      </c>
      <c r="ALB10" t="s">
        <v>42</v>
      </c>
      <c r="ALC10" t="s">
        <v>42</v>
      </c>
      <c r="ALD10" t="s">
        <v>42</v>
      </c>
      <c r="ALE10" t="s">
        <v>50</v>
      </c>
      <c r="ALF10" t="s">
        <v>50</v>
      </c>
      <c r="ALG10" t="s">
        <v>50</v>
      </c>
      <c r="ALH10" t="s">
        <v>28</v>
      </c>
      <c r="ALI10" t="s">
        <v>19</v>
      </c>
      <c r="ALJ10" t="s">
        <v>28</v>
      </c>
      <c r="ALK10" t="s">
        <v>50</v>
      </c>
      <c r="ALL10" t="s">
        <v>50</v>
      </c>
      <c r="ALM10" t="s">
        <v>19</v>
      </c>
    </row>
    <row r="11" spans="1:1001" ht="29.4" customHeight="1" x14ac:dyDescent="0.3">
      <c r="A11" s="1" t="s">
        <v>11</v>
      </c>
      <c r="B11" t="s">
        <v>20</v>
      </c>
      <c r="C11" t="s">
        <v>29</v>
      </c>
      <c r="D11" t="s">
        <v>36</v>
      </c>
      <c r="E11" t="s">
        <v>43</v>
      </c>
      <c r="F11" t="s">
        <v>51</v>
      </c>
      <c r="G11" t="s">
        <v>51</v>
      </c>
      <c r="H11" t="s">
        <v>36</v>
      </c>
      <c r="I11" t="s">
        <v>43</v>
      </c>
      <c r="J11" t="s">
        <v>51</v>
      </c>
      <c r="K11" t="s">
        <v>20</v>
      </c>
      <c r="L11" t="s">
        <v>83</v>
      </c>
      <c r="M11" t="s">
        <v>43</v>
      </c>
      <c r="N11" t="s">
        <v>43</v>
      </c>
      <c r="O11" t="s">
        <v>43</v>
      </c>
      <c r="P11" t="s">
        <v>36</v>
      </c>
      <c r="Q11" t="s">
        <v>83</v>
      </c>
      <c r="R11" t="s">
        <v>43</v>
      </c>
      <c r="S11" t="s">
        <v>29</v>
      </c>
      <c r="T11" t="s">
        <v>83</v>
      </c>
      <c r="U11" t="s">
        <v>20</v>
      </c>
      <c r="V11" t="s">
        <v>20</v>
      </c>
      <c r="W11" t="s">
        <v>83</v>
      </c>
      <c r="X11" t="s">
        <v>43</v>
      </c>
      <c r="Y11" t="s">
        <v>51</v>
      </c>
      <c r="Z11" t="s">
        <v>83</v>
      </c>
      <c r="AA11" t="s">
        <v>83</v>
      </c>
      <c r="AB11" t="s">
        <v>51</v>
      </c>
      <c r="AC11" t="s">
        <v>20</v>
      </c>
      <c r="AD11" t="s">
        <v>83</v>
      </c>
      <c r="AE11" t="s">
        <v>36</v>
      </c>
      <c r="AF11" t="s">
        <v>83</v>
      </c>
      <c r="AG11" t="s">
        <v>29</v>
      </c>
      <c r="AH11" t="s">
        <v>51</v>
      </c>
      <c r="AI11" t="s">
        <v>43</v>
      </c>
      <c r="AJ11" t="s">
        <v>51</v>
      </c>
      <c r="AK11" t="s">
        <v>51</v>
      </c>
      <c r="AL11" t="s">
        <v>43</v>
      </c>
      <c r="AM11" t="s">
        <v>51</v>
      </c>
      <c r="AN11" t="s">
        <v>36</v>
      </c>
      <c r="AO11" t="s">
        <v>29</v>
      </c>
      <c r="AP11" t="s">
        <v>43</v>
      </c>
      <c r="AQ11" t="s">
        <v>36</v>
      </c>
      <c r="AR11" t="s">
        <v>51</v>
      </c>
      <c r="AS11" t="s">
        <v>20</v>
      </c>
      <c r="AT11" t="s">
        <v>43</v>
      </c>
      <c r="AU11" t="s">
        <v>29</v>
      </c>
      <c r="AV11" t="s">
        <v>20</v>
      </c>
      <c r="AW11" t="s">
        <v>43</v>
      </c>
      <c r="AX11" t="s">
        <v>43</v>
      </c>
      <c r="AY11" t="s">
        <v>83</v>
      </c>
      <c r="AZ11" t="s">
        <v>43</v>
      </c>
      <c r="BA11" t="s">
        <v>43</v>
      </c>
      <c r="BB11" t="s">
        <v>20</v>
      </c>
      <c r="BC11" t="s">
        <v>83</v>
      </c>
      <c r="BD11" t="s">
        <v>83</v>
      </c>
      <c r="BE11" t="s">
        <v>20</v>
      </c>
      <c r="BF11" t="s">
        <v>36</v>
      </c>
      <c r="BG11" t="s">
        <v>83</v>
      </c>
      <c r="BH11" t="s">
        <v>29</v>
      </c>
      <c r="BI11" t="s">
        <v>36</v>
      </c>
      <c r="BJ11" t="s">
        <v>36</v>
      </c>
      <c r="BK11" t="s">
        <v>51</v>
      </c>
      <c r="BL11" t="s">
        <v>20</v>
      </c>
      <c r="BM11" t="s">
        <v>83</v>
      </c>
      <c r="BN11" t="s">
        <v>20</v>
      </c>
      <c r="BO11" t="s">
        <v>83</v>
      </c>
      <c r="BP11" t="s">
        <v>20</v>
      </c>
      <c r="BQ11" t="s">
        <v>43</v>
      </c>
      <c r="BR11" t="s">
        <v>51</v>
      </c>
      <c r="BS11" t="s">
        <v>83</v>
      </c>
      <c r="BT11" t="s">
        <v>36</v>
      </c>
      <c r="BU11" t="s">
        <v>29</v>
      </c>
      <c r="BV11" t="s">
        <v>43</v>
      </c>
      <c r="BW11" t="s">
        <v>36</v>
      </c>
      <c r="BX11" t="s">
        <v>83</v>
      </c>
      <c r="BY11" t="s">
        <v>29</v>
      </c>
      <c r="BZ11" t="s">
        <v>29</v>
      </c>
      <c r="CA11" t="s">
        <v>20</v>
      </c>
      <c r="CB11" t="s">
        <v>83</v>
      </c>
      <c r="CC11" t="s">
        <v>29</v>
      </c>
      <c r="CD11" t="s">
        <v>36</v>
      </c>
      <c r="CE11" t="s">
        <v>20</v>
      </c>
      <c r="CF11" t="s">
        <v>20</v>
      </c>
      <c r="CG11" t="s">
        <v>83</v>
      </c>
      <c r="CH11" t="s">
        <v>51</v>
      </c>
      <c r="CI11" t="s">
        <v>43</v>
      </c>
      <c r="CJ11" t="s">
        <v>29</v>
      </c>
      <c r="CK11" t="s">
        <v>20</v>
      </c>
      <c r="CL11" t="s">
        <v>43</v>
      </c>
      <c r="CM11" t="s">
        <v>29</v>
      </c>
      <c r="CN11" t="s">
        <v>51</v>
      </c>
      <c r="CO11" t="s">
        <v>51</v>
      </c>
      <c r="CP11" t="s">
        <v>83</v>
      </c>
      <c r="CQ11" t="s">
        <v>83</v>
      </c>
      <c r="CR11" t="s">
        <v>83</v>
      </c>
      <c r="CS11" t="s">
        <v>29</v>
      </c>
      <c r="CT11" t="s">
        <v>36</v>
      </c>
      <c r="CU11" t="s">
        <v>36</v>
      </c>
      <c r="CV11" t="s">
        <v>36</v>
      </c>
      <c r="CW11" t="s">
        <v>83</v>
      </c>
      <c r="CX11" t="s">
        <v>43</v>
      </c>
      <c r="CY11" t="s">
        <v>29</v>
      </c>
      <c r="CZ11" t="s">
        <v>43</v>
      </c>
      <c r="DA11" t="s">
        <v>83</v>
      </c>
      <c r="DB11" t="s">
        <v>29</v>
      </c>
      <c r="DC11" t="s">
        <v>29</v>
      </c>
      <c r="DD11" t="s">
        <v>51</v>
      </c>
      <c r="DE11" t="s">
        <v>29</v>
      </c>
      <c r="DF11" t="s">
        <v>20</v>
      </c>
      <c r="DG11" t="s">
        <v>43</v>
      </c>
      <c r="DH11" t="s">
        <v>43</v>
      </c>
      <c r="DI11" t="s">
        <v>83</v>
      </c>
      <c r="DJ11" t="s">
        <v>83</v>
      </c>
      <c r="DK11" t="s">
        <v>83</v>
      </c>
      <c r="DL11" t="s">
        <v>51</v>
      </c>
      <c r="DM11" t="s">
        <v>83</v>
      </c>
      <c r="DN11" t="s">
        <v>83</v>
      </c>
      <c r="DO11" t="s">
        <v>36</v>
      </c>
      <c r="DP11" t="s">
        <v>29</v>
      </c>
      <c r="DQ11" t="s">
        <v>20</v>
      </c>
      <c r="DR11" t="s">
        <v>20</v>
      </c>
      <c r="DS11" t="s">
        <v>29</v>
      </c>
      <c r="DT11" t="s">
        <v>51</v>
      </c>
      <c r="DU11" t="s">
        <v>51</v>
      </c>
      <c r="DV11" t="s">
        <v>36</v>
      </c>
      <c r="DW11" t="s">
        <v>83</v>
      </c>
      <c r="DX11" t="s">
        <v>43</v>
      </c>
      <c r="DY11" t="s">
        <v>29</v>
      </c>
      <c r="DZ11" t="s">
        <v>51</v>
      </c>
      <c r="EA11" t="s">
        <v>29</v>
      </c>
      <c r="EB11" t="s">
        <v>51</v>
      </c>
      <c r="EC11" t="s">
        <v>36</v>
      </c>
      <c r="ED11" t="s">
        <v>29</v>
      </c>
      <c r="EE11" t="s">
        <v>83</v>
      </c>
      <c r="EF11" t="s">
        <v>51</v>
      </c>
      <c r="EG11" t="s">
        <v>20</v>
      </c>
      <c r="EH11" t="s">
        <v>20</v>
      </c>
      <c r="EI11" t="s">
        <v>43</v>
      </c>
      <c r="EJ11" t="s">
        <v>43</v>
      </c>
      <c r="EK11" t="s">
        <v>43</v>
      </c>
      <c r="EL11" t="s">
        <v>29</v>
      </c>
      <c r="EM11" t="s">
        <v>83</v>
      </c>
      <c r="EN11" t="s">
        <v>36</v>
      </c>
      <c r="EO11" t="s">
        <v>51</v>
      </c>
      <c r="EP11" t="s">
        <v>83</v>
      </c>
      <c r="EQ11" t="s">
        <v>83</v>
      </c>
      <c r="ER11" t="s">
        <v>43</v>
      </c>
      <c r="ES11" t="s">
        <v>83</v>
      </c>
      <c r="ET11" t="s">
        <v>51</v>
      </c>
      <c r="EU11" t="s">
        <v>20</v>
      </c>
      <c r="EV11" t="s">
        <v>83</v>
      </c>
      <c r="EW11" t="s">
        <v>51</v>
      </c>
      <c r="EX11" t="s">
        <v>20</v>
      </c>
      <c r="EY11" t="s">
        <v>51</v>
      </c>
      <c r="EZ11" t="s">
        <v>20</v>
      </c>
      <c r="FA11" t="s">
        <v>29</v>
      </c>
      <c r="FB11" t="s">
        <v>83</v>
      </c>
      <c r="FC11" t="s">
        <v>51</v>
      </c>
      <c r="FD11" t="s">
        <v>83</v>
      </c>
      <c r="FE11" t="s">
        <v>36</v>
      </c>
      <c r="FF11" t="s">
        <v>20</v>
      </c>
      <c r="FG11" t="s">
        <v>83</v>
      </c>
      <c r="FH11" t="s">
        <v>36</v>
      </c>
      <c r="FI11" t="s">
        <v>20</v>
      </c>
      <c r="FJ11" t="s">
        <v>36</v>
      </c>
      <c r="FK11" t="s">
        <v>43</v>
      </c>
      <c r="FL11" t="s">
        <v>51</v>
      </c>
      <c r="FM11" t="s">
        <v>29</v>
      </c>
      <c r="FN11" t="s">
        <v>36</v>
      </c>
      <c r="FO11" t="s">
        <v>43</v>
      </c>
      <c r="FP11" t="s">
        <v>29</v>
      </c>
      <c r="FQ11" t="s">
        <v>83</v>
      </c>
      <c r="FR11" t="s">
        <v>51</v>
      </c>
      <c r="FS11" t="s">
        <v>83</v>
      </c>
      <c r="FT11" t="s">
        <v>51</v>
      </c>
      <c r="FU11" t="s">
        <v>83</v>
      </c>
      <c r="FV11" t="s">
        <v>29</v>
      </c>
      <c r="FW11" t="s">
        <v>36</v>
      </c>
      <c r="FX11" t="s">
        <v>20</v>
      </c>
      <c r="FY11" t="s">
        <v>36</v>
      </c>
      <c r="FZ11" t="s">
        <v>83</v>
      </c>
      <c r="GA11" t="s">
        <v>51</v>
      </c>
      <c r="GB11" t="s">
        <v>29</v>
      </c>
      <c r="GC11" t="s">
        <v>51</v>
      </c>
      <c r="GD11" t="s">
        <v>20</v>
      </c>
      <c r="GE11" t="s">
        <v>51</v>
      </c>
      <c r="GF11" t="s">
        <v>20</v>
      </c>
      <c r="GG11" t="s">
        <v>29</v>
      </c>
      <c r="GH11" t="s">
        <v>43</v>
      </c>
      <c r="GI11" t="s">
        <v>29</v>
      </c>
      <c r="GJ11" t="s">
        <v>20</v>
      </c>
      <c r="GK11" t="s">
        <v>83</v>
      </c>
      <c r="GL11" t="s">
        <v>29</v>
      </c>
      <c r="GM11" t="s">
        <v>20</v>
      </c>
      <c r="GN11" t="s">
        <v>20</v>
      </c>
      <c r="GO11" t="s">
        <v>43</v>
      </c>
      <c r="GP11" t="s">
        <v>43</v>
      </c>
      <c r="GQ11" t="s">
        <v>51</v>
      </c>
      <c r="GR11" t="s">
        <v>29</v>
      </c>
      <c r="GS11" t="s">
        <v>51</v>
      </c>
      <c r="GT11" t="s">
        <v>29</v>
      </c>
      <c r="GU11" t="s">
        <v>20</v>
      </c>
      <c r="GV11" t="s">
        <v>20</v>
      </c>
      <c r="GW11" t="s">
        <v>43</v>
      </c>
      <c r="GX11" t="s">
        <v>43</v>
      </c>
      <c r="GY11" t="s">
        <v>20</v>
      </c>
      <c r="GZ11" t="s">
        <v>29</v>
      </c>
      <c r="HA11" t="s">
        <v>43</v>
      </c>
      <c r="HB11" t="s">
        <v>36</v>
      </c>
      <c r="HC11" t="s">
        <v>36</v>
      </c>
      <c r="HD11" t="s">
        <v>83</v>
      </c>
      <c r="HE11" t="s">
        <v>20</v>
      </c>
      <c r="HF11" t="s">
        <v>36</v>
      </c>
      <c r="HG11" t="s">
        <v>43</v>
      </c>
      <c r="HH11" t="s">
        <v>20</v>
      </c>
      <c r="HI11" t="s">
        <v>36</v>
      </c>
      <c r="HJ11" t="s">
        <v>20</v>
      </c>
      <c r="HK11" t="s">
        <v>83</v>
      </c>
      <c r="HL11" t="s">
        <v>20</v>
      </c>
      <c r="HM11" t="s">
        <v>43</v>
      </c>
      <c r="HN11" t="s">
        <v>36</v>
      </c>
      <c r="HO11" t="s">
        <v>20</v>
      </c>
      <c r="HP11" t="s">
        <v>51</v>
      </c>
      <c r="HQ11" t="s">
        <v>20</v>
      </c>
      <c r="HR11" t="s">
        <v>36</v>
      </c>
      <c r="HS11" t="s">
        <v>43</v>
      </c>
      <c r="HT11" t="s">
        <v>51</v>
      </c>
      <c r="HU11" t="s">
        <v>36</v>
      </c>
      <c r="HV11" t="s">
        <v>83</v>
      </c>
      <c r="HW11" t="s">
        <v>51</v>
      </c>
      <c r="HX11" t="s">
        <v>83</v>
      </c>
      <c r="HY11" t="s">
        <v>83</v>
      </c>
      <c r="HZ11" t="s">
        <v>20</v>
      </c>
      <c r="IA11" t="s">
        <v>51</v>
      </c>
      <c r="IB11" t="s">
        <v>51</v>
      </c>
      <c r="IC11" t="s">
        <v>51</v>
      </c>
      <c r="ID11" t="s">
        <v>51</v>
      </c>
      <c r="IE11" t="s">
        <v>29</v>
      </c>
      <c r="IF11" t="s">
        <v>51</v>
      </c>
      <c r="IG11" t="s">
        <v>36</v>
      </c>
      <c r="IH11" t="s">
        <v>20</v>
      </c>
      <c r="II11" t="s">
        <v>20</v>
      </c>
      <c r="IJ11" t="s">
        <v>43</v>
      </c>
      <c r="IK11" t="s">
        <v>83</v>
      </c>
      <c r="IL11" t="s">
        <v>20</v>
      </c>
      <c r="IM11" t="s">
        <v>20</v>
      </c>
      <c r="IN11" t="s">
        <v>51</v>
      </c>
      <c r="IO11" t="s">
        <v>36</v>
      </c>
      <c r="IP11" t="s">
        <v>43</v>
      </c>
      <c r="IQ11" t="s">
        <v>43</v>
      </c>
      <c r="IR11" t="s">
        <v>51</v>
      </c>
      <c r="IS11" t="s">
        <v>29</v>
      </c>
      <c r="IT11" t="s">
        <v>20</v>
      </c>
      <c r="IU11" t="s">
        <v>36</v>
      </c>
      <c r="IV11" t="s">
        <v>29</v>
      </c>
      <c r="IW11" t="s">
        <v>83</v>
      </c>
      <c r="IX11" t="s">
        <v>83</v>
      </c>
      <c r="IY11" t="s">
        <v>20</v>
      </c>
      <c r="IZ11" t="s">
        <v>20</v>
      </c>
      <c r="JA11" t="s">
        <v>51</v>
      </c>
      <c r="JB11" t="s">
        <v>83</v>
      </c>
      <c r="JC11" t="s">
        <v>20</v>
      </c>
      <c r="JD11" t="s">
        <v>29</v>
      </c>
      <c r="JE11" t="s">
        <v>43</v>
      </c>
      <c r="JF11" t="s">
        <v>83</v>
      </c>
      <c r="JG11" t="s">
        <v>83</v>
      </c>
      <c r="JH11" t="s">
        <v>51</v>
      </c>
      <c r="JI11" t="s">
        <v>20</v>
      </c>
      <c r="JJ11" t="s">
        <v>51</v>
      </c>
      <c r="JK11" t="s">
        <v>83</v>
      </c>
      <c r="JL11" t="s">
        <v>36</v>
      </c>
      <c r="JM11" t="s">
        <v>83</v>
      </c>
      <c r="JN11" t="s">
        <v>51</v>
      </c>
      <c r="JO11" t="s">
        <v>43</v>
      </c>
      <c r="JP11" t="s">
        <v>36</v>
      </c>
      <c r="JQ11" t="s">
        <v>51</v>
      </c>
      <c r="JR11" t="s">
        <v>83</v>
      </c>
      <c r="JS11" t="s">
        <v>83</v>
      </c>
      <c r="JT11" t="s">
        <v>83</v>
      </c>
      <c r="JU11" t="s">
        <v>83</v>
      </c>
      <c r="JV11" t="s">
        <v>43</v>
      </c>
      <c r="JW11" t="s">
        <v>20</v>
      </c>
      <c r="JX11" t="s">
        <v>83</v>
      </c>
      <c r="JY11" t="s">
        <v>51</v>
      </c>
      <c r="JZ11" t="s">
        <v>29</v>
      </c>
      <c r="KA11" t="s">
        <v>43</v>
      </c>
      <c r="KB11" t="s">
        <v>43</v>
      </c>
      <c r="KC11" t="s">
        <v>43</v>
      </c>
      <c r="KD11" t="s">
        <v>51</v>
      </c>
      <c r="KE11" t="s">
        <v>51</v>
      </c>
      <c r="KF11" t="s">
        <v>51</v>
      </c>
      <c r="KG11" t="s">
        <v>20</v>
      </c>
      <c r="KH11" t="s">
        <v>51</v>
      </c>
      <c r="KI11" t="s">
        <v>20</v>
      </c>
      <c r="KJ11" t="s">
        <v>29</v>
      </c>
      <c r="KK11" t="s">
        <v>36</v>
      </c>
      <c r="KL11" t="s">
        <v>36</v>
      </c>
      <c r="KM11" t="s">
        <v>51</v>
      </c>
      <c r="KN11" t="s">
        <v>83</v>
      </c>
      <c r="KO11" t="s">
        <v>51</v>
      </c>
      <c r="KP11" t="s">
        <v>83</v>
      </c>
      <c r="KQ11" t="s">
        <v>20</v>
      </c>
      <c r="KR11" t="s">
        <v>36</v>
      </c>
      <c r="KS11" t="s">
        <v>20</v>
      </c>
      <c r="KT11" t="s">
        <v>51</v>
      </c>
      <c r="KU11" t="s">
        <v>43</v>
      </c>
      <c r="KV11" t="s">
        <v>83</v>
      </c>
      <c r="KW11" t="s">
        <v>29</v>
      </c>
      <c r="KX11" t="s">
        <v>51</v>
      </c>
      <c r="KY11" t="s">
        <v>20</v>
      </c>
      <c r="KZ11" t="s">
        <v>51</v>
      </c>
      <c r="LA11" t="s">
        <v>43</v>
      </c>
      <c r="LB11" t="s">
        <v>29</v>
      </c>
      <c r="LC11" t="s">
        <v>51</v>
      </c>
      <c r="LD11" t="s">
        <v>29</v>
      </c>
      <c r="LE11" t="s">
        <v>36</v>
      </c>
      <c r="LF11" t="s">
        <v>51</v>
      </c>
      <c r="LG11" t="s">
        <v>36</v>
      </c>
      <c r="LH11" t="s">
        <v>83</v>
      </c>
      <c r="LI11" t="s">
        <v>29</v>
      </c>
      <c r="LJ11" t="s">
        <v>20</v>
      </c>
      <c r="LK11" t="s">
        <v>51</v>
      </c>
      <c r="LL11" t="s">
        <v>36</v>
      </c>
      <c r="LM11" t="s">
        <v>43</v>
      </c>
      <c r="LN11" t="s">
        <v>43</v>
      </c>
      <c r="LO11" t="s">
        <v>20</v>
      </c>
      <c r="LP11" t="s">
        <v>83</v>
      </c>
      <c r="LQ11" t="s">
        <v>83</v>
      </c>
      <c r="LR11" t="s">
        <v>51</v>
      </c>
      <c r="LS11" t="s">
        <v>51</v>
      </c>
      <c r="LT11" t="s">
        <v>29</v>
      </c>
      <c r="LU11" t="s">
        <v>29</v>
      </c>
      <c r="LV11" t="s">
        <v>83</v>
      </c>
      <c r="LW11" t="s">
        <v>36</v>
      </c>
      <c r="LX11" t="s">
        <v>51</v>
      </c>
      <c r="LY11" t="s">
        <v>29</v>
      </c>
      <c r="LZ11" t="s">
        <v>43</v>
      </c>
      <c r="MA11" t="s">
        <v>43</v>
      </c>
      <c r="MB11" t="s">
        <v>43</v>
      </c>
      <c r="MC11" t="s">
        <v>83</v>
      </c>
      <c r="MD11" t="s">
        <v>29</v>
      </c>
      <c r="ME11" t="s">
        <v>43</v>
      </c>
      <c r="MF11" t="s">
        <v>36</v>
      </c>
      <c r="MG11" t="s">
        <v>51</v>
      </c>
      <c r="MH11" t="s">
        <v>43</v>
      </c>
      <c r="MI11" t="s">
        <v>43</v>
      </c>
      <c r="MJ11" t="s">
        <v>43</v>
      </c>
      <c r="MK11" t="s">
        <v>20</v>
      </c>
      <c r="ML11" t="s">
        <v>51</v>
      </c>
      <c r="MM11" t="s">
        <v>51</v>
      </c>
      <c r="MN11" t="s">
        <v>29</v>
      </c>
      <c r="MO11" t="s">
        <v>51</v>
      </c>
      <c r="MP11" t="s">
        <v>83</v>
      </c>
      <c r="MQ11" t="s">
        <v>29</v>
      </c>
      <c r="MR11" t="s">
        <v>36</v>
      </c>
      <c r="MS11" t="s">
        <v>43</v>
      </c>
      <c r="MT11" t="s">
        <v>20</v>
      </c>
      <c r="MU11" t="s">
        <v>51</v>
      </c>
      <c r="MV11" t="s">
        <v>36</v>
      </c>
      <c r="MW11" t="s">
        <v>36</v>
      </c>
      <c r="MX11" t="s">
        <v>20</v>
      </c>
      <c r="MY11" t="s">
        <v>36</v>
      </c>
      <c r="MZ11" t="s">
        <v>83</v>
      </c>
      <c r="NA11" t="s">
        <v>43</v>
      </c>
      <c r="NB11" t="s">
        <v>20</v>
      </c>
      <c r="NC11" t="s">
        <v>83</v>
      </c>
      <c r="ND11" t="s">
        <v>51</v>
      </c>
      <c r="NE11" t="s">
        <v>20</v>
      </c>
      <c r="NF11" t="s">
        <v>43</v>
      </c>
      <c r="NG11" t="s">
        <v>20</v>
      </c>
      <c r="NH11" t="s">
        <v>20</v>
      </c>
      <c r="NI11" t="s">
        <v>43</v>
      </c>
      <c r="NJ11" t="s">
        <v>51</v>
      </c>
      <c r="NK11" t="s">
        <v>83</v>
      </c>
      <c r="NL11" t="s">
        <v>43</v>
      </c>
      <c r="NM11" t="s">
        <v>36</v>
      </c>
      <c r="NN11" t="s">
        <v>51</v>
      </c>
      <c r="NO11" t="s">
        <v>20</v>
      </c>
      <c r="NP11" t="s">
        <v>20</v>
      </c>
      <c r="NQ11" t="s">
        <v>29</v>
      </c>
      <c r="NR11" t="s">
        <v>83</v>
      </c>
      <c r="NS11" t="s">
        <v>51</v>
      </c>
      <c r="NT11" t="s">
        <v>83</v>
      </c>
      <c r="NU11" t="s">
        <v>36</v>
      </c>
      <c r="NV11" t="s">
        <v>43</v>
      </c>
      <c r="NW11" t="s">
        <v>51</v>
      </c>
      <c r="NX11" t="s">
        <v>20</v>
      </c>
      <c r="NY11" t="s">
        <v>36</v>
      </c>
      <c r="NZ11" t="s">
        <v>20</v>
      </c>
      <c r="OA11" t="s">
        <v>43</v>
      </c>
      <c r="OB11" t="s">
        <v>43</v>
      </c>
      <c r="OC11" t="s">
        <v>36</v>
      </c>
      <c r="OD11" t="s">
        <v>20</v>
      </c>
      <c r="OE11" t="s">
        <v>83</v>
      </c>
      <c r="OF11" t="s">
        <v>83</v>
      </c>
      <c r="OG11" t="s">
        <v>29</v>
      </c>
      <c r="OH11" t="s">
        <v>36</v>
      </c>
      <c r="OI11" t="s">
        <v>43</v>
      </c>
      <c r="OJ11" t="s">
        <v>83</v>
      </c>
      <c r="OK11" t="s">
        <v>51</v>
      </c>
      <c r="OL11" t="s">
        <v>29</v>
      </c>
      <c r="OM11" t="s">
        <v>43</v>
      </c>
      <c r="ON11" t="s">
        <v>51</v>
      </c>
      <c r="OO11" t="s">
        <v>36</v>
      </c>
      <c r="OP11" t="s">
        <v>29</v>
      </c>
      <c r="OQ11" t="s">
        <v>36</v>
      </c>
      <c r="OR11" t="s">
        <v>29</v>
      </c>
      <c r="OS11" t="s">
        <v>83</v>
      </c>
      <c r="OT11" t="s">
        <v>83</v>
      </c>
      <c r="OU11" t="s">
        <v>51</v>
      </c>
      <c r="OV11" t="s">
        <v>29</v>
      </c>
      <c r="OW11" t="s">
        <v>83</v>
      </c>
      <c r="OX11" t="s">
        <v>51</v>
      </c>
      <c r="OY11" t="s">
        <v>29</v>
      </c>
      <c r="OZ11" t="s">
        <v>36</v>
      </c>
      <c r="PA11" t="s">
        <v>83</v>
      </c>
      <c r="PB11" t="s">
        <v>20</v>
      </c>
      <c r="PC11" t="s">
        <v>51</v>
      </c>
      <c r="PD11" t="s">
        <v>51</v>
      </c>
      <c r="PE11" t="s">
        <v>29</v>
      </c>
      <c r="PF11" t="s">
        <v>20</v>
      </c>
      <c r="PG11" t="s">
        <v>20</v>
      </c>
      <c r="PH11" t="s">
        <v>36</v>
      </c>
      <c r="PI11" t="s">
        <v>36</v>
      </c>
      <c r="PJ11" t="s">
        <v>51</v>
      </c>
      <c r="PK11" t="s">
        <v>36</v>
      </c>
      <c r="PL11" t="s">
        <v>43</v>
      </c>
      <c r="PM11" t="s">
        <v>51</v>
      </c>
      <c r="PN11" t="s">
        <v>20</v>
      </c>
      <c r="PO11" t="s">
        <v>29</v>
      </c>
      <c r="PP11" t="s">
        <v>29</v>
      </c>
      <c r="PQ11" t="s">
        <v>36</v>
      </c>
      <c r="PR11" t="s">
        <v>36</v>
      </c>
      <c r="PS11" t="s">
        <v>43</v>
      </c>
      <c r="PT11" t="s">
        <v>83</v>
      </c>
      <c r="PU11" t="s">
        <v>51</v>
      </c>
      <c r="PV11" t="s">
        <v>36</v>
      </c>
      <c r="PW11" t="s">
        <v>43</v>
      </c>
      <c r="PX11" t="s">
        <v>51</v>
      </c>
      <c r="PY11" t="s">
        <v>29</v>
      </c>
      <c r="PZ11" t="s">
        <v>83</v>
      </c>
      <c r="QA11" t="s">
        <v>51</v>
      </c>
      <c r="QB11" t="s">
        <v>36</v>
      </c>
      <c r="QC11" t="s">
        <v>20</v>
      </c>
      <c r="QD11" t="s">
        <v>43</v>
      </c>
      <c r="QE11" t="s">
        <v>83</v>
      </c>
      <c r="QF11" t="s">
        <v>51</v>
      </c>
      <c r="QG11" t="s">
        <v>20</v>
      </c>
      <c r="QH11" t="s">
        <v>36</v>
      </c>
      <c r="QI11" t="s">
        <v>83</v>
      </c>
      <c r="QJ11" t="s">
        <v>51</v>
      </c>
      <c r="QK11" t="s">
        <v>43</v>
      </c>
      <c r="QL11" t="s">
        <v>29</v>
      </c>
      <c r="QM11" t="s">
        <v>36</v>
      </c>
      <c r="QN11" t="s">
        <v>20</v>
      </c>
      <c r="QO11" t="s">
        <v>51</v>
      </c>
      <c r="QP11" t="s">
        <v>36</v>
      </c>
      <c r="QQ11" t="s">
        <v>51</v>
      </c>
      <c r="QR11" t="s">
        <v>83</v>
      </c>
      <c r="QS11" t="s">
        <v>43</v>
      </c>
      <c r="QT11" t="s">
        <v>29</v>
      </c>
      <c r="QU11" t="s">
        <v>51</v>
      </c>
      <c r="QV11" t="s">
        <v>51</v>
      </c>
      <c r="QW11" t="s">
        <v>43</v>
      </c>
      <c r="QX11" t="s">
        <v>36</v>
      </c>
      <c r="QY11" t="s">
        <v>36</v>
      </c>
      <c r="QZ11" t="s">
        <v>20</v>
      </c>
      <c r="RA11" t="s">
        <v>36</v>
      </c>
      <c r="RB11" t="s">
        <v>29</v>
      </c>
      <c r="RC11" t="s">
        <v>20</v>
      </c>
      <c r="RD11" t="s">
        <v>29</v>
      </c>
      <c r="RE11" t="s">
        <v>29</v>
      </c>
      <c r="RF11" t="s">
        <v>29</v>
      </c>
      <c r="RG11" t="s">
        <v>83</v>
      </c>
      <c r="RH11" t="s">
        <v>36</v>
      </c>
      <c r="RI11" t="s">
        <v>29</v>
      </c>
      <c r="RJ11" t="s">
        <v>43</v>
      </c>
      <c r="RK11" t="s">
        <v>51</v>
      </c>
      <c r="RL11" t="s">
        <v>20</v>
      </c>
      <c r="RM11" t="s">
        <v>36</v>
      </c>
      <c r="RN11" t="s">
        <v>36</v>
      </c>
      <c r="RO11" t="s">
        <v>83</v>
      </c>
      <c r="RP11" t="s">
        <v>36</v>
      </c>
      <c r="RQ11" t="s">
        <v>36</v>
      </c>
      <c r="RR11" t="s">
        <v>29</v>
      </c>
      <c r="RS11" t="s">
        <v>83</v>
      </c>
      <c r="RT11" t="s">
        <v>20</v>
      </c>
      <c r="RU11" t="s">
        <v>43</v>
      </c>
      <c r="RV11" t="s">
        <v>36</v>
      </c>
      <c r="RW11" t="s">
        <v>83</v>
      </c>
      <c r="RX11" t="s">
        <v>51</v>
      </c>
      <c r="RY11" t="s">
        <v>36</v>
      </c>
      <c r="RZ11" t="s">
        <v>51</v>
      </c>
      <c r="SA11" t="s">
        <v>20</v>
      </c>
      <c r="SB11" t="s">
        <v>36</v>
      </c>
      <c r="SC11" t="s">
        <v>36</v>
      </c>
      <c r="SD11" t="s">
        <v>36</v>
      </c>
      <c r="SE11" t="s">
        <v>20</v>
      </c>
      <c r="SF11" t="s">
        <v>29</v>
      </c>
      <c r="SG11" t="s">
        <v>29</v>
      </c>
      <c r="SH11" t="s">
        <v>43</v>
      </c>
      <c r="SI11" t="s">
        <v>29</v>
      </c>
      <c r="SJ11" t="s">
        <v>43</v>
      </c>
      <c r="SK11" t="s">
        <v>43</v>
      </c>
      <c r="SL11" t="s">
        <v>36</v>
      </c>
      <c r="SM11" t="s">
        <v>51</v>
      </c>
      <c r="SN11" t="s">
        <v>20</v>
      </c>
      <c r="SO11" t="s">
        <v>36</v>
      </c>
      <c r="SP11" t="s">
        <v>43</v>
      </c>
      <c r="SQ11" t="s">
        <v>29</v>
      </c>
      <c r="SR11" t="s">
        <v>36</v>
      </c>
      <c r="SS11" t="s">
        <v>29</v>
      </c>
      <c r="ST11" t="s">
        <v>83</v>
      </c>
      <c r="SU11" t="s">
        <v>29</v>
      </c>
      <c r="SV11" t="s">
        <v>83</v>
      </c>
      <c r="SW11" t="s">
        <v>29</v>
      </c>
      <c r="SX11" t="s">
        <v>36</v>
      </c>
      <c r="SY11" t="s">
        <v>29</v>
      </c>
      <c r="SZ11" t="s">
        <v>43</v>
      </c>
      <c r="TA11" t="s">
        <v>51</v>
      </c>
      <c r="TB11" t="s">
        <v>20</v>
      </c>
      <c r="TC11" t="s">
        <v>29</v>
      </c>
      <c r="TD11" t="s">
        <v>83</v>
      </c>
      <c r="TE11" t="s">
        <v>29</v>
      </c>
      <c r="TF11" t="s">
        <v>51</v>
      </c>
      <c r="TG11" t="s">
        <v>43</v>
      </c>
      <c r="TH11" t="s">
        <v>43</v>
      </c>
      <c r="TI11" t="s">
        <v>43</v>
      </c>
      <c r="TJ11" t="s">
        <v>51</v>
      </c>
      <c r="TK11" t="s">
        <v>36</v>
      </c>
      <c r="TL11" t="s">
        <v>83</v>
      </c>
      <c r="TM11" t="s">
        <v>43</v>
      </c>
      <c r="TN11" t="s">
        <v>51</v>
      </c>
      <c r="TO11" t="s">
        <v>83</v>
      </c>
      <c r="TP11" t="s">
        <v>51</v>
      </c>
      <c r="TQ11" t="s">
        <v>83</v>
      </c>
      <c r="TR11" t="s">
        <v>83</v>
      </c>
      <c r="TS11" t="s">
        <v>20</v>
      </c>
      <c r="TT11" t="s">
        <v>51</v>
      </c>
      <c r="TU11" t="s">
        <v>36</v>
      </c>
      <c r="TV11" t="s">
        <v>43</v>
      </c>
      <c r="TW11" t="s">
        <v>36</v>
      </c>
      <c r="TX11" t="s">
        <v>20</v>
      </c>
      <c r="TY11" t="s">
        <v>43</v>
      </c>
      <c r="TZ11" t="s">
        <v>36</v>
      </c>
      <c r="UA11" t="s">
        <v>36</v>
      </c>
      <c r="UB11" t="s">
        <v>36</v>
      </c>
      <c r="UC11" t="s">
        <v>83</v>
      </c>
      <c r="UD11" t="s">
        <v>20</v>
      </c>
      <c r="UE11" t="s">
        <v>83</v>
      </c>
      <c r="UF11" t="s">
        <v>36</v>
      </c>
      <c r="UG11" t="s">
        <v>43</v>
      </c>
      <c r="UH11" t="s">
        <v>20</v>
      </c>
      <c r="UI11" t="s">
        <v>29</v>
      </c>
      <c r="UJ11" t="s">
        <v>51</v>
      </c>
      <c r="UK11" t="s">
        <v>29</v>
      </c>
      <c r="UL11" t="s">
        <v>29</v>
      </c>
      <c r="UM11" t="s">
        <v>43</v>
      </c>
      <c r="UN11" t="s">
        <v>29</v>
      </c>
      <c r="UO11" t="s">
        <v>29</v>
      </c>
      <c r="UP11" t="s">
        <v>29</v>
      </c>
      <c r="UQ11" t="s">
        <v>29</v>
      </c>
      <c r="UR11" t="s">
        <v>51</v>
      </c>
      <c r="US11" t="s">
        <v>20</v>
      </c>
      <c r="UT11" t="s">
        <v>20</v>
      </c>
      <c r="UU11" t="s">
        <v>43</v>
      </c>
      <c r="UV11" t="s">
        <v>43</v>
      </c>
      <c r="UW11" t="s">
        <v>20</v>
      </c>
      <c r="UX11" t="s">
        <v>36</v>
      </c>
      <c r="UY11" t="s">
        <v>36</v>
      </c>
      <c r="UZ11" t="s">
        <v>20</v>
      </c>
      <c r="VA11" t="s">
        <v>51</v>
      </c>
      <c r="VB11" t="s">
        <v>83</v>
      </c>
      <c r="VC11" t="s">
        <v>20</v>
      </c>
      <c r="VD11" t="s">
        <v>20</v>
      </c>
      <c r="VE11" t="s">
        <v>29</v>
      </c>
      <c r="VF11" t="s">
        <v>36</v>
      </c>
      <c r="VG11" t="s">
        <v>43</v>
      </c>
      <c r="VH11" t="s">
        <v>20</v>
      </c>
      <c r="VI11" t="s">
        <v>29</v>
      </c>
      <c r="VJ11" t="s">
        <v>36</v>
      </c>
      <c r="VK11" t="s">
        <v>36</v>
      </c>
      <c r="VL11" t="s">
        <v>51</v>
      </c>
      <c r="VM11" t="s">
        <v>20</v>
      </c>
      <c r="VN11" t="s">
        <v>36</v>
      </c>
      <c r="VO11" t="s">
        <v>51</v>
      </c>
      <c r="VP11" t="s">
        <v>29</v>
      </c>
      <c r="VQ11" t="s">
        <v>43</v>
      </c>
      <c r="VR11" t="s">
        <v>43</v>
      </c>
      <c r="VS11" t="s">
        <v>51</v>
      </c>
      <c r="VT11" t="s">
        <v>51</v>
      </c>
      <c r="VU11" t="s">
        <v>83</v>
      </c>
      <c r="VV11" t="s">
        <v>36</v>
      </c>
      <c r="VW11" t="s">
        <v>83</v>
      </c>
      <c r="VX11" t="s">
        <v>83</v>
      </c>
      <c r="VY11" t="s">
        <v>43</v>
      </c>
      <c r="VZ11" t="s">
        <v>43</v>
      </c>
      <c r="WA11" t="s">
        <v>43</v>
      </c>
      <c r="WB11" t="s">
        <v>83</v>
      </c>
      <c r="WC11" t="s">
        <v>36</v>
      </c>
      <c r="WD11" t="s">
        <v>43</v>
      </c>
      <c r="WE11" t="s">
        <v>29</v>
      </c>
      <c r="WF11" t="s">
        <v>43</v>
      </c>
      <c r="WG11" t="s">
        <v>20</v>
      </c>
      <c r="WH11" t="s">
        <v>36</v>
      </c>
      <c r="WI11" t="s">
        <v>51</v>
      </c>
      <c r="WJ11" t="s">
        <v>29</v>
      </c>
      <c r="WK11" t="s">
        <v>29</v>
      </c>
      <c r="WL11" t="s">
        <v>51</v>
      </c>
      <c r="WM11" t="s">
        <v>83</v>
      </c>
      <c r="WN11" t="s">
        <v>51</v>
      </c>
      <c r="WO11" t="s">
        <v>51</v>
      </c>
      <c r="WP11" t="s">
        <v>51</v>
      </c>
      <c r="WQ11" t="s">
        <v>36</v>
      </c>
      <c r="WR11" t="s">
        <v>20</v>
      </c>
      <c r="WS11" t="s">
        <v>20</v>
      </c>
      <c r="WT11" t="s">
        <v>51</v>
      </c>
      <c r="WU11" t="s">
        <v>51</v>
      </c>
      <c r="WV11" t="s">
        <v>83</v>
      </c>
      <c r="WW11" t="s">
        <v>36</v>
      </c>
      <c r="WX11" t="s">
        <v>43</v>
      </c>
      <c r="WY11" t="s">
        <v>43</v>
      </c>
      <c r="WZ11" t="s">
        <v>51</v>
      </c>
      <c r="XA11" t="s">
        <v>29</v>
      </c>
      <c r="XB11" t="s">
        <v>43</v>
      </c>
      <c r="XC11" t="s">
        <v>20</v>
      </c>
      <c r="XD11" t="s">
        <v>20</v>
      </c>
      <c r="XE11" t="s">
        <v>36</v>
      </c>
      <c r="XF11" t="s">
        <v>36</v>
      </c>
      <c r="XG11" t="s">
        <v>43</v>
      </c>
      <c r="XH11" t="s">
        <v>83</v>
      </c>
      <c r="XI11" t="s">
        <v>36</v>
      </c>
      <c r="XJ11" t="s">
        <v>29</v>
      </c>
      <c r="XK11" t="s">
        <v>83</v>
      </c>
      <c r="XL11" t="s">
        <v>36</v>
      </c>
      <c r="XM11" t="s">
        <v>51</v>
      </c>
      <c r="XN11" t="s">
        <v>29</v>
      </c>
      <c r="XO11" t="s">
        <v>51</v>
      </c>
      <c r="XP11" t="s">
        <v>83</v>
      </c>
      <c r="XQ11" t="s">
        <v>51</v>
      </c>
      <c r="XR11" t="s">
        <v>83</v>
      </c>
      <c r="XS11" t="s">
        <v>83</v>
      </c>
      <c r="XT11" t="s">
        <v>83</v>
      </c>
      <c r="XU11" t="s">
        <v>83</v>
      </c>
      <c r="XV11" t="s">
        <v>36</v>
      </c>
      <c r="XW11" t="s">
        <v>83</v>
      </c>
      <c r="XX11" t="s">
        <v>51</v>
      </c>
      <c r="XY11" t="s">
        <v>83</v>
      </c>
      <c r="XZ11" t="s">
        <v>83</v>
      </c>
      <c r="YA11" t="s">
        <v>43</v>
      </c>
      <c r="YB11" t="s">
        <v>36</v>
      </c>
      <c r="YC11" t="s">
        <v>83</v>
      </c>
      <c r="YD11" t="s">
        <v>36</v>
      </c>
      <c r="YE11" t="s">
        <v>51</v>
      </c>
      <c r="YF11" t="s">
        <v>43</v>
      </c>
      <c r="YG11" t="s">
        <v>29</v>
      </c>
      <c r="YH11" t="s">
        <v>20</v>
      </c>
      <c r="YI11" t="s">
        <v>20</v>
      </c>
      <c r="YJ11" t="s">
        <v>83</v>
      </c>
      <c r="YK11" t="s">
        <v>51</v>
      </c>
      <c r="YL11" t="s">
        <v>51</v>
      </c>
      <c r="YM11" t="s">
        <v>51</v>
      </c>
      <c r="YN11" t="s">
        <v>29</v>
      </c>
      <c r="YO11" t="s">
        <v>51</v>
      </c>
      <c r="YP11" t="s">
        <v>43</v>
      </c>
      <c r="YQ11" t="s">
        <v>36</v>
      </c>
      <c r="YR11" t="s">
        <v>43</v>
      </c>
      <c r="YS11" t="s">
        <v>43</v>
      </c>
      <c r="YT11" t="s">
        <v>20</v>
      </c>
      <c r="YU11" t="s">
        <v>20</v>
      </c>
      <c r="YV11" t="s">
        <v>29</v>
      </c>
      <c r="YW11" t="s">
        <v>51</v>
      </c>
      <c r="YX11" t="s">
        <v>83</v>
      </c>
      <c r="YY11" t="s">
        <v>20</v>
      </c>
      <c r="YZ11" t="s">
        <v>43</v>
      </c>
      <c r="ZA11" t="s">
        <v>36</v>
      </c>
      <c r="ZB11" t="s">
        <v>83</v>
      </c>
      <c r="ZC11" t="s">
        <v>43</v>
      </c>
      <c r="ZD11" t="s">
        <v>20</v>
      </c>
      <c r="ZE11" t="s">
        <v>83</v>
      </c>
      <c r="ZF11" t="s">
        <v>51</v>
      </c>
      <c r="ZG11" t="s">
        <v>83</v>
      </c>
      <c r="ZH11" t="s">
        <v>43</v>
      </c>
      <c r="ZI11" t="s">
        <v>29</v>
      </c>
      <c r="ZJ11" t="s">
        <v>20</v>
      </c>
      <c r="ZK11" t="s">
        <v>43</v>
      </c>
      <c r="ZL11" t="s">
        <v>20</v>
      </c>
      <c r="ZM11" t="s">
        <v>43</v>
      </c>
      <c r="ZN11" t="s">
        <v>20</v>
      </c>
      <c r="ZO11" t="s">
        <v>29</v>
      </c>
      <c r="ZP11" t="s">
        <v>51</v>
      </c>
      <c r="ZQ11" t="s">
        <v>20</v>
      </c>
      <c r="ZR11" t="s">
        <v>51</v>
      </c>
      <c r="ZS11" t="s">
        <v>36</v>
      </c>
      <c r="ZT11" t="s">
        <v>29</v>
      </c>
      <c r="ZU11" t="s">
        <v>83</v>
      </c>
      <c r="ZV11" t="s">
        <v>43</v>
      </c>
      <c r="ZW11" t="s">
        <v>36</v>
      </c>
      <c r="ZX11" t="s">
        <v>51</v>
      </c>
      <c r="ZY11" t="s">
        <v>29</v>
      </c>
      <c r="ZZ11" t="s">
        <v>43</v>
      </c>
      <c r="AAA11" t="s">
        <v>29</v>
      </c>
      <c r="AAB11" t="s">
        <v>51</v>
      </c>
      <c r="AAC11" t="s">
        <v>20</v>
      </c>
      <c r="AAD11" t="s">
        <v>29</v>
      </c>
      <c r="AAE11" t="s">
        <v>20</v>
      </c>
      <c r="AAF11" t="s">
        <v>51</v>
      </c>
      <c r="AAG11" t="s">
        <v>36</v>
      </c>
      <c r="AAH11" t="s">
        <v>83</v>
      </c>
      <c r="AAI11" t="s">
        <v>29</v>
      </c>
      <c r="AAJ11" t="s">
        <v>51</v>
      </c>
      <c r="AAK11" t="s">
        <v>83</v>
      </c>
      <c r="AAL11" t="s">
        <v>29</v>
      </c>
      <c r="AAM11" t="s">
        <v>83</v>
      </c>
      <c r="AAN11" t="s">
        <v>20</v>
      </c>
      <c r="AAO11" t="s">
        <v>20</v>
      </c>
      <c r="AAP11" t="s">
        <v>29</v>
      </c>
      <c r="AAQ11" t="s">
        <v>20</v>
      </c>
      <c r="AAR11" t="s">
        <v>83</v>
      </c>
      <c r="AAS11" t="s">
        <v>43</v>
      </c>
      <c r="AAT11" t="s">
        <v>36</v>
      </c>
      <c r="AAU11" t="s">
        <v>29</v>
      </c>
      <c r="AAV11" t="s">
        <v>36</v>
      </c>
      <c r="AAW11" t="s">
        <v>36</v>
      </c>
      <c r="AAX11" t="s">
        <v>51</v>
      </c>
      <c r="AAY11" t="s">
        <v>83</v>
      </c>
      <c r="AAZ11" t="s">
        <v>43</v>
      </c>
      <c r="ABA11" t="s">
        <v>51</v>
      </c>
      <c r="ABB11" t="s">
        <v>83</v>
      </c>
      <c r="ABC11" t="s">
        <v>83</v>
      </c>
      <c r="ABD11" t="s">
        <v>36</v>
      </c>
      <c r="ABE11" t="s">
        <v>36</v>
      </c>
      <c r="ABF11" t="s">
        <v>83</v>
      </c>
      <c r="ABG11" t="s">
        <v>43</v>
      </c>
      <c r="ABH11" t="s">
        <v>36</v>
      </c>
      <c r="ABI11" t="s">
        <v>36</v>
      </c>
      <c r="ABJ11" t="s">
        <v>51</v>
      </c>
      <c r="ABK11" t="s">
        <v>83</v>
      </c>
      <c r="ABL11" t="s">
        <v>83</v>
      </c>
      <c r="ABM11" t="s">
        <v>20</v>
      </c>
      <c r="ABN11" t="s">
        <v>36</v>
      </c>
      <c r="ABO11" t="s">
        <v>51</v>
      </c>
      <c r="ABP11" t="s">
        <v>83</v>
      </c>
      <c r="ABQ11" t="s">
        <v>83</v>
      </c>
      <c r="ABR11" t="s">
        <v>51</v>
      </c>
      <c r="ABS11" t="s">
        <v>20</v>
      </c>
      <c r="ABT11" t="s">
        <v>36</v>
      </c>
      <c r="ABU11" t="s">
        <v>29</v>
      </c>
      <c r="ABV11" t="s">
        <v>36</v>
      </c>
      <c r="ABW11" t="s">
        <v>20</v>
      </c>
      <c r="ABX11" t="s">
        <v>51</v>
      </c>
      <c r="ABY11" t="s">
        <v>29</v>
      </c>
      <c r="ABZ11" t="s">
        <v>51</v>
      </c>
      <c r="ACA11" t="s">
        <v>36</v>
      </c>
      <c r="ACB11" t="s">
        <v>51</v>
      </c>
      <c r="ACC11" t="s">
        <v>29</v>
      </c>
      <c r="ACD11" t="s">
        <v>20</v>
      </c>
      <c r="ACE11" t="s">
        <v>36</v>
      </c>
      <c r="ACF11" t="s">
        <v>51</v>
      </c>
      <c r="ACG11" t="s">
        <v>83</v>
      </c>
      <c r="ACH11" t="s">
        <v>51</v>
      </c>
      <c r="ACI11" t="s">
        <v>51</v>
      </c>
      <c r="ACJ11" t="s">
        <v>29</v>
      </c>
      <c r="ACK11" t="s">
        <v>83</v>
      </c>
      <c r="ACL11" t="s">
        <v>20</v>
      </c>
      <c r="ACM11" t="s">
        <v>20</v>
      </c>
      <c r="ACN11" t="s">
        <v>36</v>
      </c>
      <c r="ACO11" t="s">
        <v>20</v>
      </c>
      <c r="ACP11" t="s">
        <v>20</v>
      </c>
      <c r="ACQ11" t="s">
        <v>20</v>
      </c>
      <c r="ACR11" t="s">
        <v>36</v>
      </c>
      <c r="ACS11" t="s">
        <v>51</v>
      </c>
      <c r="ACT11" t="s">
        <v>36</v>
      </c>
      <c r="ACU11" t="s">
        <v>36</v>
      </c>
      <c r="ACV11" t="s">
        <v>83</v>
      </c>
      <c r="ACW11" t="s">
        <v>83</v>
      </c>
      <c r="ACX11" t="s">
        <v>43</v>
      </c>
      <c r="ACY11" t="s">
        <v>51</v>
      </c>
      <c r="ACZ11" t="s">
        <v>43</v>
      </c>
      <c r="ADA11" t="s">
        <v>51</v>
      </c>
      <c r="ADB11" t="s">
        <v>83</v>
      </c>
      <c r="ADC11" t="s">
        <v>43</v>
      </c>
      <c r="ADD11" t="s">
        <v>29</v>
      </c>
      <c r="ADE11" t="s">
        <v>83</v>
      </c>
      <c r="ADF11" t="s">
        <v>36</v>
      </c>
      <c r="ADG11" t="s">
        <v>36</v>
      </c>
      <c r="ADH11" t="s">
        <v>29</v>
      </c>
      <c r="ADI11" t="s">
        <v>36</v>
      </c>
      <c r="ADJ11" t="s">
        <v>83</v>
      </c>
      <c r="ADK11" t="s">
        <v>51</v>
      </c>
      <c r="ADL11" t="s">
        <v>83</v>
      </c>
      <c r="ADM11" t="s">
        <v>51</v>
      </c>
      <c r="ADN11" t="s">
        <v>36</v>
      </c>
      <c r="ADO11" t="s">
        <v>51</v>
      </c>
      <c r="ADP11" t="s">
        <v>43</v>
      </c>
      <c r="ADQ11" t="s">
        <v>43</v>
      </c>
      <c r="ADR11" t="s">
        <v>83</v>
      </c>
      <c r="ADS11" t="s">
        <v>51</v>
      </c>
      <c r="ADT11" t="s">
        <v>43</v>
      </c>
      <c r="ADU11" t="s">
        <v>20</v>
      </c>
      <c r="ADV11" t="s">
        <v>83</v>
      </c>
      <c r="ADW11" t="s">
        <v>83</v>
      </c>
      <c r="ADX11" t="s">
        <v>51</v>
      </c>
      <c r="ADY11" t="s">
        <v>43</v>
      </c>
      <c r="ADZ11" t="s">
        <v>29</v>
      </c>
      <c r="AEA11" t="s">
        <v>83</v>
      </c>
      <c r="AEB11" t="s">
        <v>83</v>
      </c>
      <c r="AEC11" t="s">
        <v>43</v>
      </c>
      <c r="AED11" t="s">
        <v>83</v>
      </c>
      <c r="AEE11" t="s">
        <v>29</v>
      </c>
      <c r="AEF11" t="s">
        <v>51</v>
      </c>
      <c r="AEG11" t="s">
        <v>20</v>
      </c>
      <c r="AEH11" t="s">
        <v>20</v>
      </c>
      <c r="AEI11" t="s">
        <v>51</v>
      </c>
      <c r="AEJ11" t="s">
        <v>83</v>
      </c>
      <c r="AEK11" t="s">
        <v>43</v>
      </c>
      <c r="AEL11" t="s">
        <v>36</v>
      </c>
      <c r="AEM11" t="s">
        <v>36</v>
      </c>
      <c r="AEN11" t="s">
        <v>20</v>
      </c>
      <c r="AEO11" t="s">
        <v>83</v>
      </c>
      <c r="AEP11" t="s">
        <v>36</v>
      </c>
      <c r="AEQ11" t="s">
        <v>36</v>
      </c>
      <c r="AER11" t="s">
        <v>36</v>
      </c>
      <c r="AES11" t="s">
        <v>29</v>
      </c>
      <c r="AET11" t="s">
        <v>43</v>
      </c>
      <c r="AEU11" t="s">
        <v>29</v>
      </c>
      <c r="AEV11" t="s">
        <v>36</v>
      </c>
      <c r="AEW11" t="s">
        <v>43</v>
      </c>
      <c r="AEX11" t="s">
        <v>51</v>
      </c>
      <c r="AEY11" t="s">
        <v>83</v>
      </c>
      <c r="AEZ11" t="s">
        <v>20</v>
      </c>
      <c r="AFA11" t="s">
        <v>43</v>
      </c>
      <c r="AFB11" t="s">
        <v>51</v>
      </c>
      <c r="AFC11" t="s">
        <v>36</v>
      </c>
      <c r="AFD11" t="s">
        <v>43</v>
      </c>
      <c r="AFE11" t="s">
        <v>83</v>
      </c>
      <c r="AFF11" t="s">
        <v>20</v>
      </c>
      <c r="AFG11" t="s">
        <v>83</v>
      </c>
      <c r="AFH11" t="s">
        <v>43</v>
      </c>
      <c r="AFI11" t="s">
        <v>43</v>
      </c>
      <c r="AFJ11" t="s">
        <v>51</v>
      </c>
      <c r="AFK11" t="s">
        <v>51</v>
      </c>
      <c r="AFL11" t="s">
        <v>43</v>
      </c>
      <c r="AFM11" t="s">
        <v>83</v>
      </c>
      <c r="AFN11" t="s">
        <v>29</v>
      </c>
      <c r="AFO11" t="s">
        <v>51</v>
      </c>
      <c r="AFP11" t="s">
        <v>36</v>
      </c>
      <c r="AFQ11" t="s">
        <v>51</v>
      </c>
      <c r="AFR11" t="s">
        <v>43</v>
      </c>
      <c r="AFS11" t="s">
        <v>83</v>
      </c>
      <c r="AFT11" t="s">
        <v>29</v>
      </c>
      <c r="AFU11" t="s">
        <v>43</v>
      </c>
      <c r="AFV11" t="s">
        <v>51</v>
      </c>
      <c r="AFW11" t="s">
        <v>51</v>
      </c>
      <c r="AFX11" t="s">
        <v>43</v>
      </c>
      <c r="AFY11" t="s">
        <v>51</v>
      </c>
      <c r="AFZ11" t="s">
        <v>51</v>
      </c>
      <c r="AGA11" t="s">
        <v>83</v>
      </c>
      <c r="AGB11" t="s">
        <v>83</v>
      </c>
      <c r="AGC11" t="s">
        <v>20</v>
      </c>
      <c r="AGD11" t="s">
        <v>51</v>
      </c>
      <c r="AGE11" t="s">
        <v>43</v>
      </c>
      <c r="AGF11" t="s">
        <v>20</v>
      </c>
      <c r="AGG11" t="s">
        <v>29</v>
      </c>
      <c r="AGH11" t="s">
        <v>36</v>
      </c>
      <c r="AGI11" t="s">
        <v>83</v>
      </c>
      <c r="AGJ11" t="s">
        <v>20</v>
      </c>
      <c r="AGK11" t="s">
        <v>43</v>
      </c>
      <c r="AGL11" t="s">
        <v>83</v>
      </c>
      <c r="AGM11" t="s">
        <v>29</v>
      </c>
      <c r="AGN11" t="s">
        <v>83</v>
      </c>
      <c r="AGO11" t="s">
        <v>36</v>
      </c>
      <c r="AGP11" t="s">
        <v>20</v>
      </c>
      <c r="AGQ11" t="s">
        <v>51</v>
      </c>
      <c r="AGR11" t="s">
        <v>36</v>
      </c>
      <c r="AGS11" t="s">
        <v>36</v>
      </c>
      <c r="AGT11" t="s">
        <v>43</v>
      </c>
      <c r="AGU11" t="s">
        <v>20</v>
      </c>
      <c r="AGV11" t="s">
        <v>29</v>
      </c>
      <c r="AGW11" t="s">
        <v>29</v>
      </c>
      <c r="AGX11" t="s">
        <v>43</v>
      </c>
      <c r="AGY11" t="s">
        <v>20</v>
      </c>
      <c r="AGZ11" t="s">
        <v>36</v>
      </c>
      <c r="AHA11" t="s">
        <v>29</v>
      </c>
      <c r="AHB11" t="s">
        <v>20</v>
      </c>
      <c r="AHC11" t="s">
        <v>36</v>
      </c>
      <c r="AHD11" t="s">
        <v>83</v>
      </c>
      <c r="AHE11" t="s">
        <v>29</v>
      </c>
      <c r="AHF11" t="s">
        <v>43</v>
      </c>
      <c r="AHG11" t="s">
        <v>36</v>
      </c>
      <c r="AHH11" t="s">
        <v>20</v>
      </c>
      <c r="AHI11" t="s">
        <v>83</v>
      </c>
      <c r="AHJ11" t="s">
        <v>29</v>
      </c>
      <c r="AHK11" t="s">
        <v>43</v>
      </c>
      <c r="AHL11" t="s">
        <v>29</v>
      </c>
      <c r="AHM11" t="s">
        <v>29</v>
      </c>
      <c r="AHN11" t="s">
        <v>51</v>
      </c>
      <c r="AHO11" t="s">
        <v>51</v>
      </c>
      <c r="AHP11" t="s">
        <v>29</v>
      </c>
      <c r="AHQ11" t="s">
        <v>51</v>
      </c>
      <c r="AHR11" t="s">
        <v>51</v>
      </c>
      <c r="AHS11" t="s">
        <v>29</v>
      </c>
      <c r="AHT11" t="s">
        <v>43</v>
      </c>
      <c r="AHU11" t="s">
        <v>36</v>
      </c>
      <c r="AHV11" t="s">
        <v>43</v>
      </c>
      <c r="AHW11" t="s">
        <v>29</v>
      </c>
      <c r="AHX11" t="s">
        <v>43</v>
      </c>
      <c r="AHY11" t="s">
        <v>51</v>
      </c>
      <c r="AHZ11" t="s">
        <v>20</v>
      </c>
      <c r="AIA11" t="s">
        <v>20</v>
      </c>
      <c r="AIB11" t="s">
        <v>20</v>
      </c>
      <c r="AIC11" t="s">
        <v>29</v>
      </c>
      <c r="AID11" t="s">
        <v>29</v>
      </c>
      <c r="AIE11" t="s">
        <v>20</v>
      </c>
      <c r="AIF11" t="s">
        <v>29</v>
      </c>
      <c r="AIG11" t="s">
        <v>43</v>
      </c>
      <c r="AIH11" t="s">
        <v>43</v>
      </c>
      <c r="AII11" t="s">
        <v>43</v>
      </c>
      <c r="AIJ11" t="s">
        <v>51</v>
      </c>
      <c r="AIK11" t="s">
        <v>20</v>
      </c>
      <c r="AIL11" t="s">
        <v>43</v>
      </c>
      <c r="AIM11" t="s">
        <v>36</v>
      </c>
      <c r="AIN11" t="s">
        <v>36</v>
      </c>
      <c r="AIO11" t="s">
        <v>20</v>
      </c>
      <c r="AIP11" t="s">
        <v>36</v>
      </c>
      <c r="AIQ11" t="s">
        <v>51</v>
      </c>
      <c r="AIR11" t="s">
        <v>29</v>
      </c>
      <c r="AIS11" t="s">
        <v>36</v>
      </c>
      <c r="AIT11" t="s">
        <v>36</v>
      </c>
      <c r="AIU11" t="s">
        <v>36</v>
      </c>
      <c r="AIV11" t="s">
        <v>36</v>
      </c>
      <c r="AIW11" t="s">
        <v>43</v>
      </c>
      <c r="AIX11" t="s">
        <v>36</v>
      </c>
      <c r="AIY11" t="s">
        <v>43</v>
      </c>
      <c r="AIZ11" t="s">
        <v>29</v>
      </c>
      <c r="AJA11" t="s">
        <v>36</v>
      </c>
      <c r="AJB11" t="s">
        <v>20</v>
      </c>
      <c r="AJC11" t="s">
        <v>20</v>
      </c>
      <c r="AJD11" t="s">
        <v>51</v>
      </c>
      <c r="AJE11" t="s">
        <v>83</v>
      </c>
      <c r="AJF11" t="s">
        <v>20</v>
      </c>
      <c r="AJG11" t="s">
        <v>36</v>
      </c>
      <c r="AJH11" t="s">
        <v>83</v>
      </c>
      <c r="AJI11" t="s">
        <v>43</v>
      </c>
      <c r="AJJ11" t="s">
        <v>83</v>
      </c>
      <c r="AJK11" t="s">
        <v>83</v>
      </c>
      <c r="AJL11" t="s">
        <v>20</v>
      </c>
      <c r="AJM11" t="s">
        <v>36</v>
      </c>
      <c r="AJN11" t="s">
        <v>29</v>
      </c>
      <c r="AJO11" t="s">
        <v>83</v>
      </c>
      <c r="AJP11" t="s">
        <v>29</v>
      </c>
      <c r="AJQ11" t="s">
        <v>36</v>
      </c>
      <c r="AJR11" t="s">
        <v>43</v>
      </c>
      <c r="AJS11" t="s">
        <v>36</v>
      </c>
      <c r="AJT11" t="s">
        <v>36</v>
      </c>
      <c r="AJU11" t="s">
        <v>36</v>
      </c>
      <c r="AJV11" t="s">
        <v>36</v>
      </c>
      <c r="AJW11" t="s">
        <v>36</v>
      </c>
      <c r="AJX11" t="s">
        <v>51</v>
      </c>
      <c r="AJY11" t="s">
        <v>36</v>
      </c>
      <c r="AJZ11" t="s">
        <v>83</v>
      </c>
      <c r="AKA11" t="s">
        <v>29</v>
      </c>
      <c r="AKB11" t="s">
        <v>51</v>
      </c>
      <c r="AKC11" t="s">
        <v>51</v>
      </c>
      <c r="AKD11" t="s">
        <v>51</v>
      </c>
      <c r="AKE11" t="s">
        <v>29</v>
      </c>
      <c r="AKF11" t="s">
        <v>29</v>
      </c>
      <c r="AKG11" t="s">
        <v>51</v>
      </c>
      <c r="AKH11" t="s">
        <v>20</v>
      </c>
      <c r="AKI11" t="s">
        <v>43</v>
      </c>
      <c r="AKJ11" t="s">
        <v>83</v>
      </c>
      <c r="AKK11" t="s">
        <v>20</v>
      </c>
      <c r="AKL11" t="s">
        <v>51</v>
      </c>
      <c r="AKM11" t="s">
        <v>20</v>
      </c>
      <c r="AKN11" t="s">
        <v>43</v>
      </c>
      <c r="AKO11" t="s">
        <v>20</v>
      </c>
      <c r="AKP11" t="s">
        <v>83</v>
      </c>
      <c r="AKQ11" t="s">
        <v>20</v>
      </c>
      <c r="AKR11" t="s">
        <v>29</v>
      </c>
      <c r="AKS11" t="s">
        <v>20</v>
      </c>
      <c r="AKT11" t="s">
        <v>36</v>
      </c>
      <c r="AKU11" t="s">
        <v>20</v>
      </c>
      <c r="AKV11" t="s">
        <v>83</v>
      </c>
      <c r="AKW11" t="s">
        <v>36</v>
      </c>
      <c r="AKX11" t="s">
        <v>43</v>
      </c>
      <c r="AKY11" t="s">
        <v>51</v>
      </c>
      <c r="AKZ11" t="s">
        <v>29</v>
      </c>
      <c r="ALA11" t="s">
        <v>43</v>
      </c>
      <c r="ALB11" t="s">
        <v>43</v>
      </c>
      <c r="ALC11" t="s">
        <v>83</v>
      </c>
      <c r="ALD11" t="s">
        <v>29</v>
      </c>
      <c r="ALE11" t="s">
        <v>36</v>
      </c>
      <c r="ALF11" t="s">
        <v>51</v>
      </c>
      <c r="ALG11" t="s">
        <v>51</v>
      </c>
      <c r="ALH11" t="s">
        <v>83</v>
      </c>
      <c r="ALI11" t="s">
        <v>43</v>
      </c>
      <c r="ALJ11" t="s">
        <v>51</v>
      </c>
      <c r="ALK11" t="s">
        <v>20</v>
      </c>
      <c r="ALL11" t="s">
        <v>29</v>
      </c>
      <c r="ALM11" t="s">
        <v>20</v>
      </c>
    </row>
    <row r="12" spans="1:1001" ht="29.4" customHeight="1" x14ac:dyDescent="0.3">
      <c r="A12" s="3" t="s">
        <v>9</v>
      </c>
      <c r="B12">
        <f>B8*B9</f>
        <v>1441.74</v>
      </c>
      <c r="C12">
        <f>C8*C9</f>
        <v>6280.0499999999993</v>
      </c>
      <c r="D12">
        <f>D8*D9</f>
        <v>20995.56</v>
      </c>
      <c r="E12">
        <f>E8*E9</f>
        <v>19027.05</v>
      </c>
      <c r="F12">
        <f>F8*F9</f>
        <v>3768.18</v>
      </c>
      <c r="G12">
        <f>G8*G9</f>
        <v>30958.760000000002</v>
      </c>
      <c r="H12">
        <f>H8*H9</f>
        <v>5937.88</v>
      </c>
      <c r="I12">
        <f>I8*I9</f>
        <v>37185.919999999998</v>
      </c>
      <c r="J12">
        <f>J8*J9</f>
        <v>8789.66</v>
      </c>
      <c r="K12">
        <f>K8*K9</f>
        <v>12374.16</v>
      </c>
      <c r="L12">
        <f>L8*L9</f>
        <v>2930.16</v>
      </c>
      <c r="M12">
        <f>M8*M9</f>
        <v>661.42</v>
      </c>
      <c r="N12">
        <f>N8*N9</f>
        <v>13255.75</v>
      </c>
      <c r="O12">
        <f>O8*O9</f>
        <v>5935.32</v>
      </c>
      <c r="P12">
        <f>P8*P9</f>
        <v>4583.8999999999996</v>
      </c>
      <c r="Q12">
        <f>Q8*Q9</f>
        <v>21368.13</v>
      </c>
      <c r="R12">
        <f>R8*R9</f>
        <v>10727.12</v>
      </c>
      <c r="S12">
        <f>S8*S9</f>
        <v>11179.28</v>
      </c>
      <c r="T12">
        <f>T8*T9</f>
        <v>21794.78</v>
      </c>
      <c r="U12">
        <f>U8*U9</f>
        <v>7066.68</v>
      </c>
      <c r="V12">
        <f>V8*V9</f>
        <v>16674.060000000001</v>
      </c>
      <c r="W12">
        <f>W8*W9</f>
        <v>982.46</v>
      </c>
      <c r="X12">
        <f>X8*X9</f>
        <v>8356.8799999999992</v>
      </c>
      <c r="Y12">
        <f>Y8*Y9</f>
        <v>21935.1</v>
      </c>
      <c r="Z12">
        <f>Z8*Z9</f>
        <v>9419.44</v>
      </c>
      <c r="AA12">
        <f>AA8*AA9</f>
        <v>49552.799999999996</v>
      </c>
      <c r="AB12">
        <f>AB8*AB9</f>
        <v>19189.84</v>
      </c>
      <c r="AC12">
        <f>AC8*AC9</f>
        <v>14933.150000000001</v>
      </c>
      <c r="AD12">
        <f>AD8*AD9</f>
        <v>10440.08</v>
      </c>
      <c r="AE12">
        <f>AE8*AE9</f>
        <v>3801.15</v>
      </c>
      <c r="AF12">
        <f>AF8*AF9</f>
        <v>24899.49</v>
      </c>
      <c r="AG12">
        <f>AG8*AG9</f>
        <v>2925.7799999999997</v>
      </c>
      <c r="AH12">
        <f>AH8*AH9</f>
        <v>8702.75</v>
      </c>
      <c r="AI12">
        <f>AI8*AI9</f>
        <v>33594.160000000003</v>
      </c>
      <c r="AJ12">
        <f>AJ8*AJ9</f>
        <v>27712.199999999997</v>
      </c>
      <c r="AK12">
        <f>AK8*AK9</f>
        <v>888.72</v>
      </c>
      <c r="AL12">
        <f>AL8*AL9</f>
        <v>3924.7</v>
      </c>
      <c r="AM12">
        <f>AM8*AM9</f>
        <v>10787.2</v>
      </c>
      <c r="AN12">
        <f>AN8*AN9</f>
        <v>19167.75</v>
      </c>
      <c r="AO12">
        <f>AO8*AO9</f>
        <v>40912.399999999994</v>
      </c>
      <c r="AP12">
        <f>AP8*AP9</f>
        <v>4194.4799999999996</v>
      </c>
      <c r="AQ12">
        <f>AQ8*AQ9</f>
        <v>2042.23</v>
      </c>
      <c r="AR12">
        <f>AR8*AR9</f>
        <v>7758.4000000000005</v>
      </c>
      <c r="AS12">
        <f>AS8*AS9</f>
        <v>32266.639999999999</v>
      </c>
      <c r="AT12">
        <f>AT8*AT9</f>
        <v>3963.51</v>
      </c>
      <c r="AU12">
        <f>AU8*AU9</f>
        <v>4596.33</v>
      </c>
      <c r="AV12">
        <f>AV8*AV9</f>
        <v>10852.64</v>
      </c>
      <c r="AW12">
        <f>AW8*AW9</f>
        <v>10601.300000000001</v>
      </c>
      <c r="AX12">
        <f>AX8*AX9</f>
        <v>25214.699999999997</v>
      </c>
      <c r="AY12">
        <f>AY8*AY9</f>
        <v>10494.7</v>
      </c>
      <c r="AZ12">
        <f>AZ8*AZ9</f>
        <v>30000.420000000002</v>
      </c>
      <c r="BA12">
        <f>BA8*BA9</f>
        <v>2797.92</v>
      </c>
      <c r="BB12">
        <f>BB8*BB9</f>
        <v>13614.420000000002</v>
      </c>
      <c r="BC12">
        <f>BC8*BC9</f>
        <v>3714.7599999999998</v>
      </c>
      <c r="BD12">
        <f>BD8*BD9</f>
        <v>11496.18</v>
      </c>
      <c r="BE12">
        <f>BE8*BE9</f>
        <v>5953.08</v>
      </c>
      <c r="BF12">
        <f>BF8*BF9</f>
        <v>6783.88</v>
      </c>
      <c r="BG12">
        <f>BG8*BG9</f>
        <v>18784</v>
      </c>
      <c r="BH12">
        <f>BH8*BH9</f>
        <v>39272.400000000001</v>
      </c>
      <c r="BI12">
        <f>BI8*BI9</f>
        <v>8660.48</v>
      </c>
      <c r="BJ12">
        <f>BJ8*BJ9</f>
        <v>12939</v>
      </c>
      <c r="BK12">
        <f>BK8*BK9</f>
        <v>20297.13</v>
      </c>
      <c r="BL12">
        <f>BL8*BL9</f>
        <v>1561.74</v>
      </c>
      <c r="BM12">
        <f>BM8*BM9</f>
        <v>13626.83</v>
      </c>
      <c r="BN12">
        <f>BN8*BN9</f>
        <v>22881.350000000002</v>
      </c>
      <c r="BO12">
        <f>BO8*BO9</f>
        <v>8706</v>
      </c>
      <c r="BP12">
        <f>BP8*BP9</f>
        <v>12617.400000000001</v>
      </c>
      <c r="BQ12">
        <f>BQ8*BQ9</f>
        <v>43156.800000000003</v>
      </c>
      <c r="BR12">
        <f>BR8*BR9</f>
        <v>9003.4500000000007</v>
      </c>
      <c r="BS12">
        <f>BS8*BS9</f>
        <v>24616.959999999999</v>
      </c>
      <c r="BT12">
        <f>BT8*BT9</f>
        <v>12689.849999999999</v>
      </c>
      <c r="BU12">
        <f>BU8*BU9</f>
        <v>14324.22</v>
      </c>
      <c r="BV12">
        <f>BV8*BV9</f>
        <v>21789.759999999998</v>
      </c>
      <c r="BW12">
        <f>BW8*BW9</f>
        <v>12376.380000000001</v>
      </c>
      <c r="BX12">
        <f>BX8*BX9</f>
        <v>20341.5</v>
      </c>
      <c r="BY12">
        <f>BY8*BY9</f>
        <v>13934.75</v>
      </c>
      <c r="BZ12">
        <f>BZ8*BZ9</f>
        <v>28439.39</v>
      </c>
      <c r="CA12">
        <f>CA8*CA9</f>
        <v>40328.639999999999</v>
      </c>
      <c r="CB12">
        <f>CB8*CB9</f>
        <v>4516.93</v>
      </c>
      <c r="CC12">
        <f>CC8*CC9</f>
        <v>16776.830000000002</v>
      </c>
      <c r="CD12">
        <f>CD8*CD9</f>
        <v>39483.760000000002</v>
      </c>
      <c r="CE12">
        <f>CE8*CE9</f>
        <v>11622.52</v>
      </c>
      <c r="CF12">
        <f>CF8*CF9</f>
        <v>25254.48</v>
      </c>
      <c r="CG12">
        <f>CG8*CG9</f>
        <v>9407.34</v>
      </c>
      <c r="CH12">
        <f>CH8*CH9</f>
        <v>2389.71</v>
      </c>
      <c r="CI12">
        <f>CI8*CI9</f>
        <v>9491.92</v>
      </c>
      <c r="CJ12">
        <f>CJ8*CJ9</f>
        <v>25830.799999999999</v>
      </c>
      <c r="CK12">
        <f>CK8*CK9</f>
        <v>13517.15</v>
      </c>
      <c r="CL12">
        <f>CL8*CL9</f>
        <v>47636.1</v>
      </c>
      <c r="CM12">
        <f>CM8*CM9</f>
        <v>2248.81</v>
      </c>
      <c r="CN12">
        <f>CN8*CN9</f>
        <v>4230.8999999999996</v>
      </c>
      <c r="CO12">
        <f>CO8*CO9</f>
        <v>26276.76</v>
      </c>
      <c r="CP12">
        <f>CP8*CP9</f>
        <v>13562.84</v>
      </c>
      <c r="CQ12">
        <f>CQ8*CQ9</f>
        <v>3255.6</v>
      </c>
      <c r="CR12">
        <f>CR8*CR9</f>
        <v>6491.58</v>
      </c>
      <c r="CS12">
        <f>CS8*CS9</f>
        <v>21303.24</v>
      </c>
      <c r="CT12">
        <f>CT8*CT9</f>
        <v>10167.06</v>
      </c>
      <c r="CU12">
        <f>CU8*CU9</f>
        <v>7299.42</v>
      </c>
      <c r="CV12">
        <f>CV8*CV9</f>
        <v>10100.720000000001</v>
      </c>
      <c r="CW12">
        <f>CW8*CW9</f>
        <v>11054.33</v>
      </c>
      <c r="CX12">
        <f>CX8*CX9</f>
        <v>38095.440000000002</v>
      </c>
      <c r="CY12">
        <f>CY8*CY9</f>
        <v>7346.4</v>
      </c>
      <c r="CZ12">
        <f>CZ8*CZ9</f>
        <v>14701.84</v>
      </c>
      <c r="DA12">
        <f>DA8*DA9</f>
        <v>1557.78</v>
      </c>
      <c r="DB12">
        <f>DB8*DB9</f>
        <v>5318.25</v>
      </c>
      <c r="DC12">
        <f>DC8*DC9</f>
        <v>2600.4699999999998</v>
      </c>
      <c r="DD12">
        <f>DD8*DD9</f>
        <v>47109.5</v>
      </c>
      <c r="DE12">
        <f>DE8*DE9</f>
        <v>29040.720000000001</v>
      </c>
      <c r="DF12">
        <f>DF8*DF9</f>
        <v>947.38</v>
      </c>
      <c r="DG12">
        <f>DG8*DG9</f>
        <v>6546.44</v>
      </c>
      <c r="DH12">
        <f>DH8*DH9</f>
        <v>4230.16</v>
      </c>
      <c r="DI12">
        <f>DI8*DI9</f>
        <v>26195.9</v>
      </c>
      <c r="DJ12">
        <f>DJ8*DJ9</f>
        <v>6892.4400000000005</v>
      </c>
      <c r="DK12">
        <f>DK8*DK9</f>
        <v>7936.68</v>
      </c>
      <c r="DL12">
        <f>DL8*DL9</f>
        <v>14019.949999999999</v>
      </c>
      <c r="DM12">
        <f>DM8*DM9</f>
        <v>2071.4299999999998</v>
      </c>
      <c r="DN12">
        <f>DN8*DN9</f>
        <v>8647.7800000000007</v>
      </c>
      <c r="DO12">
        <f>DO8*DO9</f>
        <v>3507.73</v>
      </c>
      <c r="DP12">
        <f>DP8*DP9</f>
        <v>9498.99</v>
      </c>
      <c r="DQ12">
        <f>DQ8*DQ9</f>
        <v>23325.9</v>
      </c>
      <c r="DR12">
        <f>DR8*DR9</f>
        <v>6028.26</v>
      </c>
      <c r="DS12">
        <f>DS8*DS9</f>
        <v>14913.800000000001</v>
      </c>
      <c r="DT12">
        <f>DT8*DT9</f>
        <v>6695.34</v>
      </c>
      <c r="DU12">
        <f>DU8*DU9</f>
        <v>10326.06</v>
      </c>
      <c r="DV12">
        <f>DV8*DV9</f>
        <v>5081.8999999999996</v>
      </c>
      <c r="DW12">
        <f>DW8*DW9</f>
        <v>14933.199999999999</v>
      </c>
      <c r="DX12">
        <f>DX8*DX9</f>
        <v>11247.869999999999</v>
      </c>
      <c r="DY12">
        <f>DY8*DY9</f>
        <v>2486.62</v>
      </c>
      <c r="DZ12">
        <f>DZ8*DZ9</f>
        <v>28661.759999999998</v>
      </c>
      <c r="EA12">
        <f>EA8*EA9</f>
        <v>39447.360000000001</v>
      </c>
      <c r="EB12">
        <f>EB8*EB9</f>
        <v>2763.9</v>
      </c>
      <c r="EC12">
        <f>EC8*EC9</f>
        <v>6141.57</v>
      </c>
      <c r="ED12">
        <f>ED8*ED9</f>
        <v>4784.5999999999995</v>
      </c>
      <c r="EE12">
        <f>EE8*EE9</f>
        <v>19758.5</v>
      </c>
      <c r="EF12">
        <f>EF8*EF9</f>
        <v>1608.84</v>
      </c>
      <c r="EG12">
        <f>EG8*EG9</f>
        <v>2319.4499999999998</v>
      </c>
      <c r="EH12">
        <f>EH8*EH9</f>
        <v>2572.8000000000002</v>
      </c>
      <c r="EI12">
        <f>EI8*EI9</f>
        <v>29167.920000000002</v>
      </c>
      <c r="EJ12">
        <f>EJ8*EJ9</f>
        <v>34363</v>
      </c>
      <c r="EK12">
        <f>EK8*EK9</f>
        <v>35511.519999999997</v>
      </c>
      <c r="EL12">
        <f>EL8*EL9</f>
        <v>26511.940000000002</v>
      </c>
      <c r="EM12">
        <f>EM8*EM9</f>
        <v>6514.74</v>
      </c>
      <c r="EN12">
        <f>EN8*EN9</f>
        <v>9074.98</v>
      </c>
      <c r="EO12">
        <f>EO8*EO9</f>
        <v>42207.799999999996</v>
      </c>
      <c r="EP12">
        <f>EP8*EP9</f>
        <v>4163.1000000000004</v>
      </c>
      <c r="EQ12">
        <f>EQ8*EQ9</f>
        <v>20477.900000000001</v>
      </c>
      <c r="ER12">
        <f>ER8*ER9</f>
        <v>12569.31</v>
      </c>
      <c r="ES12">
        <f>ES8*ES9</f>
        <v>6761.4</v>
      </c>
      <c r="ET12">
        <f>ET8*ET9</f>
        <v>1001.16</v>
      </c>
      <c r="EU12">
        <f>EU8*EU9</f>
        <v>16418.97</v>
      </c>
      <c r="EV12">
        <f>EV8*EV9</f>
        <v>25785.81</v>
      </c>
      <c r="EW12">
        <f>EW8*EW9</f>
        <v>10504.08</v>
      </c>
      <c r="EX12">
        <f>EX8*EX9</f>
        <v>22800.190000000002</v>
      </c>
      <c r="EY12">
        <f>EY8*EY9</f>
        <v>1773.23</v>
      </c>
      <c r="EZ12">
        <f>EZ8*EZ9</f>
        <v>10390.24</v>
      </c>
      <c r="FA12">
        <f>FA8*FA9</f>
        <v>5441.73</v>
      </c>
      <c r="FB12">
        <f>FB8*FB9</f>
        <v>30277.98</v>
      </c>
      <c r="FC12">
        <f>FC8*FC9</f>
        <v>5222.72</v>
      </c>
      <c r="FD12">
        <f>FD8*FD9</f>
        <v>2031.3</v>
      </c>
      <c r="FE12">
        <f>FE8*FE9</f>
        <v>19082.95</v>
      </c>
      <c r="FF12">
        <f>FF8*FF9</f>
        <v>6980.9400000000005</v>
      </c>
      <c r="FG12">
        <f>FG8*FG9</f>
        <v>810.39</v>
      </c>
      <c r="FH12">
        <f>FH8*FH9</f>
        <v>5349.85</v>
      </c>
      <c r="FI12">
        <f>FI8*FI9</f>
        <v>1175.02</v>
      </c>
      <c r="FJ12">
        <f>FJ8*FJ9</f>
        <v>12253.800000000001</v>
      </c>
      <c r="FK12">
        <f>FK8*FK9</f>
        <v>7791.68</v>
      </c>
      <c r="FL12">
        <f>FL8*FL9</f>
        <v>19475.080000000002</v>
      </c>
      <c r="FM12">
        <f>FM8*FM9</f>
        <v>12735.75</v>
      </c>
      <c r="FN12">
        <f>FN8*FN9</f>
        <v>8375.16</v>
      </c>
      <c r="FO12">
        <f>FO8*FO9</f>
        <v>3919.71</v>
      </c>
      <c r="FP12">
        <f>FP8*FP9</f>
        <v>1722.12</v>
      </c>
      <c r="FQ12">
        <f>FQ8*FQ9</f>
        <v>12200.670000000002</v>
      </c>
      <c r="FR12">
        <f>FR8*FR9</f>
        <v>8938.86</v>
      </c>
      <c r="FS12">
        <f>FS8*FS9</f>
        <v>26195.279999999999</v>
      </c>
      <c r="FT12">
        <f>FT8*FT9</f>
        <v>5163.24</v>
      </c>
      <c r="FU12">
        <f>FU8*FU9</f>
        <v>5704.96</v>
      </c>
      <c r="FV12">
        <f>FV8*FV9</f>
        <v>10205.280000000001</v>
      </c>
      <c r="FW12">
        <f>FW8*FW9</f>
        <v>10876.8</v>
      </c>
      <c r="FX12">
        <f>FX8*FX9</f>
        <v>31728.080000000002</v>
      </c>
      <c r="FY12">
        <f>FY8*FY9</f>
        <v>3080.66</v>
      </c>
      <c r="FZ12">
        <f>FZ8*FZ9</f>
        <v>18153.38</v>
      </c>
      <c r="GA12">
        <f>GA8*GA9</f>
        <v>28127.040000000001</v>
      </c>
      <c r="GB12">
        <f>GB8*GB9</f>
        <v>4616.72</v>
      </c>
      <c r="GC12">
        <f>GC8*GC9</f>
        <v>7683.3</v>
      </c>
      <c r="GD12">
        <f>GD8*GD9</f>
        <v>8733.92</v>
      </c>
      <c r="GE12">
        <f>GE8*GE9</f>
        <v>989.97</v>
      </c>
      <c r="GF12">
        <f>GF8*GF9</f>
        <v>24675.42</v>
      </c>
      <c r="GG12">
        <f>GG8*GG9</f>
        <v>6797.52</v>
      </c>
      <c r="GH12">
        <f>GH8*GH9</f>
        <v>19904.16</v>
      </c>
      <c r="GI12">
        <f>GI8*GI9</f>
        <v>7526.32</v>
      </c>
      <c r="GJ12">
        <f>GJ8*GJ9</f>
        <v>27410.809999999998</v>
      </c>
      <c r="GK12">
        <f>GK8*GK9</f>
        <v>29207.68</v>
      </c>
      <c r="GL12">
        <f>GL8*GL9</f>
        <v>20092.98</v>
      </c>
      <c r="GM12">
        <f>GM8*GM9</f>
        <v>7718.4500000000007</v>
      </c>
      <c r="GN12">
        <f>GN8*GN9</f>
        <v>6489.9</v>
      </c>
      <c r="GO12">
        <f>GO8*GO9</f>
        <v>15854.76</v>
      </c>
      <c r="GP12">
        <f>GP8*GP9</f>
        <v>2964.42</v>
      </c>
      <c r="GQ12">
        <f>GQ8*GQ9</f>
        <v>27843.48</v>
      </c>
      <c r="GR12">
        <f>GR8*GR9</f>
        <v>6629.48</v>
      </c>
      <c r="GS12">
        <f>GS8*GS9</f>
        <v>7457.0999999999995</v>
      </c>
      <c r="GT12">
        <f>GT8*GT9</f>
        <v>4874.3100000000004</v>
      </c>
      <c r="GU12">
        <f>GU8*GU9</f>
        <v>4522.0999999999995</v>
      </c>
      <c r="GV12">
        <f>GV8*GV9</f>
        <v>12114.550000000001</v>
      </c>
      <c r="GW12">
        <f>GW8*GW9</f>
        <v>22260.880000000001</v>
      </c>
      <c r="GX12">
        <f>GX8*GX9</f>
        <v>27619.8</v>
      </c>
      <c r="GY12">
        <f>GY8*GY9</f>
        <v>3431.28</v>
      </c>
      <c r="GZ12">
        <f>GZ8*GZ9</f>
        <v>4934.3100000000004</v>
      </c>
      <c r="HA12">
        <f>HA8*HA9</f>
        <v>9830</v>
      </c>
      <c r="HB12">
        <f>HB8*HB9</f>
        <v>16847.100000000002</v>
      </c>
      <c r="HC12">
        <f>HC8*HC9</f>
        <v>28022.639999999999</v>
      </c>
      <c r="HD12">
        <f>HD8*HD9</f>
        <v>4832.58</v>
      </c>
      <c r="HE12">
        <f>HE8*HE9</f>
        <v>12094.6</v>
      </c>
      <c r="HF12">
        <f>HF8*HF9</f>
        <v>18941.82</v>
      </c>
      <c r="HG12">
        <f>HG8*HG9</f>
        <v>6001.0199999999995</v>
      </c>
      <c r="HH12">
        <f>HH8*HH9</f>
        <v>34790.58</v>
      </c>
      <c r="HI12">
        <f>HI8*HI9</f>
        <v>24619.409999999996</v>
      </c>
      <c r="HJ12">
        <f>HJ8*HJ9</f>
        <v>939.2</v>
      </c>
      <c r="HK12">
        <f>HK8*HK9</f>
        <v>41226.840000000004</v>
      </c>
      <c r="HL12">
        <f>HL8*HL9</f>
        <v>10677.449999999999</v>
      </c>
      <c r="HM12">
        <f>HM8*HM9</f>
        <v>9110.76</v>
      </c>
      <c r="HN12">
        <f>HN8*HN9</f>
        <v>42355.71</v>
      </c>
      <c r="HO12">
        <f>HO8*HO9</f>
        <v>8659.3499999999985</v>
      </c>
      <c r="HP12">
        <f>HP8*HP9</f>
        <v>8563.41</v>
      </c>
      <c r="HQ12">
        <f>HQ8*HQ9</f>
        <v>2383.65</v>
      </c>
      <c r="HR12">
        <f>HR8*HR9</f>
        <v>14128.170000000002</v>
      </c>
      <c r="HS12">
        <f>HS8*HS9</f>
        <v>257.04999999999995</v>
      </c>
      <c r="HT12">
        <f>HT8*HT9</f>
        <v>17916.43</v>
      </c>
      <c r="HU12">
        <f>HU8*HU9</f>
        <v>38595.78</v>
      </c>
      <c r="HV12">
        <f>HV8*HV9</f>
        <v>21196.44</v>
      </c>
      <c r="HW12">
        <f>HW8*HW9</f>
        <v>11839.76</v>
      </c>
      <c r="HX12">
        <f>HX8*HX9</f>
        <v>9245.52</v>
      </c>
      <c r="HY12">
        <f>HY8*HY9</f>
        <v>10875.2</v>
      </c>
      <c r="HZ12">
        <f>HZ8*HZ9</f>
        <v>36830.639999999999</v>
      </c>
      <c r="IA12">
        <f>IA8*IA9</f>
        <v>37197.599999999999</v>
      </c>
      <c r="IB12">
        <f>IB8*IB9</f>
        <v>6341.8499999999995</v>
      </c>
      <c r="IC12">
        <f>IC8*IC9</f>
        <v>25336.399999999998</v>
      </c>
      <c r="ID12">
        <f>ID8*ID9</f>
        <v>4361</v>
      </c>
      <c r="IE12">
        <f>IE8*IE9</f>
        <v>3136.15</v>
      </c>
      <c r="IF12">
        <f>IF8*IF9</f>
        <v>30440.959999999999</v>
      </c>
      <c r="IG12">
        <f>IG8*IG9</f>
        <v>40916</v>
      </c>
      <c r="IH12">
        <f>IH8*IH9</f>
        <v>10816.400000000001</v>
      </c>
      <c r="II12">
        <f>II8*II9</f>
        <v>1444.88</v>
      </c>
      <c r="IJ12">
        <f>IJ8*IJ9</f>
        <v>4596.4800000000005</v>
      </c>
      <c r="IK12">
        <f>IK8*IK9</f>
        <v>8399.67</v>
      </c>
      <c r="IL12">
        <f>IL8*IL9</f>
        <v>26235.16</v>
      </c>
      <c r="IM12">
        <f>IM8*IM9</f>
        <v>31087.439999999999</v>
      </c>
      <c r="IN12">
        <f>IN8*IN9</f>
        <v>14848.48</v>
      </c>
      <c r="IO12">
        <f>IO8*IO9</f>
        <v>10509.900000000001</v>
      </c>
      <c r="IP12">
        <f>IP8*IP9</f>
        <v>14981.64</v>
      </c>
      <c r="IQ12">
        <f>IQ8*IQ9</f>
        <v>21413.200000000001</v>
      </c>
      <c r="IR12">
        <f>IR8*IR9</f>
        <v>1925.24</v>
      </c>
      <c r="IS12">
        <f>IS8*IS9</f>
        <v>12213.63</v>
      </c>
      <c r="IT12">
        <f>IT8*IT9</f>
        <v>8307.84</v>
      </c>
      <c r="IU12">
        <f>IU8*IU9</f>
        <v>23795.65</v>
      </c>
      <c r="IV12">
        <f>IV8*IV9</f>
        <v>15400.62</v>
      </c>
      <c r="IW12">
        <f>IW8*IW9</f>
        <v>4749.12</v>
      </c>
      <c r="IX12">
        <f>IX8*IX9</f>
        <v>16556.080000000002</v>
      </c>
      <c r="IY12">
        <f>IY8*IY9</f>
        <v>33557.130000000005</v>
      </c>
      <c r="IZ12">
        <f>IZ8*IZ9</f>
        <v>3918.51</v>
      </c>
      <c r="JA12">
        <f>JA8*JA9</f>
        <v>36599.599999999999</v>
      </c>
      <c r="JB12">
        <f>JB8*JB9</f>
        <v>740.74</v>
      </c>
      <c r="JC12">
        <f>JC8*JC9</f>
        <v>18463.72</v>
      </c>
      <c r="JD12">
        <f>JD8*JD9</f>
        <v>31226.13</v>
      </c>
      <c r="JE12">
        <f>JE8*JE9</f>
        <v>5490.7000000000007</v>
      </c>
      <c r="JF12">
        <f>JF8*JF9</f>
        <v>4832.25</v>
      </c>
      <c r="JG12">
        <f>JG8*JG9</f>
        <v>4954.99</v>
      </c>
      <c r="JH12">
        <f>JH8*JH9</f>
        <v>401.52</v>
      </c>
      <c r="JI12">
        <f>JI8*JI9</f>
        <v>32659.47</v>
      </c>
      <c r="JJ12">
        <f>JJ8*JJ9</f>
        <v>10107.42</v>
      </c>
      <c r="JK12">
        <f>JK8*JK9</f>
        <v>7407.7</v>
      </c>
      <c r="JL12">
        <f>JL8*JL9</f>
        <v>35760.160000000003</v>
      </c>
      <c r="JM12">
        <f>JM8*JM9</f>
        <v>3746.07</v>
      </c>
      <c r="JN12">
        <f>JN8*JN9</f>
        <v>510.79999999999995</v>
      </c>
      <c r="JO12">
        <f>JO8*JO9</f>
        <v>19658.84</v>
      </c>
      <c r="JP12">
        <f>JP8*JP9</f>
        <v>3324.8999999999996</v>
      </c>
      <c r="JQ12">
        <f>JQ8*JQ9</f>
        <v>19048</v>
      </c>
      <c r="JR12">
        <f>JR8*JR9</f>
        <v>49760.600000000006</v>
      </c>
      <c r="JS12">
        <f>JS8*JS9</f>
        <v>1640.64</v>
      </c>
      <c r="JT12">
        <f>JT8*JT9</f>
        <v>17365.28</v>
      </c>
      <c r="JU12">
        <f>JU8*JU9</f>
        <v>13977.09</v>
      </c>
      <c r="JV12">
        <f>JV8*JV9</f>
        <v>23702.48</v>
      </c>
      <c r="JW12">
        <f>JW8*JW9</f>
        <v>8802.7800000000007</v>
      </c>
      <c r="JX12">
        <f>JX8*JX9</f>
        <v>10277.91</v>
      </c>
      <c r="JY12">
        <f>JY8*JY9</f>
        <v>3251.7000000000003</v>
      </c>
      <c r="JZ12">
        <f>JZ8*JZ9</f>
        <v>2352.7600000000002</v>
      </c>
      <c r="KA12">
        <f>KA8*KA9</f>
        <v>3745.91</v>
      </c>
      <c r="KB12">
        <f>KB8*KB9</f>
        <v>19597.04</v>
      </c>
      <c r="KC12">
        <f>KC8*KC9</f>
        <v>39306.78</v>
      </c>
      <c r="KD12">
        <f>KD8*KD9</f>
        <v>3048.12</v>
      </c>
      <c r="KE12">
        <f>KE8*KE9</f>
        <v>6990.6</v>
      </c>
      <c r="KF12">
        <f>KF8*KF9</f>
        <v>22683.919999999998</v>
      </c>
      <c r="KG12">
        <f>KG8*KG9</f>
        <v>13651.92</v>
      </c>
      <c r="KH12">
        <f>KH8*KH9</f>
        <v>1539.36</v>
      </c>
      <c r="KI12">
        <f>KI8*KI9</f>
        <v>4939.38</v>
      </c>
      <c r="KJ12">
        <f>KJ8*KJ9</f>
        <v>11700.85</v>
      </c>
      <c r="KK12">
        <f>KK8*KK9</f>
        <v>3654.2999999999997</v>
      </c>
      <c r="KL12">
        <f>KL8*KL9</f>
        <v>3434.48</v>
      </c>
      <c r="KM12">
        <f>KM8*KM9</f>
        <v>18080.72</v>
      </c>
      <c r="KN12">
        <f>KN8*KN9</f>
        <v>4789.58</v>
      </c>
      <c r="KO12">
        <f>KO8*KO9</f>
        <v>14543.22</v>
      </c>
      <c r="KP12">
        <f>KP8*KP9</f>
        <v>6553.22</v>
      </c>
      <c r="KQ12">
        <f>KQ8*KQ9</f>
        <v>20676.900000000001</v>
      </c>
      <c r="KR12">
        <f>KR8*KR9</f>
        <v>39367.5</v>
      </c>
      <c r="KS12">
        <f>KS8*KS9</f>
        <v>5204.13</v>
      </c>
      <c r="KT12">
        <f>KT8*KT9</f>
        <v>10075.68</v>
      </c>
      <c r="KU12">
        <f>KU8*KU9</f>
        <v>470.05</v>
      </c>
      <c r="KV12">
        <f>KV8*KV9</f>
        <v>13236.150000000001</v>
      </c>
      <c r="KW12">
        <f>KW8*KW9</f>
        <v>4675.8900000000003</v>
      </c>
      <c r="KX12">
        <f>KX8*KX9</f>
        <v>17501.16</v>
      </c>
      <c r="KY12">
        <f>KY8*KY9</f>
        <v>7660.56</v>
      </c>
      <c r="KZ12">
        <f>KZ8*KZ9</f>
        <v>2578.4700000000003</v>
      </c>
      <c r="LA12">
        <f>LA8*LA9</f>
        <v>13457.16</v>
      </c>
      <c r="LB12">
        <f>LB8*LB9</f>
        <v>45211</v>
      </c>
      <c r="LC12">
        <f>LC8*LC9</f>
        <v>9291.27</v>
      </c>
      <c r="LD12">
        <f>LD8*LD9</f>
        <v>25116.210000000003</v>
      </c>
      <c r="LE12">
        <f>LE8*LE9</f>
        <v>20364.5</v>
      </c>
      <c r="LF12">
        <f>LF8*LF9</f>
        <v>2883.12</v>
      </c>
      <c r="LG12">
        <f>LG8*LG9</f>
        <v>8934.06</v>
      </c>
      <c r="LH12">
        <f>LH8*LH9</f>
        <v>1896.32</v>
      </c>
      <c r="LI12">
        <f>LI8*LI9</f>
        <v>5506.92</v>
      </c>
      <c r="LJ12">
        <f>LJ8*LJ9</f>
        <v>14854.41</v>
      </c>
      <c r="LK12">
        <f>LK8*LK9</f>
        <v>3974.1000000000004</v>
      </c>
      <c r="LL12">
        <f>LL8*LL9</f>
        <v>29657.58</v>
      </c>
      <c r="LM12">
        <f>LM8*LM9</f>
        <v>13400.56</v>
      </c>
      <c r="LN12">
        <f>LN8*LN9</f>
        <v>21227.05</v>
      </c>
      <c r="LO12">
        <f>LO8*LO9</f>
        <v>10131.200000000001</v>
      </c>
      <c r="LP12">
        <f>LP8*LP9</f>
        <v>4830.7</v>
      </c>
      <c r="LQ12">
        <f>LQ8*LQ9</f>
        <v>4868.6000000000004</v>
      </c>
      <c r="LR12">
        <f>LR8*LR9</f>
        <v>1154.94</v>
      </c>
      <c r="LS12">
        <f>LS8*LS9</f>
        <v>15427.5</v>
      </c>
      <c r="LT12">
        <f>LT8*LT9</f>
        <v>3445.19</v>
      </c>
      <c r="LU12">
        <f>LU8*LU9</f>
        <v>33104.68</v>
      </c>
      <c r="LV12">
        <f>LV8*LV9</f>
        <v>17456.900000000001</v>
      </c>
      <c r="LW12">
        <f>LW8*LW9</f>
        <v>30565.4</v>
      </c>
      <c r="LX12">
        <f>LX8*LX9</f>
        <v>1415.99</v>
      </c>
      <c r="LY12">
        <f>LY8*LY9</f>
        <v>16973.84</v>
      </c>
      <c r="LZ12">
        <f>LZ8*LZ9</f>
        <v>7682.44</v>
      </c>
      <c r="MA12">
        <f>MA8*MA9</f>
        <v>18162.45</v>
      </c>
      <c r="MB12">
        <f>MB8*MB9</f>
        <v>38889.9</v>
      </c>
      <c r="MC12">
        <f>MC8*MC9</f>
        <v>47584.799999999996</v>
      </c>
      <c r="MD12">
        <f>MD8*MD9</f>
        <v>2295.27</v>
      </c>
      <c r="ME12">
        <f>ME8*ME9</f>
        <v>3967.68</v>
      </c>
      <c r="MF12">
        <f>MF8*MF9</f>
        <v>23185.4</v>
      </c>
      <c r="MG12">
        <f>MG8*MG9</f>
        <v>30968.140000000003</v>
      </c>
      <c r="MH12">
        <f>MH8*MH9</f>
        <v>36350.100000000006</v>
      </c>
      <c r="MI12">
        <f>MI8*MI9</f>
        <v>49923.9</v>
      </c>
      <c r="MJ12">
        <f>MJ8*MJ9</f>
        <v>5562.32</v>
      </c>
      <c r="MK12">
        <f>MK8*MK9</f>
        <v>3229.42</v>
      </c>
      <c r="ML12">
        <f>ML8*ML9</f>
        <v>2756.08</v>
      </c>
      <c r="MM12">
        <f>MM8*MM9</f>
        <v>9887.94</v>
      </c>
      <c r="MN12">
        <f>MN8*MN9</f>
        <v>8732.06</v>
      </c>
      <c r="MO12">
        <f>MO8*MO9</f>
        <v>32175.57</v>
      </c>
      <c r="MP12">
        <f>MP8*MP9</f>
        <v>28660.14</v>
      </c>
      <c r="MQ12">
        <f>MQ8*MQ9</f>
        <v>3776</v>
      </c>
      <c r="MR12">
        <f>MR8*MR9</f>
        <v>5311.36</v>
      </c>
      <c r="MS12">
        <f>MS8*MS9</f>
        <v>3134.88</v>
      </c>
      <c r="MT12">
        <f>MT8*MT9</f>
        <v>47834.899999999994</v>
      </c>
      <c r="MU12">
        <f>MU8*MU9</f>
        <v>3502.78</v>
      </c>
      <c r="MV12">
        <f>MV8*MV9</f>
        <v>5708.91</v>
      </c>
      <c r="MW12">
        <f>MW8*MW9</f>
        <v>9981.06</v>
      </c>
      <c r="MX12">
        <f>MX8*MX9</f>
        <v>9542.0400000000009</v>
      </c>
      <c r="MY12">
        <f>MY8*MY9</f>
        <v>25908.720000000001</v>
      </c>
      <c r="MZ12">
        <f>MZ8*MZ9</f>
        <v>21087.75</v>
      </c>
      <c r="NA12">
        <f>NA8*NA9</f>
        <v>24357.199999999997</v>
      </c>
      <c r="NB12">
        <f>NB8*NB9</f>
        <v>2021.32</v>
      </c>
      <c r="NC12">
        <f>NC8*NC9</f>
        <v>11734.920000000002</v>
      </c>
      <c r="ND12">
        <f>ND8*ND9</f>
        <v>28856.22</v>
      </c>
      <c r="NE12">
        <f>NE8*NE9</f>
        <v>1235.28</v>
      </c>
      <c r="NF12">
        <f>NF8*NF9</f>
        <v>21667.199999999997</v>
      </c>
      <c r="NG12">
        <f>NG8*NG9</f>
        <v>42090.840000000004</v>
      </c>
      <c r="NH12">
        <f>NH8*NH9</f>
        <v>25551.84</v>
      </c>
      <c r="NI12">
        <f>NI8*NI9</f>
        <v>5680.18</v>
      </c>
      <c r="NJ12">
        <f>NJ8*NJ9</f>
        <v>6529.98</v>
      </c>
      <c r="NK12">
        <f>NK8*NK9</f>
        <v>10140.66</v>
      </c>
      <c r="NL12">
        <f>NL8*NL9</f>
        <v>14917.210000000001</v>
      </c>
      <c r="NM12">
        <f>NM8*NM9</f>
        <v>16063.320000000002</v>
      </c>
      <c r="NN12">
        <f>NN8*NN9</f>
        <v>36210.959999999999</v>
      </c>
      <c r="NO12">
        <f>NO8*NO9</f>
        <v>10782.48</v>
      </c>
      <c r="NP12">
        <f>NP8*NP9</f>
        <v>8490.9500000000007</v>
      </c>
      <c r="NQ12">
        <f>NQ8*NQ9</f>
        <v>10700.01</v>
      </c>
      <c r="NR12">
        <f>NR8*NR9</f>
        <v>10109.120000000001</v>
      </c>
      <c r="NS12">
        <f>NS8*NS9</f>
        <v>22494.959999999999</v>
      </c>
      <c r="NT12">
        <f>NT8*NT9</f>
        <v>1375.96</v>
      </c>
      <c r="NU12">
        <f>NU8*NU9</f>
        <v>7248.8</v>
      </c>
      <c r="NV12">
        <f>NV8*NV9</f>
        <v>4056.97</v>
      </c>
      <c r="NW12">
        <f>NW8*NW9</f>
        <v>6607.24</v>
      </c>
      <c r="NX12">
        <f>NX8*NX9</f>
        <v>16524.84</v>
      </c>
      <c r="NY12">
        <f>NY8*NY9</f>
        <v>15635.2</v>
      </c>
      <c r="NZ12">
        <f>NZ8*NZ9</f>
        <v>21533.399999999998</v>
      </c>
      <c r="OA12">
        <f>OA8*OA9</f>
        <v>2939.72</v>
      </c>
      <c r="OB12">
        <f>OB8*OB9</f>
        <v>8591.9000000000015</v>
      </c>
      <c r="OC12">
        <f>OC8*OC9</f>
        <v>11168.4</v>
      </c>
      <c r="OD12">
        <f>OD8*OD9</f>
        <v>19165.759999999998</v>
      </c>
      <c r="OE12">
        <f>OE8*OE9</f>
        <v>12568.57</v>
      </c>
      <c r="OF12">
        <f>OF8*OF9</f>
        <v>20585.5</v>
      </c>
      <c r="OG12">
        <f>OG8*OG9</f>
        <v>15382.7</v>
      </c>
      <c r="OH12">
        <f>OH8*OH9</f>
        <v>2751.5</v>
      </c>
      <c r="OI12">
        <f>OI8*OI9</f>
        <v>29598</v>
      </c>
      <c r="OJ12">
        <f>OJ8*OJ9</f>
        <v>15015.15</v>
      </c>
      <c r="OK12">
        <f>OK8*OK9</f>
        <v>20509.3</v>
      </c>
      <c r="OL12">
        <f>OL8*OL9</f>
        <v>9106.8499999999985</v>
      </c>
      <c r="OM12">
        <f>OM8*OM9</f>
        <v>27182.560000000001</v>
      </c>
      <c r="ON12">
        <f>ON8*ON9</f>
        <v>17794.8</v>
      </c>
      <c r="OO12">
        <f>OO8*OO9</f>
        <v>3666.82</v>
      </c>
      <c r="OP12">
        <f>OP8*OP9</f>
        <v>36604.879999999997</v>
      </c>
      <c r="OQ12">
        <f>OQ8*OQ9</f>
        <v>17146.8</v>
      </c>
      <c r="OR12">
        <f>OR8*OR9</f>
        <v>4876.92</v>
      </c>
      <c r="OS12">
        <f>OS8*OS9</f>
        <v>1419.8</v>
      </c>
      <c r="OT12">
        <f>OT8*OT9</f>
        <v>2925.36</v>
      </c>
      <c r="OU12">
        <f>OU8*OU9</f>
        <v>7216.98</v>
      </c>
      <c r="OV12">
        <f>OV8*OV9</f>
        <v>4547.2</v>
      </c>
      <c r="OW12">
        <f>OW8*OW9</f>
        <v>1976.18</v>
      </c>
      <c r="OX12">
        <f>OX8*OX9</f>
        <v>18684.190000000002</v>
      </c>
      <c r="OY12">
        <f>OY8*OY9</f>
        <v>7722.7800000000007</v>
      </c>
      <c r="OZ12">
        <f>OZ8*OZ9</f>
        <v>40460.76</v>
      </c>
      <c r="PA12">
        <f>PA8*PA9</f>
        <v>12957.27</v>
      </c>
      <c r="PB12">
        <f>PB8*PB9</f>
        <v>5343.72</v>
      </c>
      <c r="PC12">
        <f>PC8*PC9</f>
        <v>11046.6</v>
      </c>
      <c r="PD12">
        <f>PD8*PD9</f>
        <v>3358.41</v>
      </c>
      <c r="PE12">
        <f>PE8*PE9</f>
        <v>2290.64</v>
      </c>
      <c r="PF12">
        <f>PF8*PF9</f>
        <v>17735.690000000002</v>
      </c>
      <c r="PG12">
        <f>PG8*PG9</f>
        <v>220.14</v>
      </c>
      <c r="PH12">
        <f>PH8*PH9</f>
        <v>33496.61</v>
      </c>
      <c r="PI12">
        <f>PI8*PI9</f>
        <v>23354.309999999998</v>
      </c>
      <c r="PJ12">
        <f>PJ8*PJ9</f>
        <v>10196.959999999999</v>
      </c>
      <c r="PK12">
        <f>PK8*PK9</f>
        <v>17739.8</v>
      </c>
      <c r="PL12">
        <f>PL8*PL9</f>
        <v>5509.68</v>
      </c>
      <c r="PM12">
        <f>PM8*PM9</f>
        <v>724.02</v>
      </c>
      <c r="PN12">
        <f>PN8*PN9</f>
        <v>32995.199999999997</v>
      </c>
      <c r="PO12">
        <f>PO8*PO9</f>
        <v>10801.96</v>
      </c>
      <c r="PP12">
        <f>PP8*PP9</f>
        <v>26908.080000000002</v>
      </c>
      <c r="PQ12">
        <f>PQ8*PQ9</f>
        <v>3739.3300000000004</v>
      </c>
      <c r="PR12">
        <f>PR8*PR9</f>
        <v>2300.04</v>
      </c>
      <c r="PS12">
        <f>PS8*PS9</f>
        <v>14009.55</v>
      </c>
      <c r="PT12">
        <f>PT8*PT9</f>
        <v>39731.58</v>
      </c>
      <c r="PU12">
        <f>PU8*PU9</f>
        <v>11999</v>
      </c>
      <c r="PV12">
        <f>PV8*PV9</f>
        <v>13710.92</v>
      </c>
      <c r="PW12">
        <f>PW8*PW9</f>
        <v>31499.73</v>
      </c>
      <c r="PX12">
        <f>PX8*PX9</f>
        <v>4770.2999999999993</v>
      </c>
      <c r="PY12">
        <f>PY8*PY9</f>
        <v>4227.1000000000004</v>
      </c>
      <c r="PZ12">
        <f>PZ8*PZ9</f>
        <v>729.84</v>
      </c>
      <c r="QA12">
        <f>QA8*QA9</f>
        <v>9729.6</v>
      </c>
      <c r="QB12">
        <f>QB8*QB9</f>
        <v>6334.7100000000009</v>
      </c>
      <c r="QC12">
        <f>QC8*QC9</f>
        <v>5299.65</v>
      </c>
      <c r="QD12">
        <f>QD8*QD9</f>
        <v>26980.799999999999</v>
      </c>
      <c r="QE12">
        <f>QE8*QE9</f>
        <v>529.55999999999995</v>
      </c>
      <c r="QF12">
        <f>QF8*QF9</f>
        <v>8973.76</v>
      </c>
      <c r="QG12">
        <f>QG8*QG9</f>
        <v>4291.46</v>
      </c>
      <c r="QH12">
        <f>QH8*QH9</f>
        <v>11501.22</v>
      </c>
      <c r="QI12">
        <f>QI8*QI9</f>
        <v>3596.52</v>
      </c>
      <c r="QJ12">
        <f>QJ8*QJ9</f>
        <v>3173.6000000000004</v>
      </c>
      <c r="QK12">
        <f>QK8*QK9</f>
        <v>27732</v>
      </c>
      <c r="QL12">
        <f>QL8*QL9</f>
        <v>24976.14</v>
      </c>
      <c r="QM12">
        <f>QM8*QM9</f>
        <v>4042.0800000000004</v>
      </c>
      <c r="QN12">
        <f>QN8*QN9</f>
        <v>4648.68</v>
      </c>
      <c r="QO12">
        <f>QO8*QO9</f>
        <v>14977.41</v>
      </c>
      <c r="QP12">
        <f>QP8*QP9</f>
        <v>14294.84</v>
      </c>
      <c r="QQ12">
        <f>QQ8*QQ9</f>
        <v>9471.15</v>
      </c>
      <c r="QR12">
        <f>QR8*QR9</f>
        <v>706.26</v>
      </c>
      <c r="QS12">
        <f>QS8*QS9</f>
        <v>7497.36</v>
      </c>
      <c r="QT12">
        <f>QT8*QT9</f>
        <v>4003.36</v>
      </c>
      <c r="QU12">
        <f>QU8*QU9</f>
        <v>17025.5</v>
      </c>
      <c r="QV12">
        <f>QV8*QV9</f>
        <v>5900.7</v>
      </c>
      <c r="QW12">
        <f>QW8*QW9</f>
        <v>9722.0999999999985</v>
      </c>
      <c r="QX12">
        <f>QX8*QX9</f>
        <v>37738.32</v>
      </c>
      <c r="QY12">
        <f>QY8*QY9</f>
        <v>9409.89</v>
      </c>
      <c r="QZ12">
        <f>QZ8*QZ9</f>
        <v>24509.22</v>
      </c>
      <c r="RA12">
        <f>RA8*RA9</f>
        <v>1687.77</v>
      </c>
      <c r="RB12">
        <f>RB8*RB9</f>
        <v>4385.3100000000004</v>
      </c>
      <c r="RC12">
        <f>RC8*RC9</f>
        <v>3444.01</v>
      </c>
      <c r="RD12">
        <f>RD8*RD9</f>
        <v>2228.37</v>
      </c>
      <c r="RE12">
        <f>RE8*RE9</f>
        <v>4631.88</v>
      </c>
      <c r="RF12">
        <f>RF8*RF9</f>
        <v>13884.36</v>
      </c>
      <c r="RG12">
        <f>RG8*RG9</f>
        <v>30764.799999999999</v>
      </c>
      <c r="RH12">
        <f>RH8*RH9</f>
        <v>4187.42</v>
      </c>
      <c r="RI12">
        <f>RI8*RI9</f>
        <v>16683.55</v>
      </c>
      <c r="RJ12">
        <f>RJ8*RJ9</f>
        <v>3364.79</v>
      </c>
      <c r="RK12">
        <f>RK8*RK9</f>
        <v>502.97</v>
      </c>
      <c r="RL12">
        <f>RL8*RL9</f>
        <v>19157.579999999998</v>
      </c>
      <c r="RM12">
        <f>RM8*RM9</f>
        <v>15323.85</v>
      </c>
      <c r="RN12">
        <f>RN8*RN9</f>
        <v>47560.4</v>
      </c>
      <c r="RO12">
        <f>RO8*RO9</f>
        <v>24648.2</v>
      </c>
      <c r="RP12">
        <f>RP8*RP9</f>
        <v>39016</v>
      </c>
      <c r="RQ12">
        <f>RQ8*RQ9</f>
        <v>14113.77</v>
      </c>
      <c r="RR12">
        <f>RR8*RR9</f>
        <v>19246.64</v>
      </c>
      <c r="RS12">
        <f>RS8*RS9</f>
        <v>15538.699999999999</v>
      </c>
      <c r="RT12">
        <f>RT8*RT9</f>
        <v>15802.8</v>
      </c>
      <c r="RU12">
        <f>RU8*RU9</f>
        <v>8177.08</v>
      </c>
      <c r="RV12">
        <f>RV8*RV9</f>
        <v>454.62</v>
      </c>
      <c r="RW12">
        <f>RW8*RW9</f>
        <v>26151.899999999998</v>
      </c>
      <c r="RX12">
        <f>RX8*RX9</f>
        <v>37788.800000000003</v>
      </c>
      <c r="RY12">
        <f>RY8*RY9</f>
        <v>475.68</v>
      </c>
      <c r="RZ12">
        <f>RZ8*RZ9</f>
        <v>12888</v>
      </c>
      <c r="SA12">
        <f>SA8*SA9</f>
        <v>3541.03</v>
      </c>
      <c r="SB12">
        <f>SB8*SB9</f>
        <v>34615.89</v>
      </c>
      <c r="SC12">
        <f>SC8*SC9</f>
        <v>20464.400000000001</v>
      </c>
      <c r="SD12">
        <f>SD8*SD9</f>
        <v>13134.329999999998</v>
      </c>
      <c r="SE12">
        <f>SE8*SE9</f>
        <v>33629.31</v>
      </c>
      <c r="SF12">
        <f>SF8*SF9</f>
        <v>31665.78</v>
      </c>
      <c r="SG12">
        <f>SG8*SG9</f>
        <v>13684.41</v>
      </c>
      <c r="SH12">
        <f>SH8*SH9</f>
        <v>35122.68</v>
      </c>
      <c r="SI12">
        <f>SI8*SI9</f>
        <v>9501.0300000000007</v>
      </c>
      <c r="SJ12">
        <f>SJ8*SJ9</f>
        <v>20641.039999999997</v>
      </c>
      <c r="SK12">
        <f>SK8*SK9</f>
        <v>7255.96</v>
      </c>
      <c r="SL12">
        <f>SL8*SL9</f>
        <v>18122</v>
      </c>
      <c r="SM12">
        <f>SM8*SM9</f>
        <v>35943.299999999996</v>
      </c>
      <c r="SN12">
        <f>SN8*SN9</f>
        <v>10202.64</v>
      </c>
      <c r="SO12">
        <f>SO8*SO9</f>
        <v>12177.44</v>
      </c>
      <c r="SP12">
        <f>SP8*SP9</f>
        <v>27407.919999999998</v>
      </c>
      <c r="SQ12">
        <f>SQ8*SQ9</f>
        <v>31953.279999999999</v>
      </c>
      <c r="SR12">
        <f>SR8*SR9</f>
        <v>4616.82</v>
      </c>
      <c r="SS12">
        <f>SS8*SS9</f>
        <v>27691.300000000003</v>
      </c>
      <c r="ST12">
        <f>ST8*ST9</f>
        <v>12185.58</v>
      </c>
      <c r="SU12">
        <f>SU8*SU9</f>
        <v>38949.120000000003</v>
      </c>
      <c r="SV12">
        <f>SV8*SV9</f>
        <v>16669.7</v>
      </c>
      <c r="SW12">
        <f>SW8*SW9</f>
        <v>26201.46</v>
      </c>
      <c r="SX12">
        <f>SX8*SX9</f>
        <v>18206.37</v>
      </c>
      <c r="SY12">
        <f>SY8*SY9</f>
        <v>1327</v>
      </c>
      <c r="SZ12">
        <f>SZ8*SZ9</f>
        <v>1326.44</v>
      </c>
      <c r="TA12">
        <f>TA8*TA9</f>
        <v>2432.7600000000002</v>
      </c>
      <c r="TB12">
        <f>TB8*TB9</f>
        <v>1006.4100000000001</v>
      </c>
      <c r="TC12">
        <f>TC8*TC9</f>
        <v>20246.309999999998</v>
      </c>
      <c r="TD12">
        <f>TD8*TD9</f>
        <v>1824.66</v>
      </c>
      <c r="TE12">
        <f>TE8*TE9</f>
        <v>1375.02</v>
      </c>
      <c r="TF12">
        <f>TF8*TF9</f>
        <v>1156.8000000000002</v>
      </c>
      <c r="TG12">
        <f>TG8*TG9</f>
        <v>16375.5</v>
      </c>
      <c r="TH12">
        <f>TH8*TH9</f>
        <v>2682.39</v>
      </c>
      <c r="TI12">
        <f>TI8*TI9</f>
        <v>374.6</v>
      </c>
      <c r="TJ12">
        <f>TJ8*TJ9</f>
        <v>7463.02</v>
      </c>
      <c r="TK12">
        <f>TK8*TK9</f>
        <v>24149.16</v>
      </c>
      <c r="TL12">
        <f>TL8*TL9</f>
        <v>16708.099999999999</v>
      </c>
      <c r="TM12">
        <f>TM8*TM9</f>
        <v>1326.61</v>
      </c>
      <c r="TN12">
        <f>TN8*TN9</f>
        <v>10361.58</v>
      </c>
      <c r="TO12">
        <f>TO8*TO9</f>
        <v>20897.009999999998</v>
      </c>
      <c r="TP12">
        <f>TP8*TP9</f>
        <v>29241.72</v>
      </c>
      <c r="TQ12">
        <f>TQ8*TQ9</f>
        <v>8380.7999999999993</v>
      </c>
      <c r="TR12">
        <f>TR8*TR9</f>
        <v>16138.170000000002</v>
      </c>
      <c r="TS12">
        <f>TS8*TS9</f>
        <v>10444.32</v>
      </c>
      <c r="TT12">
        <f>TT8*TT9</f>
        <v>6472.64</v>
      </c>
      <c r="TU12">
        <f>TU8*TU9</f>
        <v>25341.840000000004</v>
      </c>
      <c r="TV12">
        <f>TV8*TV9</f>
        <v>7847.4000000000005</v>
      </c>
      <c r="TW12">
        <f>TW8*TW9</f>
        <v>16559.72</v>
      </c>
      <c r="TX12">
        <f>TX8*TX9</f>
        <v>48980.200000000004</v>
      </c>
      <c r="TY12">
        <f>TY8*TY9</f>
        <v>21373.4</v>
      </c>
      <c r="TZ12">
        <f>TZ8*TZ9</f>
        <v>8457.52</v>
      </c>
      <c r="UA12">
        <f>UA8*UA9</f>
        <v>41899.700000000004</v>
      </c>
      <c r="UB12">
        <f>UB8*UB9</f>
        <v>16632.099999999999</v>
      </c>
      <c r="UC12">
        <f>UC8*UC9</f>
        <v>2203.7199999999998</v>
      </c>
      <c r="UD12">
        <f>UD8*UD9</f>
        <v>7253.4000000000005</v>
      </c>
      <c r="UE12">
        <f>UE8*UE9</f>
        <v>35228.959999999999</v>
      </c>
      <c r="UF12">
        <f>UF8*UF9</f>
        <v>3341.78</v>
      </c>
      <c r="UG12">
        <f>UG8*UG9</f>
        <v>642.54999999999995</v>
      </c>
      <c r="UH12">
        <f>UH8*UH9</f>
        <v>8052.8700000000008</v>
      </c>
      <c r="UI12">
        <f>UI8*UI9</f>
        <v>37854.239999999998</v>
      </c>
      <c r="UJ12">
        <f>UJ8*UJ9</f>
        <v>189.14999999999998</v>
      </c>
      <c r="UK12">
        <f>UK8*UK9</f>
        <v>3739.41</v>
      </c>
      <c r="UL12">
        <f>UL8*UL9</f>
        <v>6979.66</v>
      </c>
      <c r="UM12">
        <f>UM8*UM9</f>
        <v>26406.199999999997</v>
      </c>
      <c r="UN12">
        <f>UN8*UN9</f>
        <v>4228.5200000000004</v>
      </c>
      <c r="UO12">
        <f>UO8*UO9</f>
        <v>44594.19</v>
      </c>
      <c r="UP12">
        <f>UP8*UP9</f>
        <v>3342.11</v>
      </c>
      <c r="UQ12">
        <f>UQ8*UQ9</f>
        <v>23482.260000000002</v>
      </c>
      <c r="UR12">
        <f>UR8*UR9</f>
        <v>16108.74</v>
      </c>
      <c r="US12">
        <f>US8*US9</f>
        <v>39259.839999999997</v>
      </c>
      <c r="UT12">
        <f>UT8*UT9</f>
        <v>21023.19</v>
      </c>
      <c r="UU12">
        <f>UU8*UU9</f>
        <v>13136.24</v>
      </c>
      <c r="UV12">
        <f>UV8*UV9</f>
        <v>7011.13</v>
      </c>
      <c r="UW12">
        <f>UW8*UW9</f>
        <v>4598.8</v>
      </c>
      <c r="UX12">
        <f>UX8*UX9</f>
        <v>16490.650000000001</v>
      </c>
      <c r="UY12">
        <f>UY8*UY9</f>
        <v>7787.1</v>
      </c>
      <c r="UZ12">
        <f>UZ8*UZ9</f>
        <v>19792.919999999998</v>
      </c>
      <c r="VA12">
        <f>VA8*VA9</f>
        <v>18548.16</v>
      </c>
      <c r="VB12">
        <f>VB8*VB9</f>
        <v>2482.0500000000002</v>
      </c>
      <c r="VC12">
        <f>VC8*VC9</f>
        <v>1322.5</v>
      </c>
      <c r="VD12">
        <f>VD8*VD9</f>
        <v>3053.52</v>
      </c>
      <c r="VE12">
        <f>VE8*VE9</f>
        <v>4812.16</v>
      </c>
      <c r="VF12">
        <f>VF8*VF9</f>
        <v>37932.9</v>
      </c>
      <c r="VG12">
        <f>VG8*VG9</f>
        <v>4588.38</v>
      </c>
      <c r="VH12">
        <f>VH8*VH9</f>
        <v>7681.3</v>
      </c>
      <c r="VI12">
        <f>VI8*VI9</f>
        <v>2163.25</v>
      </c>
      <c r="VJ12">
        <f>VJ8*VJ9</f>
        <v>25888.560000000001</v>
      </c>
      <c r="VK12">
        <f>VK8*VK9</f>
        <v>13400.64</v>
      </c>
      <c r="VL12">
        <f>VL8*VL9</f>
        <v>8402.7800000000007</v>
      </c>
      <c r="VM12">
        <f>VM8*VM9</f>
        <v>4327.62</v>
      </c>
      <c r="VN12">
        <f>VN8*VN9</f>
        <v>15742.300000000001</v>
      </c>
      <c r="VO12">
        <f>VO8*VO9</f>
        <v>36086.67</v>
      </c>
      <c r="VP12">
        <f>VP8*VP9</f>
        <v>24786.649999999998</v>
      </c>
      <c r="VQ12">
        <f>VQ8*VQ9</f>
        <v>49913.4</v>
      </c>
      <c r="VR12">
        <f>VR8*VR9</f>
        <v>1354.92</v>
      </c>
      <c r="VS12">
        <f>VS8*VS9</f>
        <v>674.83</v>
      </c>
      <c r="VT12">
        <f>VT8*VT9</f>
        <v>3930.9</v>
      </c>
      <c r="VU12">
        <f>VU8*VU9</f>
        <v>13997.2</v>
      </c>
      <c r="VV12">
        <f>VV8*VV9</f>
        <v>35848.559999999998</v>
      </c>
      <c r="VW12">
        <f>VW8*VW9</f>
        <v>12426.26</v>
      </c>
      <c r="VX12">
        <f>VX8*VX9</f>
        <v>31827.53</v>
      </c>
      <c r="VY12">
        <f>VY8*VY9</f>
        <v>290.64</v>
      </c>
      <c r="VZ12">
        <f>VZ8*VZ9</f>
        <v>3700.17</v>
      </c>
      <c r="WA12">
        <f>WA8*WA9</f>
        <v>1082.58</v>
      </c>
      <c r="WB12">
        <f>WB8*WB9</f>
        <v>18422.240000000002</v>
      </c>
      <c r="WC12">
        <f>WC8*WC9</f>
        <v>9442.9599999999991</v>
      </c>
      <c r="WD12">
        <f>WD8*WD9</f>
        <v>482.15</v>
      </c>
      <c r="WE12">
        <f>WE8*WE9</f>
        <v>8881.68</v>
      </c>
      <c r="WF12">
        <f>WF8*WF9</f>
        <v>7330.9000000000005</v>
      </c>
      <c r="WG12">
        <f>WG8*WG9</f>
        <v>46255.7</v>
      </c>
      <c r="WH12">
        <f>WH8*WH9</f>
        <v>39558.239999999998</v>
      </c>
      <c r="WI12">
        <f>WI8*WI9</f>
        <v>20580.57</v>
      </c>
      <c r="WJ12">
        <f>WJ8*WJ9</f>
        <v>13585.4</v>
      </c>
      <c r="WK12">
        <f>WK8*WK9</f>
        <v>4101.21</v>
      </c>
      <c r="WL12">
        <f>WL8*WL9</f>
        <v>22462.399999999998</v>
      </c>
      <c r="WM12">
        <f>WM8*WM9</f>
        <v>24100.080000000002</v>
      </c>
      <c r="WN12">
        <f>WN8*WN9</f>
        <v>28836.659999999996</v>
      </c>
      <c r="WO12">
        <f>WO8*WO9</f>
        <v>18835.800000000003</v>
      </c>
      <c r="WP12">
        <f>WP8*WP9</f>
        <v>14152.8</v>
      </c>
      <c r="WQ12">
        <f>WQ8*WQ9</f>
        <v>14038.920000000002</v>
      </c>
      <c r="WR12">
        <f>WR8*WR9</f>
        <v>12622.64</v>
      </c>
      <c r="WS12">
        <f>WS8*WS9</f>
        <v>29139.300000000003</v>
      </c>
      <c r="WT12">
        <f>WT8*WT9</f>
        <v>3267.6</v>
      </c>
      <c r="WU12">
        <f>WU8*WU9</f>
        <v>21649.98</v>
      </c>
      <c r="WV12">
        <f>WV8*WV9</f>
        <v>16279.289999999999</v>
      </c>
      <c r="WW12">
        <f>WW8*WW9</f>
        <v>36077.839999999997</v>
      </c>
      <c r="WX12">
        <f>WX8*WX9</f>
        <v>4030.11</v>
      </c>
      <c r="WY12">
        <f>WY8*WY9</f>
        <v>1597.4</v>
      </c>
      <c r="WZ12">
        <f>WZ8*WZ9</f>
        <v>13138.199999999999</v>
      </c>
      <c r="XA12">
        <f>XA8*XA9</f>
        <v>14449.61</v>
      </c>
      <c r="XB12">
        <f>XB8*XB9</f>
        <v>26887.409999999996</v>
      </c>
      <c r="XC12">
        <f>XC8*XC9</f>
        <v>26622.54</v>
      </c>
      <c r="XD12">
        <f>XD8*XD9</f>
        <v>21895.09</v>
      </c>
      <c r="XE12">
        <f>XE8*XE9</f>
        <v>3257.58</v>
      </c>
      <c r="XF12">
        <f>XF8*XF9</f>
        <v>121.4</v>
      </c>
      <c r="XG12">
        <f>XG8*XG9</f>
        <v>27523.68</v>
      </c>
      <c r="XH12">
        <f>XH8*XH9</f>
        <v>19509.91</v>
      </c>
      <c r="XI12">
        <f>XI8*XI9</f>
        <v>12488.3</v>
      </c>
      <c r="XJ12">
        <f>XJ8*XJ9</f>
        <v>7662.5999999999995</v>
      </c>
      <c r="XK12">
        <f>XK8*XK9</f>
        <v>34607.340000000004</v>
      </c>
      <c r="XL12">
        <f>XL8*XL9</f>
        <v>7946.26</v>
      </c>
      <c r="XM12">
        <f>XM8*XM9</f>
        <v>21194.400000000001</v>
      </c>
      <c r="XN12">
        <f>XN8*XN9</f>
        <v>11131.380000000001</v>
      </c>
      <c r="XO12">
        <f>XO8*XO9</f>
        <v>1759.17</v>
      </c>
      <c r="XP12">
        <f>XP8*XP9</f>
        <v>3452.31</v>
      </c>
      <c r="XQ12">
        <f>XQ8*XQ9</f>
        <v>19115.68</v>
      </c>
      <c r="XR12">
        <f>XR8*XR9</f>
        <v>15120.96</v>
      </c>
      <c r="XS12">
        <f>XS8*XS9</f>
        <v>187.6</v>
      </c>
      <c r="XT12">
        <f>XT8*XT9</f>
        <v>27948.240000000002</v>
      </c>
      <c r="XU12">
        <f>XU8*XU9</f>
        <v>99.65</v>
      </c>
      <c r="XV12">
        <f>XV8*XV9</f>
        <v>18027.3</v>
      </c>
      <c r="XW12">
        <f>XW8*XW9</f>
        <v>1439.52</v>
      </c>
      <c r="XX12">
        <f>XX8*XX9</f>
        <v>2321.86</v>
      </c>
      <c r="XY12">
        <f>XY8*XY9</f>
        <v>32152.68</v>
      </c>
      <c r="XZ12">
        <f>XZ8*XZ9</f>
        <v>2323.88</v>
      </c>
      <c r="YA12">
        <f>YA8*YA9</f>
        <v>5536.32</v>
      </c>
      <c r="YB12">
        <f>YB8*YB9</f>
        <v>16535.16</v>
      </c>
      <c r="YC12">
        <f>YC8*YC9</f>
        <v>1611</v>
      </c>
      <c r="YD12">
        <f>YD8*YD9</f>
        <v>3633.4900000000002</v>
      </c>
      <c r="YE12">
        <f>YE8*YE9</f>
        <v>22952.199999999997</v>
      </c>
      <c r="YF12">
        <f>YF8*YF9</f>
        <v>3247.84</v>
      </c>
      <c r="YG12">
        <f>YG8*YG9</f>
        <v>38931.919999999998</v>
      </c>
      <c r="YH12">
        <f>YH8*YH9</f>
        <v>12739.439999999999</v>
      </c>
      <c r="YI12">
        <f>YI8*YI9</f>
        <v>7509.4000000000005</v>
      </c>
      <c r="YJ12">
        <f>YJ8*YJ9</f>
        <v>9323.48</v>
      </c>
      <c r="YK12">
        <f>YK8*YK9</f>
        <v>19372.38</v>
      </c>
      <c r="YL12">
        <f>YL8*YL9</f>
        <v>11064.24</v>
      </c>
      <c r="YM12">
        <f>YM8*YM9</f>
        <v>19718.05</v>
      </c>
      <c r="YN12">
        <f>YN8*YN9</f>
        <v>3753.16</v>
      </c>
      <c r="YO12">
        <f>YO8*YO9</f>
        <v>5286.78</v>
      </c>
      <c r="YP12">
        <f>YP8*YP9</f>
        <v>30832.399999999998</v>
      </c>
      <c r="YQ12">
        <f>YQ8*YQ9</f>
        <v>40539.51</v>
      </c>
      <c r="YR12">
        <f>YR8*YR9</f>
        <v>1621.84</v>
      </c>
      <c r="YS12">
        <f>YS8*YS9</f>
        <v>47441.599999999999</v>
      </c>
      <c r="YT12">
        <f>YT8*YT9</f>
        <v>12406.45</v>
      </c>
      <c r="YU12">
        <f>YU8*YU9</f>
        <v>3106.82</v>
      </c>
      <c r="YV12">
        <f>YV8*YV9</f>
        <v>4069.2</v>
      </c>
      <c r="YW12">
        <f>YW8*YW9</f>
        <v>8967.5400000000009</v>
      </c>
      <c r="YX12">
        <f>YX8*YX9</f>
        <v>13294.800000000001</v>
      </c>
      <c r="YY12">
        <f>YY8*YY9</f>
        <v>23717.7</v>
      </c>
      <c r="YZ12">
        <f>YZ8*YZ9</f>
        <v>48863.9</v>
      </c>
      <c r="ZA12">
        <f>ZA8*ZA9</f>
        <v>6778.6</v>
      </c>
      <c r="ZB12">
        <f>ZB8*ZB9</f>
        <v>4886.72</v>
      </c>
      <c r="ZC12">
        <f>ZC8*ZC9</f>
        <v>24224.15</v>
      </c>
      <c r="ZD12">
        <f>ZD8*ZD9</f>
        <v>2966.59</v>
      </c>
      <c r="ZE12">
        <f>ZE8*ZE9</f>
        <v>32315.52</v>
      </c>
      <c r="ZF12">
        <f>ZF8*ZF9</f>
        <v>647.92000000000007</v>
      </c>
      <c r="ZG12">
        <f>ZG8*ZG9</f>
        <v>12644.939999999999</v>
      </c>
      <c r="ZH12">
        <f>ZH8*ZH9</f>
        <v>2017.17</v>
      </c>
      <c r="ZI12">
        <f>ZI8*ZI9</f>
        <v>19278</v>
      </c>
      <c r="ZJ12">
        <f>ZJ8*ZJ9</f>
        <v>39014.199999999997</v>
      </c>
      <c r="ZK12">
        <f>ZK8*ZK9</f>
        <v>7234.48</v>
      </c>
      <c r="ZL12">
        <f>ZL8*ZL9</f>
        <v>2826.56</v>
      </c>
      <c r="ZM12">
        <f>ZM8*ZM9</f>
        <v>2206.89</v>
      </c>
      <c r="ZN12">
        <f>ZN8*ZN9</f>
        <v>333.56</v>
      </c>
      <c r="ZO12">
        <f>ZO8*ZO9</f>
        <v>9389.9699999999993</v>
      </c>
      <c r="ZP12">
        <f>ZP8*ZP9</f>
        <v>5856.92</v>
      </c>
      <c r="ZQ12">
        <f>ZQ8*ZQ9</f>
        <v>44205.659999999996</v>
      </c>
      <c r="ZR12">
        <f>ZR8*ZR9</f>
        <v>8923.68</v>
      </c>
      <c r="ZS12">
        <f>ZS8*ZS9</f>
        <v>556.64</v>
      </c>
      <c r="ZT12">
        <f>ZT8*ZT9</f>
        <v>32732.909999999996</v>
      </c>
      <c r="ZU12">
        <f>ZU8*ZU9</f>
        <v>11404.47</v>
      </c>
      <c r="ZV12">
        <f>ZV8*ZV9</f>
        <v>18106.300000000003</v>
      </c>
      <c r="ZW12">
        <f>ZW8*ZW9</f>
        <v>901.64</v>
      </c>
      <c r="ZX12">
        <f>ZX8*ZX9</f>
        <v>12181.7</v>
      </c>
      <c r="ZY12">
        <f>ZY8*ZY9</f>
        <v>1076.19</v>
      </c>
      <c r="ZZ12">
        <f>ZZ8*ZZ9</f>
        <v>2634.87</v>
      </c>
      <c r="AAA12">
        <f>AAA8*AAA9</f>
        <v>1769.74</v>
      </c>
      <c r="AAB12">
        <f>AAB8*AAB9</f>
        <v>17514.63</v>
      </c>
      <c r="AAC12">
        <f>AAC8*AAC9</f>
        <v>8866.92</v>
      </c>
      <c r="AAD12">
        <f>AAD8*AAD9</f>
        <v>457.45</v>
      </c>
      <c r="AAE12">
        <f>AAE8*AAE9</f>
        <v>12079.92</v>
      </c>
      <c r="AAF12">
        <f>AAF8*AAF9</f>
        <v>4189.9399999999996</v>
      </c>
      <c r="AAG12">
        <f>AAG8*AAG9</f>
        <v>32717.16</v>
      </c>
      <c r="AAH12">
        <f>AAH8*AAH9</f>
        <v>29391.21</v>
      </c>
      <c r="AAI12">
        <f>AAI8*AAI9</f>
        <v>24412.05</v>
      </c>
      <c r="AAJ12">
        <f>AAJ8*AAJ9</f>
        <v>30101.9</v>
      </c>
      <c r="AAK12">
        <f>AAK8*AAK9</f>
        <v>5684.46</v>
      </c>
      <c r="AAL12">
        <f>AAL8*AAL9</f>
        <v>16838.84</v>
      </c>
      <c r="AAM12">
        <f>AAM8*AAM9</f>
        <v>26539.800000000003</v>
      </c>
      <c r="AAN12">
        <f>AAN8*AAN9</f>
        <v>2504.91</v>
      </c>
      <c r="AAO12">
        <f>AAO8*AAO9</f>
        <v>10000.700000000001</v>
      </c>
      <c r="AAP12">
        <f>AAP8*AAP9</f>
        <v>15281.12</v>
      </c>
      <c r="AAQ12">
        <f>AAQ8*AAQ9</f>
        <v>42706.53</v>
      </c>
      <c r="AAR12">
        <f>AAR8*AAR9</f>
        <v>18101.400000000001</v>
      </c>
      <c r="AAS12">
        <f>AAS8*AAS9</f>
        <v>8030.08</v>
      </c>
      <c r="AAT12">
        <f>AAT8*AAT9</f>
        <v>3254.3</v>
      </c>
      <c r="AAU12">
        <f>AAU8*AAU9</f>
        <v>16711.02</v>
      </c>
      <c r="AAV12">
        <f>AAV8*AAV9</f>
        <v>35855.100000000006</v>
      </c>
      <c r="AAW12">
        <f>AAW8*AAW9</f>
        <v>20516.13</v>
      </c>
      <c r="AAX12">
        <f>AAX8*AAX9</f>
        <v>3102.21</v>
      </c>
      <c r="AAY12">
        <f>AAY8*AAY9</f>
        <v>4175.24</v>
      </c>
      <c r="AAZ12">
        <f>AAZ8*AAZ9</f>
        <v>3079.48</v>
      </c>
      <c r="ABA12">
        <f>ABA8*ABA9</f>
        <v>11126.68</v>
      </c>
      <c r="ABB12">
        <f>ABB8*ABB9</f>
        <v>991.98</v>
      </c>
      <c r="ABC12">
        <f>ABC8*ABC9</f>
        <v>4330.9800000000005</v>
      </c>
      <c r="ABD12">
        <f>ABD8*ABD9</f>
        <v>5616.15</v>
      </c>
      <c r="ABE12">
        <f>ABE8*ABE9</f>
        <v>6151.34</v>
      </c>
      <c r="ABF12">
        <f>ABF8*ABF9</f>
        <v>7936.62</v>
      </c>
      <c r="ABG12">
        <f>ABG8*ABG9</f>
        <v>6052.62</v>
      </c>
      <c r="ABH12">
        <f>ABH8*ABH9</f>
        <v>12436.199999999999</v>
      </c>
      <c r="ABI12">
        <f>ABI8*ABI9</f>
        <v>3653.28</v>
      </c>
      <c r="ABJ12">
        <f>ABJ8*ABJ9</f>
        <v>3398.38</v>
      </c>
      <c r="ABK12">
        <f>ABK8*ABK9</f>
        <v>28809.06</v>
      </c>
      <c r="ABL12">
        <f>ABL8*ABL9</f>
        <v>10210.5</v>
      </c>
      <c r="ABM12">
        <f>ABM8*ABM9</f>
        <v>30187.53</v>
      </c>
      <c r="ABN12">
        <f>ABN8*ABN9</f>
        <v>600.38</v>
      </c>
      <c r="ABO12">
        <f>ABO8*ABO9</f>
        <v>33602.03</v>
      </c>
      <c r="ABP12">
        <f>ABP8*ABP9</f>
        <v>15198.28</v>
      </c>
      <c r="ABQ12">
        <f>ABQ8*ABQ9</f>
        <v>3743.6400000000003</v>
      </c>
      <c r="ABR12">
        <f>ABR8*ABR9</f>
        <v>6780.6900000000005</v>
      </c>
      <c r="ABS12">
        <f>ABS8*ABS9</f>
        <v>5014.3</v>
      </c>
      <c r="ABT12">
        <f>ABT8*ABT9</f>
        <v>31785.18</v>
      </c>
      <c r="ABU12">
        <f>ABU8*ABU9</f>
        <v>4042.5</v>
      </c>
      <c r="ABV12">
        <f>ABV8*ABV9</f>
        <v>1409.9</v>
      </c>
      <c r="ABW12">
        <f>ABW8*ABW9</f>
        <v>37714.800000000003</v>
      </c>
      <c r="ABX12">
        <f>ABX8*ABX9</f>
        <v>35377.360000000001</v>
      </c>
      <c r="ABY12">
        <f>ABY8*ABY9</f>
        <v>14319.7</v>
      </c>
      <c r="ABZ12">
        <f>ABZ8*ABZ9</f>
        <v>26568.99</v>
      </c>
      <c r="ACA12">
        <f>ACA8*ACA9</f>
        <v>6912.1</v>
      </c>
      <c r="ACB12">
        <f>ACB8*ACB9</f>
        <v>1533.5600000000002</v>
      </c>
      <c r="ACC12">
        <f>ACC8*ACC9</f>
        <v>9307.59</v>
      </c>
      <c r="ACD12">
        <f>ACD8*ACD9</f>
        <v>28958.49</v>
      </c>
      <c r="ACE12">
        <f>ACE8*ACE9</f>
        <v>534.67999999999995</v>
      </c>
      <c r="ACF12">
        <f>ACF8*ACF9</f>
        <v>8993.76</v>
      </c>
      <c r="ACG12">
        <f>ACG8*ACG9</f>
        <v>33239</v>
      </c>
      <c r="ACH12">
        <f>ACH8*ACH9</f>
        <v>7190.2800000000007</v>
      </c>
      <c r="ACI12">
        <f>ACI8*ACI9</f>
        <v>3138.88</v>
      </c>
      <c r="ACJ12">
        <f>ACJ8*ACJ9</f>
        <v>806.57</v>
      </c>
      <c r="ACK12">
        <f>ACK8*ACK9</f>
        <v>36194.800000000003</v>
      </c>
      <c r="ACL12">
        <f>ACL8*ACL9</f>
        <v>5337.75</v>
      </c>
      <c r="ACM12">
        <f>ACM8*ACM9</f>
        <v>12212.550000000001</v>
      </c>
      <c r="ACN12">
        <f>ACN8*ACN9</f>
        <v>14102.579999999998</v>
      </c>
      <c r="ACO12">
        <f>ACO8*ACO9</f>
        <v>8308.7999999999993</v>
      </c>
      <c r="ACP12">
        <f>ACP8*ACP9</f>
        <v>17161.739999999998</v>
      </c>
      <c r="ACQ12">
        <f>ACQ8*ACQ9</f>
        <v>986.24</v>
      </c>
      <c r="ACR12">
        <f>ACR8*ACR9</f>
        <v>22479.599999999999</v>
      </c>
      <c r="ACS12">
        <f>ACS8*ACS9</f>
        <v>1905.34</v>
      </c>
      <c r="ACT12">
        <f>ACT8*ACT9</f>
        <v>6906.76</v>
      </c>
      <c r="ACU12">
        <f>ACU8*ACU9</f>
        <v>11537.67</v>
      </c>
      <c r="ACV12">
        <f>ACV8*ACV9</f>
        <v>35169.5</v>
      </c>
      <c r="ACW12">
        <f>ACW8*ACW9</f>
        <v>7317.24</v>
      </c>
      <c r="ACX12">
        <f>ACX8*ACX9</f>
        <v>2752.34</v>
      </c>
      <c r="ACY12">
        <f>ACY8*ACY9</f>
        <v>32608.2</v>
      </c>
      <c r="ACZ12">
        <f>ACZ8*ACZ9</f>
        <v>22548.880000000001</v>
      </c>
      <c r="ADA12">
        <f>ADA8*ADA9</f>
        <v>1387.44</v>
      </c>
      <c r="ADB12">
        <f>ADB8*ADB9</f>
        <v>738.96</v>
      </c>
      <c r="ADC12">
        <f>ADC8*ADC9</f>
        <v>38540.080000000002</v>
      </c>
      <c r="ADD12">
        <f>ADD8*ADD9</f>
        <v>4387.54</v>
      </c>
      <c r="ADE12">
        <f>ADE8*ADE9</f>
        <v>14205.900000000001</v>
      </c>
      <c r="ADF12">
        <f>ADF8*ADF9</f>
        <v>15580.4</v>
      </c>
      <c r="ADG12">
        <f>ADG8*ADG9</f>
        <v>34432.800000000003</v>
      </c>
      <c r="ADH12">
        <f>ADH8*ADH9</f>
        <v>13397.51</v>
      </c>
      <c r="ADI12">
        <f>ADI8*ADI9</f>
        <v>6944.96</v>
      </c>
      <c r="ADJ12">
        <f>ADJ8*ADJ9</f>
        <v>26120.43</v>
      </c>
      <c r="ADK12">
        <f>ADK8*ADK9</f>
        <v>13824.36</v>
      </c>
      <c r="ADL12">
        <f>ADL8*ADL9</f>
        <v>672.92</v>
      </c>
      <c r="ADM12">
        <f>ADM8*ADM9</f>
        <v>9064.48</v>
      </c>
      <c r="ADN12">
        <f>ADN8*ADN9</f>
        <v>9510.76</v>
      </c>
      <c r="ADO12">
        <f>ADO8*ADO9</f>
        <v>20595.599999999999</v>
      </c>
      <c r="ADP12">
        <f>ADP8*ADP9</f>
        <v>10376.849999999999</v>
      </c>
      <c r="ADQ12">
        <f>ADQ8*ADQ9</f>
        <v>2141</v>
      </c>
      <c r="ADR12">
        <f>ADR8*ADR9</f>
        <v>8196.57</v>
      </c>
      <c r="ADS12">
        <f>ADS8*ADS9</f>
        <v>1541.32</v>
      </c>
      <c r="ADT12">
        <f>ADT8*ADT9</f>
        <v>17807.2</v>
      </c>
      <c r="ADU12">
        <f>ADU8*ADU9</f>
        <v>8906.9000000000015</v>
      </c>
      <c r="ADV12">
        <f>ADV8*ADV9</f>
        <v>2017.2599999999998</v>
      </c>
      <c r="ADW12">
        <f>ADW8*ADW9</f>
        <v>5819.76</v>
      </c>
      <c r="ADX12">
        <f>ADX8*ADX9</f>
        <v>17977.04</v>
      </c>
      <c r="ADY12">
        <f>ADY8*ADY9</f>
        <v>6885.08</v>
      </c>
      <c r="ADZ12">
        <f>ADZ8*ADZ9</f>
        <v>781.22</v>
      </c>
      <c r="AEA12">
        <f>AEA8*AEA9</f>
        <v>39981.15</v>
      </c>
      <c r="AEB12">
        <f>AEB8*AEB9</f>
        <v>17836</v>
      </c>
      <c r="AEC12">
        <f>AEC8*AEC9</f>
        <v>1677.72</v>
      </c>
      <c r="AED12">
        <f>AED8*AED9</f>
        <v>3414.6</v>
      </c>
      <c r="AEE12">
        <f>AEE8*AEE9</f>
        <v>4341.3500000000004</v>
      </c>
      <c r="AEF12">
        <f>AEF8*AEF9</f>
        <v>22569.4</v>
      </c>
      <c r="AEG12">
        <f>AEG8*AEG9</f>
        <v>16256</v>
      </c>
      <c r="AEH12">
        <f>AEH8*AEH9</f>
        <v>6213.5999999999995</v>
      </c>
      <c r="AEI12">
        <f>AEI8*AEI9</f>
        <v>29026</v>
      </c>
      <c r="AEJ12">
        <f>AEJ8*AEJ9</f>
        <v>354.72</v>
      </c>
      <c r="AEK12">
        <f>AEK8*AEK9</f>
        <v>39666.199999999997</v>
      </c>
      <c r="AEL12">
        <f>AEL8*AEL9</f>
        <v>20513.82</v>
      </c>
      <c r="AEM12">
        <f>AEM8*AEM9</f>
        <v>2897.67</v>
      </c>
      <c r="AEN12">
        <f>AEN8*AEN9</f>
        <v>15782.22</v>
      </c>
      <c r="AEO12">
        <f>AEO8*AEO9</f>
        <v>4622.6499999999996</v>
      </c>
      <c r="AEP12">
        <f>AEP8*AEP9</f>
        <v>12915.1</v>
      </c>
      <c r="AEQ12">
        <f>AEQ8*AEQ9</f>
        <v>2756.33</v>
      </c>
      <c r="AER12">
        <f>AER8*AER9</f>
        <v>6528.2</v>
      </c>
      <c r="AES12">
        <f>AES8*AES9</f>
        <v>5318.56</v>
      </c>
      <c r="AET12">
        <f>AET8*AET9</f>
        <v>38981.360000000001</v>
      </c>
      <c r="AEU12">
        <f>AEU8*AEU9</f>
        <v>3105</v>
      </c>
      <c r="AEV12">
        <f>AEV8*AEV9</f>
        <v>23721.67</v>
      </c>
      <c r="AEW12">
        <f>AEW8*AEW9</f>
        <v>7048.26</v>
      </c>
      <c r="AEX12">
        <f>AEX8*AEX9</f>
        <v>819.16</v>
      </c>
      <c r="AEY12">
        <f>AEY8*AEY9</f>
        <v>17998.439999999999</v>
      </c>
      <c r="AEZ12">
        <f>AEZ8*AEZ9</f>
        <v>6706.44</v>
      </c>
      <c r="AFA12">
        <f>AFA8*AFA9</f>
        <v>4309.3999999999996</v>
      </c>
      <c r="AFB12">
        <f>AFB8*AFB9</f>
        <v>13077.57</v>
      </c>
      <c r="AFC12">
        <f>AFC8*AFC9</f>
        <v>16616.16</v>
      </c>
      <c r="AFD12">
        <f>AFD8*AFD9</f>
        <v>2615.48</v>
      </c>
      <c r="AFE12">
        <f>AFE8*AFE9</f>
        <v>25528.260000000002</v>
      </c>
      <c r="AFF12">
        <f>AFF8*AFF9</f>
        <v>10143</v>
      </c>
      <c r="AFG12">
        <f>AFG8*AFG9</f>
        <v>4374.54</v>
      </c>
      <c r="AFH12">
        <f>AFH8*AFH9</f>
        <v>1886.74</v>
      </c>
      <c r="AFI12">
        <f>AFI8*AFI9</f>
        <v>1750.03</v>
      </c>
      <c r="AFJ12">
        <f>AFJ8*AFJ9</f>
        <v>4185.99</v>
      </c>
      <c r="AFK12">
        <f>AFK8*AFK9</f>
        <v>32146.959999999999</v>
      </c>
      <c r="AFL12">
        <f>AFL8*AFL9</f>
        <v>4218.54</v>
      </c>
      <c r="AFM12">
        <f>AFM8*AFM9</f>
        <v>30346.799999999999</v>
      </c>
      <c r="AFN12">
        <f>AFN8*AFN9</f>
        <v>20195.75</v>
      </c>
      <c r="AFO12">
        <f>AFO8*AFO9</f>
        <v>13433.36</v>
      </c>
      <c r="AFP12">
        <f>AFP8*AFP9</f>
        <v>20479.38</v>
      </c>
      <c r="AFQ12">
        <f>AFQ8*AFQ9</f>
        <v>645.19000000000005</v>
      </c>
      <c r="AFR12">
        <f>AFR8*AFR9</f>
        <v>13358.48</v>
      </c>
      <c r="AFS12">
        <f>AFS8*AFS9</f>
        <v>37240.200000000004</v>
      </c>
      <c r="AFT12">
        <f>AFT8*AFT9</f>
        <v>4067.74</v>
      </c>
      <c r="AFU12">
        <f>AFU8*AFU9</f>
        <v>1761.33</v>
      </c>
      <c r="AFV12">
        <f>AFV8*AFV9</f>
        <v>2112.69</v>
      </c>
      <c r="AFW12">
        <f>AFW8*AFW9</f>
        <v>13428.55</v>
      </c>
      <c r="AFX12">
        <f>AFX8*AFX9</f>
        <v>23655.66</v>
      </c>
      <c r="AFY12">
        <f>AFY8*AFY9</f>
        <v>12279.7</v>
      </c>
      <c r="AFZ12">
        <f>AFZ8*AFZ9</f>
        <v>1524.96</v>
      </c>
      <c r="AGA12">
        <f>AGA8*AGA9</f>
        <v>7576.14</v>
      </c>
      <c r="AGB12">
        <f>AGB8*AGB9</f>
        <v>21386.34</v>
      </c>
      <c r="AGC12">
        <f>AGC8*AGC9</f>
        <v>2439</v>
      </c>
      <c r="AGD12">
        <f>AGD8*AGD9</f>
        <v>1808.1000000000001</v>
      </c>
      <c r="AGE12">
        <f>AGE8*AGE9</f>
        <v>22948.1</v>
      </c>
      <c r="AGF12">
        <f>AGF8*AGF9</f>
        <v>5508.16</v>
      </c>
      <c r="AGG12">
        <f>AGG8*AGG9</f>
        <v>3832.51</v>
      </c>
      <c r="AGH12">
        <f>AGH8*AGH9</f>
        <v>4737.3500000000004</v>
      </c>
      <c r="AGI12">
        <f>AGI8*AGI9</f>
        <v>8307.14</v>
      </c>
      <c r="AGJ12">
        <f>AGJ8*AGJ9</f>
        <v>5353.92</v>
      </c>
      <c r="AGK12">
        <f>AGK8*AGK9</f>
        <v>15046.56</v>
      </c>
      <c r="AGL12">
        <f>AGL8*AGL9</f>
        <v>383.38</v>
      </c>
      <c r="AGM12">
        <f>AGM8*AGM9</f>
        <v>23105.4</v>
      </c>
      <c r="AGN12">
        <f>AGN8*AGN9</f>
        <v>2593.41</v>
      </c>
      <c r="AGO12">
        <f>AGO8*AGO9</f>
        <v>11709.150000000001</v>
      </c>
      <c r="AGP12">
        <f>AGP8*AGP9</f>
        <v>9286.06</v>
      </c>
      <c r="AGQ12">
        <f>AGQ8*AGQ9</f>
        <v>13404.78</v>
      </c>
      <c r="AGR12">
        <f>AGR8*AGR9</f>
        <v>18254</v>
      </c>
      <c r="AGS12">
        <f>AGS8*AGS9</f>
        <v>8861.02</v>
      </c>
      <c r="AGT12">
        <f>AGT8*AGT9</f>
        <v>6601.56</v>
      </c>
      <c r="AGU12">
        <f>AGU8*AGU9</f>
        <v>7257.33</v>
      </c>
      <c r="AGV12">
        <f>AGV8*AGV9</f>
        <v>484.56</v>
      </c>
      <c r="AGW12">
        <f>AGW8*AGW9</f>
        <v>11998.44</v>
      </c>
      <c r="AGX12">
        <f>AGX8*AGX9</f>
        <v>18987.52</v>
      </c>
      <c r="AGY12">
        <f>AGY8*AGY9</f>
        <v>17580.22</v>
      </c>
      <c r="AGZ12">
        <f>AGZ8*AGZ9</f>
        <v>1482.69</v>
      </c>
      <c r="AHA12">
        <f>AHA8*AHA9</f>
        <v>7501.35</v>
      </c>
      <c r="AHB12">
        <f>AHB8*AHB9</f>
        <v>18016.600000000002</v>
      </c>
      <c r="AHC12">
        <f>AHC8*AHC9</f>
        <v>17062.649999999998</v>
      </c>
      <c r="AHD12">
        <f>AHD8*AHD9</f>
        <v>14575.19</v>
      </c>
      <c r="AHE12">
        <f>AHE8*AHE9</f>
        <v>8862.3799999999992</v>
      </c>
      <c r="AHF12">
        <f>AHF8*AHF9</f>
        <v>29828.899999999998</v>
      </c>
      <c r="AHG12">
        <f>AHG8*AHG9</f>
        <v>7994.5199999999995</v>
      </c>
      <c r="AHH12">
        <f>AHH8*AHH9</f>
        <v>8151.66</v>
      </c>
      <c r="AHI12">
        <f>AHI8*AHI9</f>
        <v>3216.3999999999996</v>
      </c>
      <c r="AHJ12">
        <f>AHJ8*AHJ9</f>
        <v>11333.61</v>
      </c>
      <c r="AHK12">
        <f>AHK8*AHK9</f>
        <v>9628.2900000000009</v>
      </c>
      <c r="AHL12">
        <f>AHL8*AHL9</f>
        <v>7064.6500000000005</v>
      </c>
      <c r="AHM12">
        <f>AHM8*AHM9</f>
        <v>13057.24</v>
      </c>
      <c r="AHN12">
        <f>AHN8*AHN9</f>
        <v>13546.14</v>
      </c>
      <c r="AHO12">
        <f>AHO8*AHO9</f>
        <v>4704.32</v>
      </c>
      <c r="AHP12">
        <f>AHP8*AHP9</f>
        <v>14084.880000000001</v>
      </c>
      <c r="AHQ12">
        <f>AHQ8*AHQ9</f>
        <v>11886.96</v>
      </c>
      <c r="AHR12">
        <f>AHR8*AHR9</f>
        <v>20866.440000000002</v>
      </c>
      <c r="AHS12">
        <f>AHS8*AHS9</f>
        <v>13668.83</v>
      </c>
      <c r="AHT12">
        <f>AHT8*AHT9</f>
        <v>613.40000000000009</v>
      </c>
      <c r="AHU12">
        <f>AHU8*AHU9</f>
        <v>13642.550000000001</v>
      </c>
      <c r="AHV12">
        <f>AHV8*AHV9</f>
        <v>28922.390000000003</v>
      </c>
      <c r="AHW12">
        <f>AHW8*AHW9</f>
        <v>16641.599999999999</v>
      </c>
      <c r="AHX12">
        <f>AHX8*AHX9</f>
        <v>16018.869999999999</v>
      </c>
      <c r="AHY12">
        <f>AHY8*AHY9</f>
        <v>14982.08</v>
      </c>
      <c r="AHZ12">
        <f>AHZ8*AHZ9</f>
        <v>10388.25</v>
      </c>
      <c r="AIA12">
        <f>AIA8*AIA9</f>
        <v>2442.37</v>
      </c>
      <c r="AIB12">
        <f>AIB8*AIB9</f>
        <v>25647.040000000001</v>
      </c>
      <c r="AIC12">
        <f>AIC8*AIC9</f>
        <v>3343.24</v>
      </c>
      <c r="AID12">
        <f>AID8*AID9</f>
        <v>9890.68</v>
      </c>
      <c r="AIE12">
        <f>AIE8*AIE9</f>
        <v>3151.59</v>
      </c>
      <c r="AIF12">
        <f>AIF8*AIF9</f>
        <v>7101.25</v>
      </c>
      <c r="AIG12">
        <f>AIG8*AIG9</f>
        <v>3033.82</v>
      </c>
      <c r="AIH12">
        <f>AIH8*AIH9</f>
        <v>23936.43</v>
      </c>
      <c r="AII12">
        <f>AII8*AII9</f>
        <v>17108.25</v>
      </c>
      <c r="AIJ12">
        <f>AIJ8*AIJ9</f>
        <v>2207.0099999999998</v>
      </c>
      <c r="AIK12">
        <f>AIK8*AIK9</f>
        <v>16566.199999999997</v>
      </c>
      <c r="AIL12">
        <f>AIL8*AIL9</f>
        <v>10066.6</v>
      </c>
      <c r="AIM12">
        <f>AIM8*AIM9</f>
        <v>27498.5</v>
      </c>
      <c r="AIN12">
        <f>AIN8*AIN9</f>
        <v>13767.78</v>
      </c>
      <c r="AIO12">
        <f>AIO8*AIO9</f>
        <v>48550.5</v>
      </c>
      <c r="AIP12">
        <f>AIP8*AIP9</f>
        <v>29408.880000000001</v>
      </c>
      <c r="AIQ12">
        <f>AIQ8*AIQ9</f>
        <v>25902.38</v>
      </c>
      <c r="AIR12">
        <f>AIR8*AIR9</f>
        <v>1844.95</v>
      </c>
      <c r="AIS12">
        <f>AIS8*AIS9</f>
        <v>2661.68</v>
      </c>
      <c r="AIT12">
        <f>AIT8*AIT9</f>
        <v>10140.36</v>
      </c>
      <c r="AIU12">
        <f>AIU8*AIU9</f>
        <v>20467.95</v>
      </c>
      <c r="AIV12">
        <f>AIV8*AIV9</f>
        <v>11901.76</v>
      </c>
      <c r="AIW12">
        <f>AIW8*AIW9</f>
        <v>21956</v>
      </c>
      <c r="AIX12">
        <f>AIX8*AIX9</f>
        <v>12279.470000000001</v>
      </c>
      <c r="AIY12">
        <f>AIY8*AIY9</f>
        <v>16752.2</v>
      </c>
      <c r="AIZ12">
        <f>AIZ8*AIZ9</f>
        <v>11990.3</v>
      </c>
      <c r="AJA12">
        <f>AJA8*AJA9</f>
        <v>23911.75</v>
      </c>
      <c r="AJB12">
        <f>AJB8*AJB9</f>
        <v>24471.63</v>
      </c>
      <c r="AJC12">
        <f>AJC8*AJC9</f>
        <v>8464.5300000000007</v>
      </c>
      <c r="AJD12">
        <f>AJD8*AJD9</f>
        <v>8941.6</v>
      </c>
      <c r="AJE12">
        <f>AJE8*AJE9</f>
        <v>35870.480000000003</v>
      </c>
      <c r="AJF12">
        <f>AJF8*AJF9</f>
        <v>44950.77</v>
      </c>
      <c r="AJG12">
        <f>AJG8*AJG9</f>
        <v>4264.5600000000004</v>
      </c>
      <c r="AJH12">
        <f>AJH8*AJH9</f>
        <v>13778.76</v>
      </c>
      <c r="AJI12">
        <f>AJI8*AJI9</f>
        <v>9985.92</v>
      </c>
      <c r="AJJ12">
        <f>AJJ8*AJJ9</f>
        <v>37018.080000000002</v>
      </c>
      <c r="AJK12">
        <f>AJK8*AJK9</f>
        <v>5926.68</v>
      </c>
      <c r="AJL12">
        <f>AJL8*AJL9</f>
        <v>14354.52</v>
      </c>
      <c r="AJM12">
        <f>AJM8*AJM9</f>
        <v>5400.36</v>
      </c>
      <c r="AJN12">
        <f>AJN8*AJN9</f>
        <v>26720.82</v>
      </c>
      <c r="AJO12">
        <f>AJO8*AJO9</f>
        <v>16786.400000000001</v>
      </c>
      <c r="AJP12">
        <f>AJP8*AJP9</f>
        <v>26903.68</v>
      </c>
      <c r="AJQ12">
        <f>AJQ8*AJQ9</f>
        <v>1052.79</v>
      </c>
      <c r="AJR12">
        <f>AJR8*AJR9</f>
        <v>11748.630000000001</v>
      </c>
      <c r="AJS12">
        <f>AJS8*AJS9</f>
        <v>1250.28</v>
      </c>
      <c r="AJT12">
        <f>AJT8*AJT9</f>
        <v>3224.04</v>
      </c>
      <c r="AJU12">
        <f>AJU8*AJU9</f>
        <v>6509.91</v>
      </c>
      <c r="AJV12">
        <f>AJV8*AJV9</f>
        <v>18544.89</v>
      </c>
      <c r="AJW12">
        <f>AJW8*AJW9</f>
        <v>3086.52</v>
      </c>
      <c r="AJX12">
        <f>AJX8*AJX9</f>
        <v>1296.26</v>
      </c>
      <c r="AJY12">
        <f>AJY8*AJY9</f>
        <v>49977.5</v>
      </c>
      <c r="AJZ12">
        <f>AJZ8*AJZ9</f>
        <v>9486.48</v>
      </c>
      <c r="AKA12">
        <f>AKA8*AKA9</f>
        <v>22529.25</v>
      </c>
      <c r="AKB12">
        <f>AKB8*AKB9</f>
        <v>20500.400000000001</v>
      </c>
      <c r="AKC12">
        <f>AKC8*AKC9</f>
        <v>33960.639999999999</v>
      </c>
      <c r="AKD12">
        <f>AKD8*AKD9</f>
        <v>3538.36</v>
      </c>
      <c r="AKE12">
        <f>AKE8*AKE9</f>
        <v>41594.22</v>
      </c>
      <c r="AKF12">
        <f>AKF8*AKF9</f>
        <v>15445.3</v>
      </c>
      <c r="AKG12">
        <f>AKG8*AKG9</f>
        <v>36085.86</v>
      </c>
      <c r="AKH12">
        <f>AKH8*AKH9</f>
        <v>18797.75</v>
      </c>
      <c r="AKI12">
        <f>AKI8*AKI9</f>
        <v>24542.559999999998</v>
      </c>
      <c r="AKJ12">
        <f>AKJ8*AKJ9</f>
        <v>6697.1100000000006</v>
      </c>
      <c r="AKK12">
        <f>AKK8*AKK9</f>
        <v>20739.12</v>
      </c>
      <c r="AKL12">
        <f>AKL8*AKL9</f>
        <v>2723.65</v>
      </c>
      <c r="AKM12">
        <f>AKM8*AKM9</f>
        <v>14500.24</v>
      </c>
      <c r="AKN12">
        <f>AKN8*AKN9</f>
        <v>3046.43</v>
      </c>
      <c r="AKO12">
        <f>AKO8*AKO9</f>
        <v>2541.0100000000002</v>
      </c>
      <c r="AKP12">
        <f>AKP8*AKP9</f>
        <v>38108.200000000004</v>
      </c>
      <c r="AKQ12">
        <f>AKQ8*AKQ9</f>
        <v>14790.69</v>
      </c>
      <c r="AKR12">
        <f>AKR8*AKR9</f>
        <v>8387.19</v>
      </c>
      <c r="AKS12">
        <f>AKS8*AKS9</f>
        <v>16823.43</v>
      </c>
      <c r="AKT12">
        <f>AKT8*AKT9</f>
        <v>13137.05</v>
      </c>
      <c r="AKU12">
        <f>AKU8*AKU9</f>
        <v>3218.62</v>
      </c>
      <c r="AKV12">
        <f>AKV8*AKV9</f>
        <v>485.58</v>
      </c>
      <c r="AKW12">
        <f>AKW8*AKW9</f>
        <v>41069.430000000008</v>
      </c>
      <c r="AKX12">
        <f>AKX8*AKX9</f>
        <v>930.92</v>
      </c>
      <c r="AKY12">
        <f>AKY8*AKY9</f>
        <v>28955.300000000003</v>
      </c>
      <c r="AKZ12">
        <f>AKZ8*AKZ9</f>
        <v>6805.14</v>
      </c>
      <c r="ALA12">
        <f>ALA8*ALA9</f>
        <v>22176.7</v>
      </c>
      <c r="ALB12">
        <f>ALB8*ALB9</f>
        <v>2222.11</v>
      </c>
      <c r="ALC12">
        <f>ALC8*ALC9</f>
        <v>8602.74</v>
      </c>
      <c r="ALD12">
        <f>ALD8*ALD9</f>
        <v>9912.9000000000015</v>
      </c>
      <c r="ALE12">
        <f>ALE8*ALE9</f>
        <v>6705</v>
      </c>
      <c r="ALF12">
        <f>ALF8*ALF9</f>
        <v>20026.53</v>
      </c>
      <c r="ALG12">
        <f>ALG8*ALG9</f>
        <v>12094.74</v>
      </c>
      <c r="ALH12">
        <f>ALH8*ALH9</f>
        <v>3957.4800000000005</v>
      </c>
      <c r="ALI12">
        <f>ALI8*ALI9</f>
        <v>1393.71</v>
      </c>
      <c r="ALJ12">
        <f>ALJ8*ALJ9</f>
        <v>3162.7999999999997</v>
      </c>
      <c r="ALK12">
        <f>ALK8*ALK9</f>
        <v>31593.06</v>
      </c>
      <c r="ALL12">
        <f>ALL8*ALL9</f>
        <v>18866.240000000002</v>
      </c>
      <c r="ALM12">
        <f>ALM8*ALM9</f>
        <v>29340.850000000002</v>
      </c>
    </row>
    <row r="20" spans="1:2" x14ac:dyDescent="0.3">
      <c r="A20" s="1" t="s">
        <v>0</v>
      </c>
      <c r="B20" t="s">
        <v>73</v>
      </c>
    </row>
    <row r="21" spans="1:2" x14ac:dyDescent="0.3">
      <c r="A21" s="1" t="s">
        <v>1</v>
      </c>
      <c r="B21" t="str">
        <f>HLOOKUP(B20,A1:ALM12,2,0)</f>
        <v>2025-12-22</v>
      </c>
    </row>
    <row r="22" spans="1:2" x14ac:dyDescent="0.3">
      <c r="A22" s="1" t="s">
        <v>2</v>
      </c>
      <c r="B22" t="str">
        <f>HLOOKUP(B20,A1:ALM12,3,0)</f>
        <v>CUST1828</v>
      </c>
    </row>
    <row r="23" spans="1:2" x14ac:dyDescent="0.3">
      <c r="A23" s="1" t="s">
        <v>3</v>
      </c>
    </row>
    <row r="24" spans="1:2" x14ac:dyDescent="0.3">
      <c r="A24" s="1" t="s">
        <v>4</v>
      </c>
    </row>
    <row r="25" spans="1:2" x14ac:dyDescent="0.3">
      <c r="A25" s="1" t="s">
        <v>5</v>
      </c>
    </row>
    <row r="26" spans="1:2" x14ac:dyDescent="0.3">
      <c r="A26" s="1" t="s">
        <v>6</v>
      </c>
    </row>
    <row r="27" spans="1:2" x14ac:dyDescent="0.3">
      <c r="A27" s="1" t="s">
        <v>7</v>
      </c>
    </row>
    <row r="28" spans="1:2" x14ac:dyDescent="0.3">
      <c r="A28" s="1" t="s">
        <v>8</v>
      </c>
    </row>
    <row r="29" spans="1:2" x14ac:dyDescent="0.3">
      <c r="A29" s="1" t="s">
        <v>10</v>
      </c>
    </row>
    <row r="30" spans="1:2" x14ac:dyDescent="0.3">
      <c r="A30" s="1" t="s">
        <v>11</v>
      </c>
    </row>
    <row r="31" spans="1:2" x14ac:dyDescent="0.3">
      <c r="A31" s="3" t="s">
        <v>9</v>
      </c>
    </row>
    <row r="35" spans="1:2" x14ac:dyDescent="0.3">
      <c r="A35" s="1" t="s">
        <v>0</v>
      </c>
      <c r="B35" t="s">
        <v>73</v>
      </c>
    </row>
    <row r="36" spans="1:2" x14ac:dyDescent="0.3">
      <c r="A36" s="1" t="s">
        <v>1</v>
      </c>
      <c r="B36" t="str">
        <f>LOOKUP(B35,B1:ALM1,B2:ALM2)</f>
        <v>2025-12-22</v>
      </c>
    </row>
    <row r="37" spans="1:2" x14ac:dyDescent="0.3">
      <c r="A37" s="1" t="s">
        <v>2</v>
      </c>
    </row>
    <row r="38" spans="1:2" x14ac:dyDescent="0.3">
      <c r="A38" s="1" t="s">
        <v>3</v>
      </c>
    </row>
    <row r="39" spans="1:2" x14ac:dyDescent="0.3">
      <c r="A39" s="1" t="s">
        <v>4</v>
      </c>
    </row>
    <row r="40" spans="1:2" x14ac:dyDescent="0.3">
      <c r="A40" s="1" t="s">
        <v>5</v>
      </c>
    </row>
    <row r="41" spans="1:2" x14ac:dyDescent="0.3">
      <c r="A41" s="1" t="s">
        <v>6</v>
      </c>
    </row>
    <row r="42" spans="1:2" x14ac:dyDescent="0.3">
      <c r="A42" s="1" t="s">
        <v>7</v>
      </c>
    </row>
    <row r="43" spans="1:2" x14ac:dyDescent="0.3">
      <c r="A43" s="1" t="s">
        <v>8</v>
      </c>
      <c r="B43">
        <f>LOOKUP(B35,B1:ALM9)</f>
        <v>1546.77</v>
      </c>
    </row>
    <row r="44" spans="1:2" x14ac:dyDescent="0.3">
      <c r="A44" s="1" t="s">
        <v>10</v>
      </c>
    </row>
    <row r="45" spans="1:2" x14ac:dyDescent="0.3">
      <c r="A45" s="1" t="s">
        <v>11</v>
      </c>
      <c r="B45" t="str">
        <f>LOOKUP(B35,A1:ALM11)</f>
        <v>Neha</v>
      </c>
    </row>
    <row r="46" spans="1:2" x14ac:dyDescent="0.3">
      <c r="A46" s="3" t="s">
        <v>9</v>
      </c>
      <c r="B46">
        <f>LOOKUP(B35,B1:ALM12)</f>
        <v>12374.16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Store_Sales</vt:lpstr>
      <vt:lpstr>Sheet2</vt:lpstr>
      <vt:lpstr>Sheet1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</cp:lastModifiedBy>
  <dcterms:created xsi:type="dcterms:W3CDTF">2026-06-20T14:04:03Z</dcterms:created>
  <dcterms:modified xsi:type="dcterms:W3CDTF">2026-06-28T15:30:23Z</dcterms:modified>
</cp:coreProperties>
</file>
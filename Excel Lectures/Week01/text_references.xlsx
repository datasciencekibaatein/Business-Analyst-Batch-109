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8_{9F5C564E-E06A-4684-9695-C1024D0B2C31}" xr6:coauthVersionLast="47" xr6:coauthVersionMax="47" xr10:uidLastSave="{00000000-0000-0000-0000-000000000000}"/>
  <bookViews>
    <workbookView xWindow="-108" yWindow="-108" windowWidth="23256" windowHeight="12456" activeTab="2" xr2:uid="{919C9BDD-C282-40B7-B864-80C7DB737BC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18" i="3"/>
  <c r="C26" i="3"/>
  <c r="C25" i="3"/>
  <c r="D24" i="3"/>
  <c r="C24" i="3"/>
  <c r="C23" i="3" a="1"/>
  <c r="C23" i="3" s="1"/>
  <c r="D18" i="3" a="1"/>
  <c r="D18" i="3" s="1"/>
  <c r="C17" i="3"/>
  <c r="E15" i="3"/>
  <c r="E14" i="3"/>
  <c r="D16" i="3"/>
  <c r="D14" i="3"/>
  <c r="H10" i="3"/>
  <c r="H11" i="3"/>
  <c r="C13" i="3"/>
  <c r="D12" i="3"/>
  <c r="E12" i="3" s="1"/>
  <c r="C11" i="3"/>
  <c r="C9" i="3"/>
  <c r="E10" i="3"/>
  <c r="F10" i="3" s="1"/>
  <c r="E8" i="3"/>
  <c r="E9" i="3"/>
  <c r="F7" i="3"/>
  <c r="F3" i="3"/>
  <c r="F2" i="3"/>
  <c r="D3" i="3"/>
  <c r="D5" i="3"/>
  <c r="D2" i="3"/>
  <c r="H3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N11" i="2"/>
  <c r="M11" i="2"/>
  <c r="Q3" i="2"/>
  <c r="R3" i="2"/>
  <c r="S3" i="2"/>
  <c r="U3" i="2" s="1"/>
  <c r="T3" i="2"/>
  <c r="Q4" i="2"/>
  <c r="R4" i="2"/>
  <c r="T4" i="2" s="1"/>
  <c r="S4" i="2"/>
  <c r="U4" i="2" s="1"/>
  <c r="Q5" i="2"/>
  <c r="S5" i="2" s="1"/>
  <c r="U5" i="2" s="1"/>
  <c r="R5" i="2"/>
  <c r="T5" i="2" s="1"/>
  <c r="R2" i="2"/>
  <c r="S2" i="2"/>
  <c r="U2" i="2"/>
  <c r="Q2" i="2"/>
  <c r="H2" i="2"/>
  <c r="H8" i="2"/>
  <c r="H4" i="2"/>
  <c r="H5" i="2"/>
  <c r="H6" i="2"/>
  <c r="H7" i="2"/>
  <c r="H9" i="2"/>
  <c r="G3" i="2"/>
  <c r="G4" i="2"/>
  <c r="G5" i="2"/>
  <c r="G6" i="2"/>
  <c r="G7" i="2"/>
  <c r="G8" i="2"/>
  <c r="G9" i="2"/>
  <c r="G2" i="2"/>
  <c r="L4" i="2"/>
  <c r="L5" i="2"/>
  <c r="L3" i="2"/>
  <c r="L7" i="2"/>
  <c r="L6" i="2"/>
  <c r="J7" i="2"/>
  <c r="J5" i="2"/>
  <c r="T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<sst xmlns="http://schemas.openxmlformats.org/spreadsheetml/2006/main" count="48" uniqueCount="48">
  <si>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>Name</t>
  </si>
  <si>
    <t>JobRole</t>
  </si>
  <si>
    <t>Salary</t>
  </si>
  <si>
    <t>A</t>
  </si>
  <si>
    <t>IT</t>
  </si>
  <si>
    <t>B</t>
  </si>
  <si>
    <t>HR</t>
  </si>
  <si>
    <t>Referencing</t>
  </si>
  <si>
    <t>Relative Reference</t>
  </si>
  <si>
    <t>Absolute Reference</t>
  </si>
  <si>
    <t>Quantity</t>
  </si>
  <si>
    <t>Price</t>
  </si>
  <si>
    <t>Sale</t>
  </si>
  <si>
    <t>LEFT</t>
  </si>
  <si>
    <t>RIGHT</t>
  </si>
  <si>
    <t>MID</t>
  </si>
  <si>
    <t>LEN</t>
  </si>
  <si>
    <t>TRIM</t>
  </si>
  <si>
    <t>UPPER</t>
  </si>
  <si>
    <t>LOWER</t>
  </si>
  <si>
    <t>PROPER</t>
  </si>
  <si>
    <t>CONCAT</t>
  </si>
  <si>
    <t>TEXTJOIN</t>
  </si>
  <si>
    <t>FIND</t>
  </si>
  <si>
    <t>SEARCH</t>
  </si>
  <si>
    <t>REPLACE</t>
  </si>
  <si>
    <t>VALUE</t>
  </si>
  <si>
    <t>TEXTBEFORE</t>
  </si>
  <si>
    <t>TEXTAFTER</t>
  </si>
  <si>
    <t>TEXTSPLIT</t>
  </si>
  <si>
    <t>RAHUL</t>
  </si>
  <si>
    <t>SOHIT</t>
  </si>
  <si>
    <t>RAM</t>
  </si>
  <si>
    <t>AMIT</t>
  </si>
  <si>
    <t xml:space="preserve">        Dhruv Verma         </t>
  </si>
  <si>
    <t>dhruv verma</t>
  </si>
  <si>
    <t>Today was raining</t>
  </si>
  <si>
    <t>D</t>
  </si>
  <si>
    <t>d</t>
  </si>
  <si>
    <t>rain</t>
  </si>
  <si>
    <t>Rain</t>
  </si>
  <si>
    <t>find is case sensitive</t>
  </si>
  <si>
    <t>search isn't case sensitive</t>
  </si>
  <si>
    <t>SUBSTITUTE</t>
  </si>
  <si>
    <t>dhruv verma verma verma</t>
  </si>
  <si>
    <t>dhruv</t>
  </si>
  <si>
    <t>dhr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</si>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</sst>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75D9-F464-4528-996D-966D54195F11}">
  <dimension ref="A1:C3"/>
  <sheetViews>
    <sheetView workbookViewId="0">
      <selection activeCell="C11" sqref="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345902</v>
      </c>
    </row>
    <row r="3" spans="1:3" x14ac:dyDescent="0.3">
      <c r="A3" t="s">
        <v>5</v>
      </c>
      <c r="B3" t="s">
        <v>6</v>
      </c>
      <c r="C3">
        <v>23234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9272-C33C-4797-8679-004104245E57}">
  <dimension ref="B1:U18"/>
  <sheetViews>
    <sheetView zoomScale="126" workbookViewId="0">
      <selection activeCell="I2" sqref="I2"/>
    </sheetView>
  </sheetViews>
  <sheetFormatPr defaultRowHeight="14.4" x14ac:dyDescent="0.3"/>
  <cols>
    <col min="2" max="2" width="40.33203125" customWidth="1"/>
  </cols>
  <sheetData>
    <row r="1" spans="2:21" x14ac:dyDescent="0.3">
      <c r="E1" s="2" t="s">
        <v>10</v>
      </c>
      <c r="F1" s="2" t="s">
        <v>11</v>
      </c>
      <c r="G1" s="2" t="s">
        <v>12</v>
      </c>
    </row>
    <row r="2" spans="2:21" x14ac:dyDescent="0.3">
      <c r="B2" s="2" t="s">
        <v>7</v>
      </c>
      <c r="E2">
        <v>4</v>
      </c>
      <c r="F2">
        <v>34</v>
      </c>
      <c r="G2">
        <f>E2*F2</f>
        <v>136</v>
      </c>
      <c r="H2">
        <f>G2*I$2</f>
        <v>13.600000000000001</v>
      </c>
      <c r="I2">
        <v>0.1</v>
      </c>
      <c r="O2">
        <v>1</v>
      </c>
      <c r="P2">
        <v>45</v>
      </c>
      <c r="Q2">
        <f>$P$2*O2</f>
        <v>45</v>
      </c>
      <c r="R2">
        <f t="shared" ref="R2:U2" si="0">$P$2*P2</f>
        <v>2025</v>
      </c>
      <c r="S2">
        <f t="shared" si="0"/>
        <v>2025</v>
      </c>
      <c r="T2">
        <f t="shared" si="0"/>
        <v>91125</v>
      </c>
      <c r="U2">
        <f t="shared" si="0"/>
        <v>91125</v>
      </c>
    </row>
    <row r="3" spans="2:21" x14ac:dyDescent="0.3">
      <c r="B3" t="s">
        <v>8</v>
      </c>
      <c r="E3">
        <v>3</v>
      </c>
      <c r="F3">
        <v>45</v>
      </c>
      <c r="G3">
        <f t="shared" ref="G3:G9" si="1">E3*F3</f>
        <v>135</v>
      </c>
      <c r="H3">
        <f>G3*I$2</f>
        <v>13.5</v>
      </c>
      <c r="J3">
        <v>34</v>
      </c>
      <c r="L3">
        <f>J3</f>
        <v>34</v>
      </c>
      <c r="O3">
        <v>2</v>
      </c>
      <c r="P3">
        <v>23</v>
      </c>
      <c r="Q3">
        <f t="shared" ref="Q3:Q5" si="2">$P$2*O3</f>
        <v>90</v>
      </c>
      <c r="R3">
        <f t="shared" ref="R3:R5" si="3">$P$2*P3</f>
        <v>1035</v>
      </c>
      <c r="S3">
        <f t="shared" ref="S3:S5" si="4">$P$2*Q3</f>
        <v>4050</v>
      </c>
      <c r="T3">
        <f t="shared" ref="T3:T5" si="5">$P$2*R3</f>
        <v>46575</v>
      </c>
      <c r="U3">
        <f t="shared" ref="U3:U5" si="6">$P$2*S3</f>
        <v>182250</v>
      </c>
    </row>
    <row r="4" spans="2:21" x14ac:dyDescent="0.3">
      <c r="B4" t="s">
        <v>9</v>
      </c>
      <c r="E4">
        <v>6</v>
      </c>
      <c r="F4">
        <v>26</v>
      </c>
      <c r="G4">
        <f t="shared" si="1"/>
        <v>156</v>
      </c>
      <c r="H4">
        <f t="shared" ref="H3:H9" si="7">G4*I$2</f>
        <v>15.600000000000001</v>
      </c>
      <c r="J4">
        <v>765</v>
      </c>
      <c r="L4">
        <f>J4</f>
        <v>765</v>
      </c>
      <c r="O4">
        <v>3</v>
      </c>
      <c r="P4">
        <v>23</v>
      </c>
      <c r="Q4">
        <f t="shared" si="2"/>
        <v>135</v>
      </c>
      <c r="R4">
        <f t="shared" si="3"/>
        <v>1035</v>
      </c>
      <c r="S4">
        <f t="shared" si="4"/>
        <v>6075</v>
      </c>
      <c r="T4">
        <f t="shared" si="5"/>
        <v>46575</v>
      </c>
      <c r="U4">
        <f t="shared" si="6"/>
        <v>273375</v>
      </c>
    </row>
    <row r="5" spans="2:21" x14ac:dyDescent="0.3">
      <c r="E5">
        <v>2</v>
      </c>
      <c r="F5">
        <v>42</v>
      </c>
      <c r="G5">
        <f t="shared" si="1"/>
        <v>84</v>
      </c>
      <c r="H5">
        <f t="shared" si="7"/>
        <v>8.4</v>
      </c>
      <c r="J5">
        <f>J3</f>
        <v>34</v>
      </c>
      <c r="L5">
        <f t="shared" ref="L4:L5" si="8">J5</f>
        <v>34</v>
      </c>
      <c r="O5">
        <v>4</v>
      </c>
      <c r="P5">
        <v>56</v>
      </c>
      <c r="Q5">
        <f t="shared" si="2"/>
        <v>180</v>
      </c>
      <c r="R5">
        <f t="shared" si="3"/>
        <v>2520</v>
      </c>
      <c r="S5">
        <f t="shared" si="4"/>
        <v>8100</v>
      </c>
      <c r="T5">
        <f t="shared" si="5"/>
        <v>113400</v>
      </c>
      <c r="U5">
        <f t="shared" si="6"/>
        <v>364500</v>
      </c>
    </row>
    <row r="6" spans="2:21" x14ac:dyDescent="0.3">
      <c r="E6">
        <v>6</v>
      </c>
      <c r="F6">
        <v>78</v>
      </c>
      <c r="G6">
        <f t="shared" si="1"/>
        <v>468</v>
      </c>
      <c r="H6">
        <f t="shared" si="7"/>
        <v>46.800000000000004</v>
      </c>
      <c r="J6">
        <v>4567</v>
      </c>
      <c r="L6">
        <f>J6</f>
        <v>4567</v>
      </c>
    </row>
    <row r="7" spans="2:21" x14ac:dyDescent="0.3">
      <c r="E7">
        <v>7</v>
      </c>
      <c r="F7">
        <v>24</v>
      </c>
      <c r="G7">
        <f t="shared" si="1"/>
        <v>168</v>
      </c>
      <c r="H7">
        <f t="shared" si="7"/>
        <v>16.8</v>
      </c>
      <c r="J7">
        <f>4*34</f>
        <v>136</v>
      </c>
      <c r="L7">
        <f>J7</f>
        <v>136</v>
      </c>
    </row>
    <row r="8" spans="2:21" x14ac:dyDescent="0.3">
      <c r="E8">
        <v>9</v>
      </c>
      <c r="F8">
        <v>59</v>
      </c>
      <c r="G8">
        <f t="shared" si="1"/>
        <v>531</v>
      </c>
      <c r="H8">
        <f>G8*I$2</f>
        <v>53.1</v>
      </c>
    </row>
    <row r="9" spans="2:21" x14ac:dyDescent="0.3">
      <c r="E9">
        <v>3</v>
      </c>
      <c r="F9">
        <v>40</v>
      </c>
      <c r="G9">
        <f t="shared" si="1"/>
        <v>120</v>
      </c>
      <c r="H9">
        <f t="shared" si="7"/>
        <v>12</v>
      </c>
    </row>
    <row r="10" spans="2:21" x14ac:dyDescent="0.3">
      <c r="L10">
        <v>45</v>
      </c>
    </row>
    <row r="11" spans="2:21" x14ac:dyDescent="0.3">
      <c r="M11">
        <f>$L$10</f>
        <v>45</v>
      </c>
      <c r="N11">
        <f>$L$10</f>
        <v>45</v>
      </c>
    </row>
    <row r="12" spans="2:21" x14ac:dyDescent="0.3">
      <c r="M12">
        <f t="shared" ref="M12:N18" si="9">$L$10</f>
        <v>45</v>
      </c>
      <c r="N12">
        <f t="shared" si="9"/>
        <v>45</v>
      </c>
    </row>
    <row r="13" spans="2:21" x14ac:dyDescent="0.3">
      <c r="M13">
        <f t="shared" si="9"/>
        <v>45</v>
      </c>
      <c r="N13">
        <f t="shared" si="9"/>
        <v>45</v>
      </c>
    </row>
    <row r="14" spans="2:21" x14ac:dyDescent="0.3">
      <c r="M14">
        <f t="shared" si="9"/>
        <v>45</v>
      </c>
      <c r="N14">
        <f t="shared" si="9"/>
        <v>45</v>
      </c>
    </row>
    <row r="15" spans="2:21" x14ac:dyDescent="0.3">
      <c r="M15">
        <f t="shared" si="9"/>
        <v>45</v>
      </c>
      <c r="N15">
        <f t="shared" si="9"/>
        <v>45</v>
      </c>
    </row>
    <row r="16" spans="2:21" x14ac:dyDescent="0.3">
      <c r="M16">
        <f t="shared" si="9"/>
        <v>45</v>
      </c>
      <c r="N16">
        <f t="shared" si="9"/>
        <v>45</v>
      </c>
    </row>
    <row r="17" spans="13:14" x14ac:dyDescent="0.3">
      <c r="M17">
        <f t="shared" si="9"/>
        <v>45</v>
      </c>
      <c r="N17">
        <f t="shared" si="9"/>
        <v>45</v>
      </c>
    </row>
    <row r="18" spans="13:14" x14ac:dyDescent="0.3">
      <c r="M18">
        <f t="shared" si="9"/>
        <v>45</v>
      </c>
      <c r="N18">
        <f t="shared" si="9"/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6B5B-5A25-448E-B037-74FC05660C31}">
  <dimension ref="A1:I27"/>
  <sheetViews>
    <sheetView tabSelected="1" topLeftCell="A16" zoomScale="146" workbookViewId="0">
      <selection activeCell="E26" sqref="E26"/>
    </sheetView>
  </sheetViews>
  <sheetFormatPr defaultRowHeight="14.4" x14ac:dyDescent="0.3"/>
  <cols>
    <col min="1" max="1" width="13.44140625" customWidth="1"/>
    <col min="3" max="3" width="22.44140625" customWidth="1"/>
    <col min="4" max="4" width="22.33203125" customWidth="1"/>
    <col min="5" max="5" width="15.21875" customWidth="1"/>
    <col min="8" max="8" width="21.5546875" customWidth="1"/>
    <col min="9" max="9" width="18.5546875" customWidth="1"/>
  </cols>
  <sheetData>
    <row r="1" spans="1:9" x14ac:dyDescent="0.3">
      <c r="A1" t="s">
        <v>13</v>
      </c>
    </row>
    <row r="2" spans="1:9" x14ac:dyDescent="0.3">
      <c r="A2" t="s">
        <v>14</v>
      </c>
      <c r="C2" t="s">
        <v>30</v>
      </c>
      <c r="D2" t="str">
        <f>LOWER(C2)</f>
        <v>rahul</v>
      </c>
      <c r="F2" t="str">
        <f>LEFT(C2,2)</f>
        <v>RA</v>
      </c>
    </row>
    <row r="3" spans="1:9" x14ac:dyDescent="0.3">
      <c r="A3" t="s">
        <v>15</v>
      </c>
      <c r="C3" t="s">
        <v>31</v>
      </c>
      <c r="D3" t="str">
        <f t="shared" ref="D3:D5" si="0">LOWER(C3)</f>
        <v>sohit</v>
      </c>
      <c r="F3" t="str">
        <f>RIGHT(C2,3)</f>
        <v>HUL</v>
      </c>
    </row>
    <row r="4" spans="1:9" x14ac:dyDescent="0.3">
      <c r="A4" t="s">
        <v>16</v>
      </c>
      <c r="C4" t="s">
        <v>32</v>
      </c>
      <c r="E4" t="s">
        <v>37</v>
      </c>
    </row>
    <row r="5" spans="1:9" x14ac:dyDescent="0.3">
      <c r="A5" t="s">
        <v>17</v>
      </c>
      <c r="C5" t="s">
        <v>33</v>
      </c>
      <c r="D5" t="str">
        <f t="shared" si="0"/>
        <v>amit</v>
      </c>
      <c r="E5" t="s">
        <v>38</v>
      </c>
      <c r="H5" t="s">
        <v>36</v>
      </c>
    </row>
    <row r="6" spans="1:9" x14ac:dyDescent="0.3">
      <c r="A6" t="s">
        <v>18</v>
      </c>
    </row>
    <row r="7" spans="1:9" x14ac:dyDescent="0.3">
      <c r="A7" t="s">
        <v>19</v>
      </c>
      <c r="C7" t="s">
        <v>34</v>
      </c>
      <c r="F7" t="str">
        <f>MID(C7,3,5)</f>
        <v xml:space="preserve">     </v>
      </c>
      <c r="H7" t="s">
        <v>40</v>
      </c>
    </row>
    <row r="8" spans="1:9" x14ac:dyDescent="0.3">
      <c r="A8" t="s">
        <v>20</v>
      </c>
      <c r="E8">
        <f>LEN(C7)</f>
        <v>28</v>
      </c>
      <c r="H8" t="s">
        <v>39</v>
      </c>
    </row>
    <row r="9" spans="1:9" x14ac:dyDescent="0.3">
      <c r="A9" t="s">
        <v>21</v>
      </c>
      <c r="C9" t="str">
        <f>UPPER(D4)</f>
        <v/>
      </c>
      <c r="E9">
        <f>LEN(C2)</f>
        <v>5</v>
      </c>
    </row>
    <row r="10" spans="1:9" x14ac:dyDescent="0.3">
      <c r="A10" t="s">
        <v>22</v>
      </c>
      <c r="C10" t="s">
        <v>44</v>
      </c>
      <c r="E10" t="str">
        <f>TRIM(C7)</f>
        <v>Dhruv Verma</v>
      </c>
      <c r="F10">
        <f>LEN(E10)</f>
        <v>11</v>
      </c>
      <c r="H10">
        <f>FIND("raining",H5,3)</f>
        <v>11</v>
      </c>
      <c r="I10" t="s">
        <v>41</v>
      </c>
    </row>
    <row r="11" spans="1:9" x14ac:dyDescent="0.3">
      <c r="A11" t="s">
        <v>43</v>
      </c>
      <c r="C11" t="str">
        <f>PROPER(C10)</f>
        <v>Dhruv Verma Verma Verma</v>
      </c>
      <c r="H11">
        <f>SEARCH("Rain",H5,3)</f>
        <v>11</v>
      </c>
      <c r="I11" t="s">
        <v>42</v>
      </c>
    </row>
    <row r="12" spans="1:9" x14ac:dyDescent="0.3">
      <c r="A12" t="s">
        <v>23</v>
      </c>
      <c r="D12" t="str">
        <f>_xlfn.CONCAT(D2," ",D3," ",D4," ",D5)</f>
        <v>rahul sohit  amit</v>
      </c>
      <c r="E12">
        <f>LEN(D12)</f>
        <v>17</v>
      </c>
    </row>
    <row r="13" spans="1:9" x14ac:dyDescent="0.3">
      <c r="A13" t="s">
        <v>24</v>
      </c>
      <c r="C13" t="str">
        <f>_xlfn.TEXTJOIN(" ,",TRUE,D2,D3,D4,D5)</f>
        <v>rahul ,sohit ,amit</v>
      </c>
    </row>
    <row r="14" spans="1:9" x14ac:dyDescent="0.3">
      <c r="A14" t="s">
        <v>25</v>
      </c>
      <c r="D14" t="str">
        <f>REPLACE(C10,7,5,"Hello")</f>
        <v>dhruv Hello verma verma</v>
      </c>
      <c r="E14" t="str">
        <f>TEXT(23,"##")</f>
        <v>23</v>
      </c>
    </row>
    <row r="15" spans="1:9" x14ac:dyDescent="0.3">
      <c r="A15" t="s">
        <v>26</v>
      </c>
      <c r="E15">
        <f>VALUE(E14)</f>
        <v>23</v>
      </c>
    </row>
    <row r="16" spans="1:9" x14ac:dyDescent="0.3">
      <c r="A16" t="s">
        <v>27</v>
      </c>
      <c r="D16" t="str">
        <f>SUBSTITUTE(C10,"verma","hello",2)</f>
        <v>dhruv verma hello verma</v>
      </c>
    </row>
    <row r="17" spans="1:5" x14ac:dyDescent="0.3">
      <c r="A17" t="s">
        <v>28</v>
      </c>
      <c r="C17" t="str">
        <f>_xlfn.TEXTBEFORE(C13,"#",2,1,0,"Not found")</f>
        <v>Not found</v>
      </c>
    </row>
    <row r="18" spans="1:5" x14ac:dyDescent="0.3">
      <c r="A18" t="s">
        <v>29</v>
      </c>
      <c r="C18" t="str">
        <f>_xlfn.TEXTAFTER(C13,",",2,1,0,"Not found")</f>
        <v>amit</v>
      </c>
      <c r="D18" t="str" cm="1">
        <f t="array" ref="D18:E18">_xlfn.TEXTSPLIT(E10," ")</f>
        <v>Dhruv</v>
      </c>
      <c r="E18" t="str">
        <v>Verma</v>
      </c>
    </row>
    <row r="19" spans="1:5" x14ac:dyDescent="0.3">
      <c r="C19" t="s">
        <v>45</v>
      </c>
    </row>
    <row r="20" spans="1:5" x14ac:dyDescent="0.3">
      <c r="C20" t="s">
        <v>46</v>
      </c>
      <c r="D20" t="s">
        <v>47</v>
      </c>
    </row>
    <row r="21" spans="1:5" x14ac:dyDescent="0.3">
      <c r="C21" t="s">
        <v>35</v>
      </c>
    </row>
    <row r="23" spans="1:5" x14ac:dyDescent="0.3">
      <c r="C23" t="str" cm="1">
        <f t="array" ref="C23:D23">_xlfn.TEXTSPLIT(C19,"r")</f>
        <v>dh</v>
      </c>
      <c r="D23" t="str">
        <v>uv</v>
      </c>
    </row>
    <row r="24" spans="1:5" x14ac:dyDescent="0.3">
      <c r="C24" t="str">
        <f>LEFT(C19,3)</f>
        <v>dhr</v>
      </c>
      <c r="D24" t="str">
        <f>RIGHT(C19,2)</f>
        <v>uv</v>
      </c>
    </row>
    <row r="25" spans="1:5" x14ac:dyDescent="0.3">
      <c r="C25" t="str">
        <f>RIGHT(C21,SEARCH(" ",C21))</f>
        <v xml:space="preserve"> verma</v>
      </c>
    </row>
    <row r="26" spans="1:5" x14ac:dyDescent="0.3">
      <c r="C26" s="3" t="str">
        <f>LEFT(C21,LEN(C21)-SEARCH(" ",C21))</f>
        <v>dhruv</v>
      </c>
    </row>
    <row r="27" spans="1:5" x14ac:dyDescent="0.3">
      <c r="C27" t="str">
        <f>RIGHT(C21,SEARCH(" ",C21)-1)</f>
        <v>verma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2026-06-27T14:03:34Z</dcterms:created>
  <dcterms:modified xsi:type="dcterms:W3CDTF">2026-06-27T15:45:17Z</dcterms:modified>
</cp:coreProperties>
</file>
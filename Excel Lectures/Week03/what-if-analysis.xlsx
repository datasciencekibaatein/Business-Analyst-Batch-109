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hruv\Downloads\BA-L\Week03\"/>
    </mc:Choice>
  </mc:AlternateContent>
  <xr:revisionPtr revIDLastSave="0" documentId="13_ncr:1_{E38C4084-5568-4C5D-BA6D-907E176DA9E9}" xr6:coauthVersionLast="47" xr6:coauthVersionMax="47" xr10:uidLastSave="{00000000-0000-0000-0000-000000000000}"/>
  <bookViews>
    <workbookView xWindow="-108" yWindow="-108" windowWidth="23256" windowHeight="12456" activeTab="3" xr2:uid="{3F1BB861-918F-4285-983B-99B972B04A7E}"/>
  </bookViews>
  <sheets>
    <sheet name="Scenario Summary" sheetId="2" r:id="rId1"/>
    <sheet name="Scenario manager" sheetId="1" r:id="rId2"/>
    <sheet name="Goal Seek" sheetId="4" r:id="rId3"/>
    <sheet name="Data table" sheetId="5" r:id="rId4"/>
  </sheets>
  <definedNames>
    <definedName name="Fixed_Overhead">'Scenario manager'!$B$8</definedName>
    <definedName name="Marketing_Spend">'Scenario manager'!$B$7</definedName>
    <definedName name="Unit_Cost">'Scenario manager'!$B$6</definedName>
    <definedName name="Unit_Price">'Scenario manager'!$B$4</definedName>
    <definedName name="Units_Sold">'Scenario manager'!$B$5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5" l="1"/>
  <c r="B12" i="5" s="1"/>
  <c r="B9" i="4"/>
  <c r="B11" i="1"/>
  <c r="B10" i="1"/>
  <c r="D11" i="5" l="1"/>
  <c r="D4" i="5"/>
  <c r="B12" i="1"/>
  <c r="B13" i="1" s="1"/>
</calcChain>
</file>

<file path=xl/sharedStrings.xml><?xml version="1.0" encoding="utf-8"?>
<sst xmlns="http://schemas.openxmlformats.org/spreadsheetml/2006/main" count="56" uniqueCount="48">
  <si>
    <t>Scenario Manager</t>
  </si>
  <si>
    <t>Unit Price</t>
  </si>
  <si>
    <t>Units Sold</t>
  </si>
  <si>
    <t>Unit Cost</t>
  </si>
  <si>
    <t>Marketing Spend</t>
  </si>
  <si>
    <t>Fixed Overhead</t>
  </si>
  <si>
    <t>Live model</t>
  </si>
  <si>
    <t>Revenue</t>
  </si>
  <si>
    <t>Total cost</t>
  </si>
  <si>
    <t>Profit</t>
  </si>
  <si>
    <t>Margin</t>
  </si>
  <si>
    <t>worst</t>
  </si>
  <si>
    <t>base</t>
  </si>
  <si>
    <t>best</t>
  </si>
  <si>
    <t>Input</t>
  </si>
  <si>
    <t>Unit_Price</t>
  </si>
  <si>
    <t>Units_Sold</t>
  </si>
  <si>
    <t>Unit_Cost</t>
  </si>
  <si>
    <t>Marketing_Spend</t>
  </si>
  <si>
    <t>Fixed_Overhead</t>
  </si>
  <si>
    <t>$B$13</t>
  </si>
  <si>
    <t>base_case</t>
  </si>
  <si>
    <t>Created by Dhruv on 11-07-2026</t>
  </si>
  <si>
    <t>worst_case</t>
  </si>
  <si>
    <t>best_case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</si>
  <si>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</si>
  <si>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</si>
  <si>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</si>
  <si>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</si>
  <si>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</si>
  <si>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</si>
  <si>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</si>
  <si>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>Course Fee</t>
  </si>
  <si>
    <t>Number Students</t>
  </si>
  <si>
    <t>Variable Cost per student</t>
  </si>
  <si>
    <t>Fixed Cost</t>
  </si>
  <si>
    <t>Profit =students * (fee - var.cost) - Fixed</t>
  </si>
  <si>
    <t>Selling price per unit</t>
  </si>
  <si>
    <t>Units sold</t>
  </si>
  <si>
    <t>Variable cost per unit</t>
  </si>
  <si>
    <t>Fixed cost</t>
  </si>
  <si>
    <t>Profit =(Price-var.cost) x units - fixed</t>
  </si>
  <si>
    <t>price</t>
  </si>
  <si>
    <t>One variable data table</t>
  </si>
  <si>
    <t>Model</t>
  </si>
  <si>
    <t>One variable</t>
  </si>
  <si>
    <t>Price per unit</t>
  </si>
  <si>
    <t>Two variable data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</si>
</sst>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indexed="9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11"/>
      <color indexed="18"/>
      <name val="Aptos Narrow"/>
      <family val="2"/>
      <scheme val="minor"/>
    </font>
    <font>
      <sz val="10"/>
      <color indexed="9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0" xfId="0" applyFill="1"/>
    <xf numFmtId="0" fontId="1" fillId="3" borderId="0" xfId="0" applyFont="1" applyFill="1"/>
    <xf numFmtId="0" fontId="0" fillId="0" borderId="2" xfId="0" applyBorder="1"/>
    <xf numFmtId="0" fontId="2" fillId="4" borderId="3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0" fillId="0" borderId="4" xfId="0" applyBorder="1"/>
    <xf numFmtId="0" fontId="3" fillId="5" borderId="0" xfId="0" applyFont="1" applyFill="1" applyAlignment="1">
      <alignment horizontal="left"/>
    </xf>
    <xf numFmtId="0" fontId="4" fillId="5" borderId="4" xfId="0" applyFont="1" applyFill="1" applyBorder="1" applyAlignment="1">
      <alignment horizontal="left"/>
    </xf>
    <xf numFmtId="0" fontId="3" fillId="5" borderId="2" xfId="0" applyFont="1" applyFill="1" applyBorder="1" applyAlignment="1">
      <alignment horizontal="left"/>
    </xf>
    <xf numFmtId="0" fontId="5" fillId="4" borderId="1" xfId="0" applyFont="1" applyFill="1" applyBorder="1" applyAlignment="1">
      <alignment horizontal="right"/>
    </xf>
    <xf numFmtId="0" fontId="5" fillId="4" borderId="3" xfId="0" applyFont="1" applyFill="1" applyBorder="1" applyAlignment="1">
      <alignment horizontal="right"/>
    </xf>
    <xf numFmtId="0" fontId="0" fillId="6" borderId="0" xfId="0" applyFill="1"/>
    <xf numFmtId="0" fontId="6" fillId="0" borderId="0" xfId="0" applyFont="1" applyAlignment="1">
      <alignment vertical="top" wrapText="1"/>
    </xf>
    <xf numFmtId="0" fontId="0" fillId="7" borderId="0" xfId="0" applyFill="1"/>
    <xf numFmtId="0" fontId="1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8" borderId="0" xfId="0" applyFont="1" applyFill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20A52-CCC7-421A-B354-9A6B2E96CAEC}">
  <sheetPr>
    <outlinePr summaryBelow="0"/>
  </sheetPr>
  <dimension ref="B1:G15"/>
  <sheetViews>
    <sheetView showGridLines="0" workbookViewId="0"/>
  </sheetViews>
  <sheetFormatPr defaultRowHeight="14.4" outlineLevelRow="1" outlineLevelCol="1" x14ac:dyDescent="0.3"/>
  <cols>
    <col min="3" max="3" width="15.44140625" bestFit="1" customWidth="1"/>
    <col min="4" max="7" width="12.6640625" bestFit="1" customWidth="1" outlineLevel="1"/>
  </cols>
  <sheetData>
    <row r="1" spans="2:7" ht="15" thickBot="1" x14ac:dyDescent="0.35"/>
    <row r="2" spans="2:7" ht="15.6" x14ac:dyDescent="0.3">
      <c r="B2" s="5" t="s">
        <v>25</v>
      </c>
      <c r="C2" s="5"/>
      <c r="D2" s="10"/>
      <c r="E2" s="10"/>
      <c r="F2" s="10"/>
      <c r="G2" s="10"/>
    </row>
    <row r="3" spans="2:7" ht="15.6" collapsed="1" x14ac:dyDescent="0.3">
      <c r="B3" s="4"/>
      <c r="C3" s="4"/>
      <c r="D3" s="11" t="s">
        <v>27</v>
      </c>
      <c r="E3" s="11" t="s">
        <v>21</v>
      </c>
      <c r="F3" s="11" t="s">
        <v>23</v>
      </c>
      <c r="G3" s="11" t="s">
        <v>24</v>
      </c>
    </row>
    <row r="4" spans="2:7" ht="21.6" hidden="1" outlineLevel="1" x14ac:dyDescent="0.3">
      <c r="B4" s="7"/>
      <c r="C4" s="7"/>
      <c r="E4" s="13" t="s">
        <v>22</v>
      </c>
      <c r="F4" s="13" t="s">
        <v>22</v>
      </c>
      <c r="G4" s="13" t="s">
        <v>22</v>
      </c>
    </row>
    <row r="5" spans="2:7" x14ac:dyDescent="0.3">
      <c r="B5" s="8" t="s">
        <v>26</v>
      </c>
      <c r="C5" s="8"/>
      <c r="D5" s="6"/>
      <c r="E5" s="6"/>
      <c r="F5" s="6"/>
      <c r="G5" s="6"/>
    </row>
    <row r="6" spans="2:7" outlineLevel="1" x14ac:dyDescent="0.3">
      <c r="B6" s="7"/>
      <c r="C6" s="7" t="s">
        <v>15</v>
      </c>
      <c r="D6">
        <v>1300</v>
      </c>
      <c r="E6" s="12">
        <v>1200</v>
      </c>
      <c r="F6" s="12">
        <v>1100</v>
      </c>
      <c r="G6" s="12">
        <v>1300</v>
      </c>
    </row>
    <row r="7" spans="2:7" outlineLevel="1" x14ac:dyDescent="0.3">
      <c r="B7" s="7"/>
      <c r="C7" s="7" t="s">
        <v>16</v>
      </c>
      <c r="D7">
        <v>6500</v>
      </c>
      <c r="E7" s="12">
        <v>5000</v>
      </c>
      <c r="F7" s="12">
        <v>3500</v>
      </c>
      <c r="G7" s="12">
        <v>6500</v>
      </c>
    </row>
    <row r="8" spans="2:7" outlineLevel="1" x14ac:dyDescent="0.3">
      <c r="B8" s="7"/>
      <c r="C8" s="7" t="s">
        <v>17</v>
      </c>
      <c r="D8">
        <v>650</v>
      </c>
      <c r="E8" s="12">
        <v>700</v>
      </c>
      <c r="F8" s="12">
        <v>750</v>
      </c>
      <c r="G8" s="12">
        <v>650</v>
      </c>
    </row>
    <row r="9" spans="2:7" outlineLevel="1" x14ac:dyDescent="0.3">
      <c r="B9" s="7"/>
      <c r="C9" s="7" t="s">
        <v>18</v>
      </c>
      <c r="D9">
        <v>700000</v>
      </c>
      <c r="E9" s="12">
        <v>500000</v>
      </c>
      <c r="F9" s="12">
        <v>400000</v>
      </c>
      <c r="G9" s="12">
        <v>700000</v>
      </c>
    </row>
    <row r="10" spans="2:7" outlineLevel="1" x14ac:dyDescent="0.3">
      <c r="B10" s="7"/>
      <c r="C10" s="7" t="s">
        <v>19</v>
      </c>
      <c r="D10">
        <v>800000</v>
      </c>
      <c r="E10" s="12">
        <v>800000</v>
      </c>
      <c r="F10" s="12">
        <v>800000</v>
      </c>
      <c r="G10" s="12">
        <v>800000</v>
      </c>
    </row>
    <row r="11" spans="2:7" x14ac:dyDescent="0.3">
      <c r="B11" s="8" t="s">
        <v>28</v>
      </c>
      <c r="C11" s="8"/>
      <c r="D11" s="6"/>
      <c r="E11" s="6"/>
      <c r="F11" s="6"/>
      <c r="G11" s="6"/>
    </row>
    <row r="12" spans="2:7" ht="15" outlineLevel="1" thickBot="1" x14ac:dyDescent="0.35">
      <c r="B12" s="9"/>
      <c r="C12" s="9" t="s">
        <v>20</v>
      </c>
      <c r="D12" s="3">
        <v>0.32248520710059198</v>
      </c>
      <c r="E12" s="3">
        <v>0.2</v>
      </c>
      <c r="F12" s="3">
        <v>6.4935064935064896E-3</v>
      </c>
      <c r="G12" s="3">
        <v>0.32248520710059198</v>
      </c>
    </row>
    <row r="13" spans="2:7" x14ac:dyDescent="0.3">
      <c r="B13" t="s">
        <v>29</v>
      </c>
    </row>
    <row r="14" spans="2:7" x14ac:dyDescent="0.3">
      <c r="B14" t="s">
        <v>30</v>
      </c>
    </row>
    <row r="15" spans="2:7" x14ac:dyDescent="0.3">
      <c r="B15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B3C24-6D33-4DC1-871E-ABC85BCFC1D6}">
  <dimension ref="A2:G13"/>
  <sheetViews>
    <sheetView zoomScale="214" workbookViewId="0">
      <selection activeCell="D10" sqref="D10"/>
    </sheetView>
  </sheetViews>
  <sheetFormatPr defaultRowHeight="14.4" x14ac:dyDescent="0.3"/>
  <cols>
    <col min="1" max="1" width="14.6640625" customWidth="1"/>
    <col min="4" max="4" width="15.5546875" customWidth="1"/>
  </cols>
  <sheetData>
    <row r="2" spans="1:7" x14ac:dyDescent="0.3">
      <c r="A2" s="16" t="s">
        <v>0</v>
      </c>
      <c r="B2" s="16"/>
      <c r="C2" s="16"/>
    </row>
    <row r="3" spans="1:7" x14ac:dyDescent="0.3">
      <c r="A3" s="18" t="s">
        <v>6</v>
      </c>
      <c r="B3" s="18"/>
      <c r="D3" s="2" t="s">
        <v>14</v>
      </c>
      <c r="E3" s="2" t="s">
        <v>11</v>
      </c>
      <c r="F3" s="2" t="s">
        <v>12</v>
      </c>
      <c r="G3" s="2" t="s">
        <v>13</v>
      </c>
    </row>
    <row r="4" spans="1:7" x14ac:dyDescent="0.3">
      <c r="A4" s="1" t="s">
        <v>1</v>
      </c>
      <c r="B4">
        <v>1300</v>
      </c>
      <c r="D4" s="2" t="s">
        <v>1</v>
      </c>
      <c r="E4">
        <v>1100</v>
      </c>
      <c r="F4">
        <v>1200</v>
      </c>
      <c r="G4">
        <v>1300</v>
      </c>
    </row>
    <row r="5" spans="1:7" x14ac:dyDescent="0.3">
      <c r="A5" s="1" t="s">
        <v>2</v>
      </c>
      <c r="B5">
        <v>6500</v>
      </c>
      <c r="D5" s="2" t="s">
        <v>2</v>
      </c>
      <c r="E5">
        <v>3500</v>
      </c>
      <c r="F5">
        <v>5000</v>
      </c>
      <c r="G5">
        <v>6500</v>
      </c>
    </row>
    <row r="6" spans="1:7" x14ac:dyDescent="0.3">
      <c r="A6" s="1" t="s">
        <v>3</v>
      </c>
      <c r="B6">
        <v>650</v>
      </c>
      <c r="D6" s="2" t="s">
        <v>3</v>
      </c>
      <c r="E6">
        <v>750</v>
      </c>
      <c r="F6">
        <v>700</v>
      </c>
      <c r="G6">
        <v>650</v>
      </c>
    </row>
    <row r="7" spans="1:7" x14ac:dyDescent="0.3">
      <c r="A7" s="1" t="s">
        <v>4</v>
      </c>
      <c r="B7">
        <v>700000</v>
      </c>
      <c r="D7" s="2" t="s">
        <v>4</v>
      </c>
      <c r="E7">
        <v>400000</v>
      </c>
      <c r="F7">
        <v>500000</v>
      </c>
      <c r="G7">
        <v>700000</v>
      </c>
    </row>
    <row r="8" spans="1:7" x14ac:dyDescent="0.3">
      <c r="A8" s="1" t="s">
        <v>5</v>
      </c>
      <c r="B8">
        <v>800000</v>
      </c>
      <c r="D8" s="2" t="s">
        <v>5</v>
      </c>
      <c r="E8">
        <v>800000</v>
      </c>
      <c r="F8">
        <v>800000</v>
      </c>
      <c r="G8">
        <v>800000</v>
      </c>
    </row>
    <row r="10" spans="1:7" x14ac:dyDescent="0.3">
      <c r="A10" s="1" t="s">
        <v>7</v>
      </c>
      <c r="B10">
        <f>B4*B5</f>
        <v>8450000</v>
      </c>
    </row>
    <row r="11" spans="1:7" x14ac:dyDescent="0.3">
      <c r="A11" s="1" t="s">
        <v>8</v>
      </c>
      <c r="B11">
        <f>B5*B6+B7+B8</f>
        <v>5725000</v>
      </c>
    </row>
    <row r="12" spans="1:7" x14ac:dyDescent="0.3">
      <c r="A12" s="1" t="s">
        <v>9</v>
      </c>
      <c r="B12">
        <f>B10-B11</f>
        <v>2725000</v>
      </c>
    </row>
    <row r="13" spans="1:7" x14ac:dyDescent="0.3">
      <c r="A13" s="1" t="s">
        <v>10</v>
      </c>
      <c r="B13">
        <f>B12/B10</f>
        <v>0.3224852071005917</v>
      </c>
    </row>
  </sheetData>
  <scenarios current="2" show="2" sqref="B13">
    <scenario name="base_case" locked="1" count="5" user="Dhruv" comment="Created by Dhruv on 11-07-2026">
      <inputCells r="B4" val="1200"/>
      <inputCells r="B5" val="5000"/>
      <inputCells r="B6" val="700"/>
      <inputCells r="B7" val="500000"/>
      <inputCells r="B8" val="800000"/>
    </scenario>
    <scenario name="worst_case" locked="1" count="5" user="Dhruv" comment="Created by Dhruv on 11-07-2026">
      <inputCells r="B4" val="1100"/>
      <inputCells r="B5" val="3500"/>
      <inputCells r="B6" val="750"/>
      <inputCells r="B7" val="400000"/>
      <inputCells r="B8" val="800000"/>
    </scenario>
    <scenario name="best_case" locked="1" count="5" user="Dhruv" comment="Created by Dhruv on 11-07-2026_x000a_Modified by Dhruv on 11-07-2026">
      <inputCells r="B4" val="1300"/>
      <inputCells r="B5" val="6500"/>
      <inputCells r="B6" val="650"/>
      <inputCells r="B7" val="700000"/>
      <inputCells r="B8" val="800000"/>
    </scenario>
  </scenarios>
  <mergeCells count="2">
    <mergeCell ref="A2:C2"/>
    <mergeCell ref="A3:B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027CA-2B20-48A0-ACFD-0FDAEE4D5328}">
  <dimension ref="A5:B9"/>
  <sheetViews>
    <sheetView topLeftCell="A2" zoomScale="245" workbookViewId="0">
      <selection activeCell="B6" sqref="B6"/>
    </sheetView>
  </sheetViews>
  <sheetFormatPr defaultRowHeight="14.4" x14ac:dyDescent="0.3"/>
  <cols>
    <col min="1" max="1" width="33.21875" customWidth="1"/>
  </cols>
  <sheetData>
    <row r="5" spans="1:2" x14ac:dyDescent="0.3">
      <c r="A5" t="s">
        <v>32</v>
      </c>
      <c r="B5">
        <v>15000</v>
      </c>
    </row>
    <row r="6" spans="1:2" x14ac:dyDescent="0.3">
      <c r="A6" t="s">
        <v>33</v>
      </c>
      <c r="B6">
        <v>50</v>
      </c>
    </row>
    <row r="7" spans="1:2" x14ac:dyDescent="0.3">
      <c r="A7" t="s">
        <v>34</v>
      </c>
      <c r="B7">
        <v>4000</v>
      </c>
    </row>
    <row r="8" spans="1:2" x14ac:dyDescent="0.3">
      <c r="A8" t="s">
        <v>35</v>
      </c>
      <c r="B8">
        <v>40000</v>
      </c>
    </row>
    <row r="9" spans="1:2" x14ac:dyDescent="0.3">
      <c r="A9" t="s">
        <v>36</v>
      </c>
      <c r="B9">
        <f>B6 *(B5 - B7) -B8</f>
        <v>510000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35507-C10F-4094-9C12-342376F06CB3}">
  <dimension ref="A2:M23"/>
  <sheetViews>
    <sheetView tabSelected="1" zoomScale="144" workbookViewId="0">
      <selection activeCell="G5" sqref="G5"/>
    </sheetView>
  </sheetViews>
  <sheetFormatPr defaultRowHeight="14.4" x14ac:dyDescent="0.3"/>
  <cols>
    <col min="1" max="1" width="37.21875" customWidth="1"/>
    <col min="3" max="3" width="23" customWidth="1"/>
  </cols>
  <sheetData>
    <row r="2" spans="1:13" x14ac:dyDescent="0.3">
      <c r="A2" s="15" t="s">
        <v>44</v>
      </c>
      <c r="B2" s="15"/>
      <c r="D2" s="15" t="s">
        <v>45</v>
      </c>
      <c r="E2" s="15"/>
      <c r="F2" s="15"/>
      <c r="G2" s="15"/>
      <c r="H2" s="15"/>
      <c r="I2" s="15"/>
      <c r="J2" s="15"/>
    </row>
    <row r="3" spans="1:13" x14ac:dyDescent="0.3">
      <c r="A3" t="s">
        <v>37</v>
      </c>
      <c r="B3">
        <v>500</v>
      </c>
      <c r="E3">
        <v>1000</v>
      </c>
      <c r="F3">
        <v>1500</v>
      </c>
      <c r="G3">
        <v>2000</v>
      </c>
      <c r="H3">
        <v>2500</v>
      </c>
      <c r="I3">
        <v>3000</v>
      </c>
      <c r="J3">
        <v>3500</v>
      </c>
    </row>
    <row r="4" spans="1:13" x14ac:dyDescent="0.3">
      <c r="A4" t="s">
        <v>38</v>
      </c>
      <c r="B4">
        <v>1000</v>
      </c>
      <c r="D4">
        <f>B8</f>
        <v>120000</v>
      </c>
      <c r="E4">
        <f t="dataTable" ref="E4:J4" dt2D="0" dtr="1" r1="B4" ca="1"/>
        <v>120000</v>
      </c>
      <c r="F4">
        <v>220000</v>
      </c>
      <c r="G4">
        <v>320000</v>
      </c>
      <c r="H4">
        <v>420000</v>
      </c>
      <c r="I4">
        <v>520000</v>
      </c>
      <c r="J4">
        <v>620000</v>
      </c>
    </row>
    <row r="5" spans="1:13" x14ac:dyDescent="0.3">
      <c r="A5" t="s">
        <v>39</v>
      </c>
      <c r="B5">
        <v>300</v>
      </c>
    </row>
    <row r="6" spans="1:13" x14ac:dyDescent="0.3">
      <c r="A6" t="s">
        <v>40</v>
      </c>
      <c r="B6">
        <v>80000</v>
      </c>
    </row>
    <row r="8" spans="1:13" x14ac:dyDescent="0.3">
      <c r="A8" t="s">
        <v>41</v>
      </c>
      <c r="B8">
        <f>(B3-B5)*B4 - B6</f>
        <v>120000</v>
      </c>
      <c r="D8" s="17" t="s">
        <v>47</v>
      </c>
      <c r="E8" s="17"/>
      <c r="F8" s="17"/>
      <c r="G8" s="17"/>
      <c r="H8" s="17"/>
      <c r="I8" s="17"/>
      <c r="J8" s="17"/>
    </row>
    <row r="10" spans="1:13" x14ac:dyDescent="0.3">
      <c r="H10" s="16" t="s">
        <v>38</v>
      </c>
      <c r="I10" s="16"/>
      <c r="J10" s="16"/>
    </row>
    <row r="11" spans="1:13" x14ac:dyDescent="0.3">
      <c r="A11" s="15" t="s">
        <v>43</v>
      </c>
      <c r="B11" s="15"/>
      <c r="D11">
        <f>B8</f>
        <v>120000</v>
      </c>
      <c r="E11" s="14">
        <v>500</v>
      </c>
      <c r="F11" s="14">
        <v>1000</v>
      </c>
      <c r="G11" s="14">
        <v>1500</v>
      </c>
      <c r="H11" s="14">
        <v>2000</v>
      </c>
      <c r="I11" s="14">
        <v>2500</v>
      </c>
      <c r="J11" s="14">
        <v>3000</v>
      </c>
      <c r="K11" s="14">
        <v>3500</v>
      </c>
      <c r="L11" s="14">
        <v>4000</v>
      </c>
      <c r="M11" s="14">
        <v>4500</v>
      </c>
    </row>
    <row r="12" spans="1:13" x14ac:dyDescent="0.3">
      <c r="A12" t="s">
        <v>42</v>
      </c>
      <c r="B12">
        <f>B8</f>
        <v>120000</v>
      </c>
      <c r="D12" s="14">
        <v>300</v>
      </c>
      <c r="E12">
        <f t="dataTable" ref="E12:M23" dt2D="1" dtr="1" r1="B4" r2="B3" ca="1"/>
        <v>-80000</v>
      </c>
      <c r="F12">
        <v>-80000</v>
      </c>
      <c r="G12">
        <v>-80000</v>
      </c>
      <c r="H12">
        <v>-80000</v>
      </c>
      <c r="I12">
        <v>-80000</v>
      </c>
      <c r="J12">
        <v>-80000</v>
      </c>
      <c r="K12">
        <v>-80000</v>
      </c>
      <c r="L12">
        <v>-80000</v>
      </c>
      <c r="M12">
        <v>-80000</v>
      </c>
    </row>
    <row r="13" spans="1:13" x14ac:dyDescent="0.3">
      <c r="A13">
        <v>400</v>
      </c>
      <c r="B13">
        <f t="dataTable" ref="B13:B20" dt2D="0" dtr="0" r1="B3"/>
        <v>20000</v>
      </c>
      <c r="D13" s="14">
        <v>400</v>
      </c>
      <c r="E13">
        <v>-30000</v>
      </c>
      <c r="F13">
        <v>20000</v>
      </c>
      <c r="G13">
        <v>70000</v>
      </c>
      <c r="H13">
        <v>120000</v>
      </c>
      <c r="I13">
        <v>170000</v>
      </c>
      <c r="J13">
        <v>220000</v>
      </c>
      <c r="K13">
        <v>270000</v>
      </c>
      <c r="L13">
        <v>320000</v>
      </c>
      <c r="M13">
        <v>370000</v>
      </c>
    </row>
    <row r="14" spans="1:13" x14ac:dyDescent="0.3">
      <c r="A14">
        <v>450</v>
      </c>
      <c r="B14">
        <v>70000</v>
      </c>
      <c r="D14" s="14">
        <v>500</v>
      </c>
      <c r="E14">
        <v>20000</v>
      </c>
      <c r="F14">
        <v>120000</v>
      </c>
      <c r="G14">
        <v>220000</v>
      </c>
      <c r="H14">
        <v>320000</v>
      </c>
      <c r="I14">
        <v>420000</v>
      </c>
      <c r="J14">
        <v>520000</v>
      </c>
      <c r="K14">
        <v>620000</v>
      </c>
      <c r="L14">
        <v>720000</v>
      </c>
      <c r="M14">
        <v>820000</v>
      </c>
    </row>
    <row r="15" spans="1:13" x14ac:dyDescent="0.3">
      <c r="A15">
        <v>500</v>
      </c>
      <c r="B15">
        <v>120000</v>
      </c>
      <c r="C15" s="16" t="s">
        <v>46</v>
      </c>
      <c r="D15" s="14">
        <v>600</v>
      </c>
      <c r="E15">
        <v>70000</v>
      </c>
      <c r="F15">
        <v>220000</v>
      </c>
      <c r="G15">
        <v>370000</v>
      </c>
      <c r="H15">
        <v>520000</v>
      </c>
      <c r="I15">
        <v>670000</v>
      </c>
      <c r="J15">
        <v>820000</v>
      </c>
      <c r="K15">
        <v>970000</v>
      </c>
      <c r="L15">
        <v>1120000</v>
      </c>
      <c r="M15">
        <v>1270000</v>
      </c>
    </row>
    <row r="16" spans="1:13" x14ac:dyDescent="0.3">
      <c r="A16">
        <v>550</v>
      </c>
      <c r="B16">
        <v>170000</v>
      </c>
      <c r="C16" s="16"/>
      <c r="D16" s="14">
        <v>700</v>
      </c>
      <c r="E16">
        <v>120000</v>
      </c>
      <c r="F16">
        <v>320000</v>
      </c>
      <c r="G16">
        <v>520000</v>
      </c>
      <c r="H16">
        <v>720000</v>
      </c>
      <c r="I16">
        <v>920000</v>
      </c>
      <c r="J16">
        <v>1120000</v>
      </c>
      <c r="K16">
        <v>1320000</v>
      </c>
      <c r="L16">
        <v>1520000</v>
      </c>
      <c r="M16">
        <v>1720000</v>
      </c>
    </row>
    <row r="17" spans="1:13" x14ac:dyDescent="0.3">
      <c r="A17">
        <v>600</v>
      </c>
      <c r="B17">
        <v>220000</v>
      </c>
      <c r="C17" s="16"/>
      <c r="D17" s="14">
        <v>800</v>
      </c>
      <c r="E17">
        <v>170000</v>
      </c>
      <c r="F17">
        <v>420000</v>
      </c>
      <c r="G17">
        <v>670000</v>
      </c>
      <c r="H17">
        <v>920000</v>
      </c>
      <c r="I17">
        <v>1170000</v>
      </c>
      <c r="J17">
        <v>1420000</v>
      </c>
      <c r="K17">
        <v>1670000</v>
      </c>
      <c r="L17">
        <v>1920000</v>
      </c>
      <c r="M17">
        <v>2170000</v>
      </c>
    </row>
    <row r="18" spans="1:13" x14ac:dyDescent="0.3">
      <c r="A18">
        <v>650</v>
      </c>
      <c r="B18">
        <v>270000</v>
      </c>
      <c r="C18" s="16"/>
      <c r="D18" s="14">
        <v>900</v>
      </c>
      <c r="E18">
        <v>220000</v>
      </c>
      <c r="F18">
        <v>520000</v>
      </c>
      <c r="G18">
        <v>820000</v>
      </c>
      <c r="H18">
        <v>1120000</v>
      </c>
      <c r="I18">
        <v>1420000</v>
      </c>
      <c r="J18">
        <v>1720000</v>
      </c>
      <c r="K18">
        <v>2020000</v>
      </c>
      <c r="L18">
        <v>2320000</v>
      </c>
      <c r="M18">
        <v>2620000</v>
      </c>
    </row>
    <row r="19" spans="1:13" x14ac:dyDescent="0.3">
      <c r="A19">
        <v>700</v>
      </c>
      <c r="B19">
        <v>320000</v>
      </c>
      <c r="D19" s="14">
        <v>1000</v>
      </c>
      <c r="E19">
        <v>270000</v>
      </c>
      <c r="F19">
        <v>620000</v>
      </c>
      <c r="G19">
        <v>970000</v>
      </c>
      <c r="H19">
        <v>1320000</v>
      </c>
      <c r="I19">
        <v>1670000</v>
      </c>
      <c r="J19">
        <v>2020000</v>
      </c>
      <c r="K19">
        <v>2370000</v>
      </c>
      <c r="L19">
        <v>2720000</v>
      </c>
      <c r="M19">
        <v>3070000</v>
      </c>
    </row>
    <row r="20" spans="1:13" x14ac:dyDescent="0.3">
      <c r="A20">
        <v>750</v>
      </c>
      <c r="B20">
        <v>370000</v>
      </c>
      <c r="D20" s="14">
        <v>1100</v>
      </c>
      <c r="E20">
        <v>320000</v>
      </c>
      <c r="F20">
        <v>720000</v>
      </c>
      <c r="G20">
        <v>1120000</v>
      </c>
      <c r="H20">
        <v>1520000</v>
      </c>
      <c r="I20">
        <v>1920000</v>
      </c>
      <c r="J20">
        <v>2320000</v>
      </c>
      <c r="K20">
        <v>2720000</v>
      </c>
      <c r="L20">
        <v>3120000</v>
      </c>
      <c r="M20">
        <v>3520000</v>
      </c>
    </row>
    <row r="21" spans="1:13" x14ac:dyDescent="0.3">
      <c r="D21" s="14">
        <v>1200</v>
      </c>
      <c r="E21">
        <v>370000</v>
      </c>
      <c r="F21">
        <v>820000</v>
      </c>
      <c r="G21">
        <v>1270000</v>
      </c>
      <c r="H21">
        <v>1720000</v>
      </c>
      <c r="I21">
        <v>2170000</v>
      </c>
      <c r="J21">
        <v>2620000</v>
      </c>
      <c r="K21">
        <v>3070000</v>
      </c>
      <c r="L21">
        <v>3520000</v>
      </c>
      <c r="M21">
        <v>3970000</v>
      </c>
    </row>
    <row r="22" spans="1:13" x14ac:dyDescent="0.3">
      <c r="D22" s="14">
        <v>1300</v>
      </c>
      <c r="E22">
        <v>420000</v>
      </c>
      <c r="F22">
        <v>920000</v>
      </c>
      <c r="G22">
        <v>1420000</v>
      </c>
      <c r="H22">
        <v>1920000</v>
      </c>
      <c r="I22">
        <v>2420000</v>
      </c>
      <c r="J22">
        <v>2920000</v>
      </c>
      <c r="K22">
        <v>3420000</v>
      </c>
      <c r="L22">
        <v>3920000</v>
      </c>
      <c r="M22">
        <v>4420000</v>
      </c>
    </row>
    <row r="23" spans="1:13" x14ac:dyDescent="0.3">
      <c r="D23" s="14">
        <v>1400</v>
      </c>
      <c r="E23">
        <v>470000</v>
      </c>
      <c r="F23">
        <v>1020000</v>
      </c>
      <c r="G23">
        <v>1570000</v>
      </c>
      <c r="H23">
        <v>2120000</v>
      </c>
      <c r="I23">
        <v>2670000</v>
      </c>
      <c r="J23">
        <v>3220000</v>
      </c>
      <c r="K23">
        <v>3770000</v>
      </c>
      <c r="L23">
        <v>4320000</v>
      </c>
      <c r="M23">
        <v>4870000</v>
      </c>
    </row>
  </sheetData>
  <mergeCells count="6">
    <mergeCell ref="A11:B11"/>
    <mergeCell ref="A2:B2"/>
    <mergeCell ref="D2:J2"/>
    <mergeCell ref="H10:J10"/>
    <mergeCell ref="C15:C18"/>
    <mergeCell ref="D8:J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Scenario Summary</vt:lpstr>
      <vt:lpstr>Scenario manager</vt:lpstr>
      <vt:lpstr>Goal Seek</vt:lpstr>
      <vt:lpstr>Data table</vt:lpstr>
      <vt:lpstr>Fixed_Overhead</vt:lpstr>
      <vt:lpstr>Marketing_Spend</vt:lpstr>
      <vt:lpstr>Unit_Cost</vt:lpstr>
      <vt:lpstr>Unit_Price</vt:lpstr>
      <vt:lpstr>Units_Sold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</dc:creator>
  <cp:lastModifiedBy>Dhruv</cp:lastModifiedBy>
  <dcterms:created xsi:type="dcterms:W3CDTF">2026-07-11T14:05:28Z</dcterms:created>
  <dcterms:modified xsi:type="dcterms:W3CDTF">2026-07-11T15:18:32Z</dcterms:modified>
</cp:coreProperties>
</file>
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hruv\Downloads\BA-L\"/>
    </mc:Choice>
  </mc:AlternateContent>
  <xr:revisionPtr revIDLastSave="0" documentId="8_{0431E8A1-9062-4ABF-94B5-1FCD7C8F2D30}" xr6:coauthVersionLast="47" xr6:coauthVersionMax="47" xr10:uidLastSave="{00000000-0000-0000-0000-000000000000}"/>
  <bookViews>
    <workbookView xWindow="-108" yWindow="-108" windowWidth="23256" windowHeight="13176" xr2:uid="{DDEB65E0-6AB5-49C2-8F99-9FAD18FA2096}"/>
  </bookViews>
  <sheets>
    <sheet name="Sheet1" sheetId="1" r:id="rId1"/>
    <sheet name="Functio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3" i="1" l="1"/>
  <c r="Q23" i="1"/>
  <c r="R20" i="1"/>
  <c r="R21" i="1"/>
  <c r="R19" i="1"/>
  <c r="R17" i="1"/>
  <c r="R16" i="1"/>
  <c r="P19" i="1"/>
  <c r="P16" i="1"/>
  <c r="Q15" i="1"/>
  <c r="T2" i="1"/>
  <c r="S2" i="1"/>
  <c r="T3" i="1"/>
  <c r="T4" i="1"/>
  <c r="T5" i="1"/>
  <c r="T6" i="1"/>
  <c r="T7" i="1"/>
  <c r="T8" i="1"/>
  <c r="T9" i="1"/>
  <c r="T10" i="1"/>
  <c r="T11" i="1"/>
  <c r="T12" i="1"/>
  <c r="R3" i="1"/>
  <c r="R4" i="1"/>
  <c r="R5" i="1"/>
  <c r="R6" i="1"/>
  <c r="R7" i="1"/>
  <c r="R8" i="1"/>
  <c r="R9" i="1"/>
  <c r="R10" i="1"/>
  <c r="R11" i="1"/>
  <c r="R12" i="1"/>
  <c r="R2" i="1"/>
  <c r="Q3" i="1"/>
  <c r="Q4" i="1"/>
  <c r="Q5" i="1"/>
  <c r="Q6" i="1"/>
  <c r="Q7" i="1"/>
  <c r="Q8" i="1"/>
  <c r="Q9" i="1"/>
  <c r="Q10" i="1"/>
  <c r="Q11" i="1"/>
  <c r="Q2" i="1"/>
  <c r="O15" i="1"/>
  <c r="L15" i="1"/>
  <c r="P2" i="1"/>
  <c r="O2" i="1"/>
  <c r="P3" i="1"/>
  <c r="P4" i="1"/>
  <c r="P5" i="1"/>
  <c r="P6" i="1"/>
  <c r="P7" i="1"/>
  <c r="P8" i="1"/>
  <c r="P9" i="1"/>
  <c r="P10" i="1"/>
  <c r="P11" i="1"/>
  <c r="O3" i="1"/>
  <c r="O4" i="1"/>
  <c r="O5" i="1"/>
  <c r="O6" i="1"/>
  <c r="O7" i="1"/>
  <c r="O8" i="1"/>
  <c r="O9" i="1"/>
  <c r="O10" i="1"/>
  <c r="O11" i="1"/>
  <c r="N2" i="1"/>
  <c r="N3" i="1"/>
  <c r="N4" i="1"/>
  <c r="N5" i="1"/>
  <c r="N6" i="1"/>
  <c r="N7" i="1"/>
  <c r="N8" i="1"/>
  <c r="N9" i="1"/>
  <c r="N10" i="1"/>
  <c r="N11" i="1"/>
  <c r="G15" i="1"/>
  <c r="M3" i="1"/>
  <c r="M4" i="1"/>
  <c r="M5" i="1"/>
  <c r="M6" i="1"/>
  <c r="M7" i="1"/>
  <c r="M8" i="1"/>
  <c r="M9" i="1"/>
  <c r="M10" i="1"/>
  <c r="M11" i="1"/>
  <c r="M2" i="1"/>
  <c r="L3" i="1"/>
  <c r="L4" i="1"/>
  <c r="L5" i="1"/>
  <c r="L6" i="1"/>
  <c r="L7" i="1"/>
  <c r="L8" i="1"/>
  <c r="L9" i="1"/>
  <c r="L10" i="1"/>
  <c r="L11" i="1"/>
  <c r="L2" i="1"/>
  <c r="K3" i="1"/>
  <c r="K4" i="1"/>
  <c r="K5" i="1"/>
  <c r="K6" i="1"/>
  <c r="K7" i="1"/>
  <c r="K8" i="1"/>
  <c r="K9" i="1"/>
  <c r="K10" i="1"/>
  <c r="K11" i="1"/>
  <c r="K2" i="1"/>
  <c r="F16" i="1"/>
  <c r="F15" i="1"/>
  <c r="E15" i="1"/>
  <c r="J3" i="1"/>
  <c r="J4" i="1"/>
  <c r="J5" i="1"/>
  <c r="J6" i="1"/>
  <c r="J7" i="1"/>
  <c r="J8" i="1"/>
  <c r="J9" i="1"/>
  <c r="J10" i="1"/>
  <c r="J11" i="1"/>
  <c r="J2" i="1"/>
  <c r="D17" i="1"/>
  <c r="I2" i="1"/>
  <c r="I3" i="1"/>
  <c r="I4" i="1"/>
  <c r="I5" i="1"/>
  <c r="I6" i="1"/>
  <c r="I7" i="1"/>
  <c r="I8" i="1"/>
  <c r="I9" i="1"/>
  <c r="I10" i="1"/>
  <c r="I11" i="1"/>
  <c r="G4" i="1"/>
  <c r="H3" i="1"/>
  <c r="H4" i="1"/>
  <c r="H5" i="1"/>
  <c r="H6" i="1"/>
  <c r="H7" i="1"/>
  <c r="H8" i="1"/>
  <c r="H9" i="1"/>
  <c r="H10" i="1"/>
  <c r="H11" i="1"/>
  <c r="H2" i="1"/>
  <c r="G2" i="1"/>
  <c r="G3" i="1"/>
  <c r="G5" i="1"/>
  <c r="G6" i="1"/>
  <c r="G7" i="1"/>
  <c r="G8" i="1"/>
  <c r="G9" i="1"/>
  <c r="G10" i="1"/>
  <c r="G11" i="1"/>
</calcChain>
</file>

<file path=xl/sharedStrings.xml><?xml version="1.0" encoding="utf-8"?>
<sst xmlns="http://schemas.openxmlformats.org/spreadsheetml/2006/main" count="104" uniqueCount="103">
  <si>
    <t>Employee ID</t>
  </si>
  <si>
    <t>Full Name</t>
  </si>
  <si>
    <t>Email</t>
  </si>
  <si>
    <t>Department</t>
  </si>
  <si>
    <t>City</t>
  </si>
  <si>
    <t>Employee Code</t>
  </si>
  <si>
    <t>EMP-1001</t>
  </si>
  <si>
    <t>dhruv.sharma@gmail.com</t>
  </si>
  <si>
    <t>data science</t>
  </si>
  <si>
    <t>dehradun</t>
  </si>
  <si>
    <t>DS-001-IND</t>
  </si>
  <si>
    <t>EMP-1002</t>
  </si>
  <si>
    <t>PRIYA GUPTA</t>
  </si>
  <si>
    <t>priya.gupta@yahoo.com</t>
  </si>
  <si>
    <t>HUMAN RESOURCES</t>
  </si>
  <si>
    <t>delhi</t>
  </si>
  <si>
    <t>HR-002-IND</t>
  </si>
  <si>
    <t>EMP-1003</t>
  </si>
  <si>
    <t>Amit Kumar</t>
  </si>
  <si>
    <t>amit.kumar@outlook.com</t>
  </si>
  <si>
    <t>Finance</t>
  </si>
  <si>
    <t>mumbai</t>
  </si>
  <si>
    <t>FN-003-IND</t>
  </si>
  <si>
    <t>EMP-1004</t>
  </si>
  <si>
    <t>Rohan Verma</t>
  </si>
  <si>
    <t>rohan.verma@gmail.com</t>
  </si>
  <si>
    <t>Sales</t>
  </si>
  <si>
    <t>jaipur</t>
  </si>
  <si>
    <t>SL-004-IND</t>
  </si>
  <si>
    <t>EMP-1005</t>
  </si>
  <si>
    <t>neha singh</t>
  </si>
  <si>
    <t>neha.singh@gmail.com</t>
  </si>
  <si>
    <t>Marketing</t>
  </si>
  <si>
    <t>lucknow</t>
  </si>
  <si>
    <t>MK-005-IND</t>
  </si>
  <si>
    <t>EMP-1006</t>
  </si>
  <si>
    <t>Karan Mehta</t>
  </si>
  <si>
    <t>karan.mehta@company.com</t>
  </si>
  <si>
    <t>Information Technology</t>
  </si>
  <si>
    <t>pune</t>
  </si>
  <si>
    <t>IT-006-IND</t>
  </si>
  <si>
    <t>EMP-1007</t>
  </si>
  <si>
    <t>ANJALI SHARMA</t>
  </si>
  <si>
    <t>anjali.sharma@gmail.com</t>
  </si>
  <si>
    <t>OPERATIONS</t>
  </si>
  <si>
    <t>chandigarh</t>
  </si>
  <si>
    <t>OP-007-IND</t>
  </si>
  <si>
    <t>EMP-1008</t>
  </si>
  <si>
    <t>Vivek Jain</t>
  </si>
  <si>
    <t>vivek.jain@yahoo.com</t>
  </si>
  <si>
    <t>indore</t>
  </si>
  <si>
    <t>FN-008-IND</t>
  </si>
  <si>
    <t>EMP-1009</t>
  </si>
  <si>
    <t>pooja agarwal</t>
  </si>
  <si>
    <t>pooja.agarwal@outlook.com</t>
  </si>
  <si>
    <t>Human Resources</t>
  </si>
  <si>
    <t>gurgaon</t>
  </si>
  <si>
    <t>HR-009-IND</t>
  </si>
  <si>
    <t>EMP-1010</t>
  </si>
  <si>
    <t>Rahul Gupta</t>
  </si>
  <si>
    <t>rahul.gupta@gmail.com</t>
  </si>
  <si>
    <t>Data Science</t>
  </si>
  <si>
    <t>noida</t>
  </si>
  <si>
    <t>DS-010-IND</t>
  </si>
  <si>
    <t>amit sharma</t>
  </si>
  <si>
    <t>LEFT</t>
  </si>
  <si>
    <t>RIGHT</t>
  </si>
  <si>
    <t>MID</t>
  </si>
  <si>
    <t>LEN</t>
  </si>
  <si>
    <t>TRIM</t>
  </si>
  <si>
    <t>UPPER</t>
  </si>
  <si>
    <t>LOWER</t>
  </si>
  <si>
    <t>PROPER</t>
  </si>
  <si>
    <t>CONCAT</t>
  </si>
  <si>
    <t>TEXTJOIN</t>
  </si>
  <si>
    <t>TEXT</t>
  </si>
  <si>
    <t>FIND</t>
  </si>
  <si>
    <t>SEARCH</t>
  </si>
  <si>
    <t>REPLACE</t>
  </si>
  <si>
    <t>SUBSTITUTE</t>
  </si>
  <si>
    <t>REPT</t>
  </si>
  <si>
    <t>EXACT</t>
  </si>
  <si>
    <t>VALUE</t>
  </si>
  <si>
    <t>CODE</t>
  </si>
  <si>
    <t>Department Code</t>
  </si>
  <si>
    <t>demo text</t>
  </si>
  <si>
    <t>Country Code</t>
  </si>
  <si>
    <t>Emp Code</t>
  </si>
  <si>
    <t>Name Length</t>
  </si>
  <si>
    <t xml:space="preserve">          demo text            </t>
  </si>
  <si>
    <t>City Upper</t>
  </si>
  <si>
    <t>lower dept code</t>
  </si>
  <si>
    <t>Proper Name</t>
  </si>
  <si>
    <t>Employee Label</t>
  </si>
  <si>
    <t>hello</t>
  </si>
  <si>
    <t>hi</t>
  </si>
  <si>
    <t>hellohi</t>
  </si>
  <si>
    <t>Join Name, Department, City</t>
  </si>
  <si>
    <t>at position</t>
  </si>
  <si>
    <t>Find is case sensitive</t>
  </si>
  <si>
    <t>Dhruv</t>
  </si>
  <si>
    <t>DHRUV</t>
  </si>
  <si>
    <t>CHAR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</si>
</sst>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NumberFormat="1" applyAlignment="1">
      <alignment vertical="center" wrapText="1"/>
    </xf>
    <xf numFmtId="14" fontId="0" fillId="0" borderId="0" xfId="0" applyNumberFormat="1"/>
    <xf numFmtId="0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vivek.jain@yahoo.com" TargetMode="External"/><Relationship Id="rId3" Type="http://schemas.openxmlformats.org/officeDocument/2006/relationships/hyperlink" Target="mailto:amit.kumar@outlook.com" TargetMode="External"/><Relationship Id="rId7" Type="http://schemas.openxmlformats.org/officeDocument/2006/relationships/hyperlink" Target="mailto:anjali.sharma@gmail.com" TargetMode="External"/><Relationship Id="rId2" Type="http://schemas.openxmlformats.org/officeDocument/2006/relationships/hyperlink" Target="mailto:priya.gupta@yahoo.com" TargetMode="External"/><Relationship Id="rId1" Type="http://schemas.openxmlformats.org/officeDocument/2006/relationships/hyperlink" Target="mailto:dhruv.sharma@gmail.com" TargetMode="External"/><Relationship Id="rId6" Type="http://schemas.openxmlformats.org/officeDocument/2006/relationships/hyperlink" Target="mailto:karan.mehta@company.com" TargetMode="External"/><Relationship Id="rId5" Type="http://schemas.openxmlformats.org/officeDocument/2006/relationships/hyperlink" Target="mailto:neha.singh@gmail.com" TargetMode="External"/><Relationship Id="rId10" Type="http://schemas.openxmlformats.org/officeDocument/2006/relationships/hyperlink" Target="mailto:rahul.gupta@gmail.com" TargetMode="External"/><Relationship Id="rId4" Type="http://schemas.openxmlformats.org/officeDocument/2006/relationships/hyperlink" Target="mailto:rohan.verma@gmail.com" TargetMode="External"/><Relationship Id="rId9" Type="http://schemas.openxmlformats.org/officeDocument/2006/relationships/hyperlink" Target="mailto:pooja.agarwal@outloo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A0EFB-0F2A-444C-BE91-B61015D2A2BE}">
  <dimension ref="A1:T23"/>
  <sheetViews>
    <sheetView tabSelected="1" topLeftCell="P1" zoomScale="110" workbookViewId="0">
      <selection activeCell="Q2" sqref="Q2"/>
    </sheetView>
  </sheetViews>
  <sheetFormatPr defaultRowHeight="14.4" x14ac:dyDescent="0.3"/>
  <cols>
    <col min="1" max="6" width="29.77734375" customWidth="1"/>
    <col min="7" max="7" width="24.6640625" customWidth="1"/>
    <col min="8" max="8" width="19.6640625" customWidth="1"/>
    <col min="9" max="9" width="19.5546875" customWidth="1"/>
    <col min="10" max="10" width="19.33203125" customWidth="1"/>
    <col min="11" max="11" width="21.109375" customWidth="1"/>
    <col min="12" max="12" width="14.6640625" customWidth="1"/>
    <col min="13" max="13" width="16.6640625" customWidth="1"/>
    <col min="14" max="14" width="24.5546875" customWidth="1"/>
    <col min="15" max="15" width="32.77734375" customWidth="1"/>
    <col min="16" max="16" width="33.77734375" customWidth="1"/>
    <col min="17" max="17" width="20.6640625" customWidth="1"/>
    <col min="18" max="18" width="23.5546875" customWidth="1"/>
    <col min="19" max="19" width="20.21875" customWidth="1"/>
    <col min="20" max="20" width="28.44140625" customWidth="1"/>
  </cols>
  <sheetData>
    <row r="1" spans="1:20" ht="15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84</v>
      </c>
      <c r="H1" s="1" t="s">
        <v>86</v>
      </c>
      <c r="I1" s="1" t="s">
        <v>87</v>
      </c>
      <c r="J1" s="1" t="s">
        <v>88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97</v>
      </c>
      <c r="Q1" s="1" t="s">
        <v>98</v>
      </c>
    </row>
    <row r="2" spans="1:20" ht="15.6" customHeight="1" x14ac:dyDescent="0.3">
      <c r="A2" s="2" t="s">
        <v>6</v>
      </c>
      <c r="B2" s="2" t="s">
        <v>64</v>
      </c>
      <c r="C2" s="3" t="s">
        <v>7</v>
      </c>
      <c r="D2" s="2" t="s">
        <v>8</v>
      </c>
      <c r="E2" s="2" t="s">
        <v>9</v>
      </c>
      <c r="F2" s="2" t="s">
        <v>10</v>
      </c>
      <c r="G2" t="str">
        <f>LEFT(F2,2)</f>
        <v>DS</v>
      </c>
      <c r="H2" t="str">
        <f>RIGHT(F2,3)</f>
        <v>IND</v>
      </c>
      <c r="I2" s="2" t="str">
        <f>MID(F2,4,3)</f>
        <v>001</v>
      </c>
      <c r="J2">
        <f>LEN(B2)</f>
        <v>11</v>
      </c>
      <c r="K2" t="str">
        <f>UPPER(E2)</f>
        <v>DEHRADUN</v>
      </c>
      <c r="L2" t="str">
        <f>LOWER(G2)</f>
        <v>ds</v>
      </c>
      <c r="M2" t="str">
        <f>PROPER(B2)</f>
        <v>Amit Sharma</v>
      </c>
      <c r="N2" t="str">
        <f>_xlfn.CONCAT(A2,"-",M2)</f>
        <v>EMP-1001-Amit Sharma</v>
      </c>
      <c r="O2" t="str">
        <f>_xlfn.TEXTJOIN("|",TRUE,M2,G2,K2)</f>
        <v>Amit Sharma|DS|DEHRADUN</v>
      </c>
      <c r="P2" t="str">
        <f>_xlfn.CONCAT(M2,"|",G2,"|",K2)</f>
        <v>Amit Sharma|DS|DEHRADUN</v>
      </c>
      <c r="Q2">
        <f>FIND("gmail",C2)</f>
        <v>14</v>
      </c>
      <c r="R2">
        <f>SEARCH("GMAIL",C2,6)</f>
        <v>14</v>
      </c>
      <c r="S2" t="str">
        <f>REPLACE(C3,13,5,"gmail")</f>
        <v>priya.gupta@gmail.com</v>
      </c>
      <c r="T2" t="str">
        <f>SUBSTITUTE(C2,"gmail","company")</f>
        <v>dhruv.sharma@company.com</v>
      </c>
    </row>
    <row r="3" spans="1:20" ht="15.6" customHeight="1" x14ac:dyDescent="0.3">
      <c r="A3" s="2" t="s">
        <v>11</v>
      </c>
      <c r="B3" s="2" t="s">
        <v>12</v>
      </c>
      <c r="C3" s="3" t="s">
        <v>13</v>
      </c>
      <c r="D3" s="2" t="s">
        <v>14</v>
      </c>
      <c r="E3" s="2" t="s">
        <v>15</v>
      </c>
      <c r="F3" s="2" t="s">
        <v>16</v>
      </c>
      <c r="G3" t="str">
        <f t="shared" ref="G3:G11" si="0">LEFT(F3,2)</f>
        <v>HR</v>
      </c>
      <c r="H3" t="str">
        <f t="shared" ref="H3:H11" si="1">RIGHT(F3,3)</f>
        <v>IND</v>
      </c>
      <c r="I3" s="2" t="str">
        <f t="shared" ref="I3:I11" si="2">MID(F3,4,3)</f>
        <v>002</v>
      </c>
      <c r="J3">
        <f t="shared" ref="J3:J11" si="3">LEN(B3)</f>
        <v>11</v>
      </c>
      <c r="K3" t="str">
        <f t="shared" ref="K3:K11" si="4">UPPER(E3)</f>
        <v>DELHI</v>
      </c>
      <c r="L3" t="str">
        <f t="shared" ref="L3:L11" si="5">LOWER(G3)</f>
        <v>hr</v>
      </c>
      <c r="M3" t="str">
        <f t="shared" ref="M3:M11" si="6">PROPER(B3)</f>
        <v>Priya Gupta</v>
      </c>
      <c r="N3" t="str">
        <f t="shared" ref="N3:N11" si="7">_xlfn.CONCAT(A3,"-",M3)</f>
        <v>EMP-1002-Priya Gupta</v>
      </c>
      <c r="O3" t="str">
        <f t="shared" ref="O3:O11" si="8">_xlfn.TEXTJOIN("|",TRUE,M3,G3,K3)</f>
        <v>Priya Gupta|HR|DELHI</v>
      </c>
      <c r="P3" t="str">
        <f t="shared" ref="P3:P11" si="9">_xlfn.CONCAT(M3,"|",G3,"|",K3)</f>
        <v>Priya Gupta|HR|DELHI</v>
      </c>
      <c r="Q3" t="e">
        <f t="shared" ref="Q3:Q11" si="10">FIND("gmail",C3)</f>
        <v>#VALUE!</v>
      </c>
      <c r="R3" t="e">
        <f t="shared" ref="R3:R12" si="11">SEARCH("GMAIL",C3,6)</f>
        <v>#VALUE!</v>
      </c>
      <c r="T3" t="str">
        <f t="shared" ref="T3:T12" si="12">SUBSTITUTE(C3,"gmail","company")</f>
        <v>priya.gupta@yahoo.com</v>
      </c>
    </row>
    <row r="4" spans="1:20" ht="15.6" customHeight="1" x14ac:dyDescent="0.3">
      <c r="A4" s="2" t="s">
        <v>17</v>
      </c>
      <c r="B4" s="2" t="s">
        <v>18</v>
      </c>
      <c r="C4" s="3" t="s">
        <v>19</v>
      </c>
      <c r="D4" s="2" t="s">
        <v>20</v>
      </c>
      <c r="E4" s="2" t="s">
        <v>21</v>
      </c>
      <c r="F4" s="2" t="s">
        <v>22</v>
      </c>
      <c r="G4" t="str">
        <f>LEFT(F4,2)</f>
        <v>FN</v>
      </c>
      <c r="H4" t="str">
        <f t="shared" si="1"/>
        <v>IND</v>
      </c>
      <c r="I4" s="2" t="str">
        <f t="shared" si="2"/>
        <v>003</v>
      </c>
      <c r="J4">
        <f t="shared" si="3"/>
        <v>10</v>
      </c>
      <c r="K4" t="str">
        <f t="shared" si="4"/>
        <v>MUMBAI</v>
      </c>
      <c r="L4" t="str">
        <f t="shared" si="5"/>
        <v>fn</v>
      </c>
      <c r="M4" t="str">
        <f t="shared" si="6"/>
        <v>Amit Kumar</v>
      </c>
      <c r="N4" t="str">
        <f t="shared" si="7"/>
        <v>EMP-1003-Amit Kumar</v>
      </c>
      <c r="O4" t="str">
        <f t="shared" si="8"/>
        <v>Amit Kumar|FN|MUMBAI</v>
      </c>
      <c r="P4" t="str">
        <f t="shared" si="9"/>
        <v>Amit Kumar|FN|MUMBAI</v>
      </c>
      <c r="Q4" t="e">
        <f t="shared" si="10"/>
        <v>#VALUE!</v>
      </c>
      <c r="R4" t="e">
        <f t="shared" si="11"/>
        <v>#VALUE!</v>
      </c>
      <c r="T4" t="str">
        <f t="shared" si="12"/>
        <v>amit.kumar@outlook.com</v>
      </c>
    </row>
    <row r="5" spans="1:20" ht="15.6" customHeight="1" x14ac:dyDescent="0.3">
      <c r="A5" s="2" t="s">
        <v>23</v>
      </c>
      <c r="B5" s="2" t="s">
        <v>24</v>
      </c>
      <c r="C5" s="3" t="s">
        <v>25</v>
      </c>
      <c r="D5" s="2" t="s">
        <v>26</v>
      </c>
      <c r="E5" s="2" t="s">
        <v>27</v>
      </c>
      <c r="F5" s="2" t="s">
        <v>28</v>
      </c>
      <c r="G5" t="str">
        <f t="shared" si="0"/>
        <v>SL</v>
      </c>
      <c r="H5" t="str">
        <f t="shared" si="1"/>
        <v>IND</v>
      </c>
      <c r="I5" s="2" t="str">
        <f t="shared" si="2"/>
        <v>004</v>
      </c>
      <c r="J5">
        <f t="shared" si="3"/>
        <v>11</v>
      </c>
      <c r="K5" t="str">
        <f t="shared" si="4"/>
        <v>JAIPUR</v>
      </c>
      <c r="L5" t="str">
        <f t="shared" si="5"/>
        <v>sl</v>
      </c>
      <c r="M5" t="str">
        <f t="shared" si="6"/>
        <v>Rohan Verma</v>
      </c>
      <c r="N5" t="str">
        <f t="shared" si="7"/>
        <v>EMP-1004-Rohan Verma</v>
      </c>
      <c r="O5" t="str">
        <f t="shared" si="8"/>
        <v>Rohan Verma|SL|JAIPUR</v>
      </c>
      <c r="P5" t="str">
        <f t="shared" si="9"/>
        <v>Rohan Verma|SL|JAIPUR</v>
      </c>
      <c r="Q5">
        <f t="shared" si="10"/>
        <v>13</v>
      </c>
      <c r="R5">
        <f t="shared" si="11"/>
        <v>13</v>
      </c>
      <c r="T5" t="str">
        <f t="shared" si="12"/>
        <v>rohan.verma@company.com</v>
      </c>
    </row>
    <row r="6" spans="1:20" ht="15.6" customHeight="1" x14ac:dyDescent="0.3">
      <c r="A6" s="2" t="s">
        <v>29</v>
      </c>
      <c r="B6" s="2" t="s">
        <v>30</v>
      </c>
      <c r="C6" s="3" t="s">
        <v>31</v>
      </c>
      <c r="D6" s="2" t="s">
        <v>32</v>
      </c>
      <c r="E6" s="2" t="s">
        <v>33</v>
      </c>
      <c r="F6" s="2" t="s">
        <v>34</v>
      </c>
      <c r="G6" t="str">
        <f t="shared" si="0"/>
        <v>MK</v>
      </c>
      <c r="H6" t="str">
        <f t="shared" si="1"/>
        <v>IND</v>
      </c>
      <c r="I6" s="2" t="str">
        <f t="shared" si="2"/>
        <v>005</v>
      </c>
      <c r="J6">
        <f t="shared" si="3"/>
        <v>10</v>
      </c>
      <c r="K6" t="str">
        <f t="shared" si="4"/>
        <v>LUCKNOW</v>
      </c>
      <c r="L6" t="str">
        <f t="shared" si="5"/>
        <v>mk</v>
      </c>
      <c r="M6" t="str">
        <f t="shared" si="6"/>
        <v>Neha Singh</v>
      </c>
      <c r="N6" t="str">
        <f t="shared" si="7"/>
        <v>EMP-1005-Neha Singh</v>
      </c>
      <c r="O6" t="str">
        <f t="shared" si="8"/>
        <v>Neha Singh|MK|LUCKNOW</v>
      </c>
      <c r="P6" t="str">
        <f t="shared" si="9"/>
        <v>Neha Singh|MK|LUCKNOW</v>
      </c>
      <c r="Q6">
        <f t="shared" si="10"/>
        <v>12</v>
      </c>
      <c r="R6">
        <f t="shared" si="11"/>
        <v>12</v>
      </c>
      <c r="T6" t="str">
        <f t="shared" si="12"/>
        <v>neha.singh@company.com</v>
      </c>
    </row>
    <row r="7" spans="1:20" ht="15.6" customHeight="1" x14ac:dyDescent="0.3">
      <c r="A7" s="2" t="s">
        <v>35</v>
      </c>
      <c r="B7" s="2" t="s">
        <v>36</v>
      </c>
      <c r="C7" s="3" t="s">
        <v>37</v>
      </c>
      <c r="D7" s="2" t="s">
        <v>38</v>
      </c>
      <c r="E7" s="2" t="s">
        <v>39</v>
      </c>
      <c r="F7" s="2" t="s">
        <v>40</v>
      </c>
      <c r="G7" t="str">
        <f t="shared" si="0"/>
        <v>IT</v>
      </c>
      <c r="H7" t="str">
        <f t="shared" si="1"/>
        <v>IND</v>
      </c>
      <c r="I7" s="2" t="str">
        <f t="shared" si="2"/>
        <v>006</v>
      </c>
      <c r="J7">
        <f t="shared" si="3"/>
        <v>11</v>
      </c>
      <c r="K7" t="str">
        <f t="shared" si="4"/>
        <v>PUNE</v>
      </c>
      <c r="L7" t="str">
        <f t="shared" si="5"/>
        <v>it</v>
      </c>
      <c r="M7" t="str">
        <f t="shared" si="6"/>
        <v>Karan Mehta</v>
      </c>
      <c r="N7" t="str">
        <f t="shared" si="7"/>
        <v>EMP-1006-Karan Mehta</v>
      </c>
      <c r="O7" t="str">
        <f t="shared" si="8"/>
        <v>Karan Mehta|IT|PUNE</v>
      </c>
      <c r="P7" t="str">
        <f t="shared" si="9"/>
        <v>Karan Mehta|IT|PUNE</v>
      </c>
      <c r="Q7" t="e">
        <f t="shared" si="10"/>
        <v>#VALUE!</v>
      </c>
      <c r="R7" t="e">
        <f t="shared" si="11"/>
        <v>#VALUE!</v>
      </c>
      <c r="T7" t="str">
        <f t="shared" si="12"/>
        <v>karan.mehta@company.com</v>
      </c>
    </row>
    <row r="8" spans="1:20" ht="15.6" customHeight="1" x14ac:dyDescent="0.3">
      <c r="A8" s="2" t="s">
        <v>41</v>
      </c>
      <c r="B8" s="2" t="s">
        <v>42</v>
      </c>
      <c r="C8" s="3" t="s">
        <v>43</v>
      </c>
      <c r="D8" s="2" t="s">
        <v>44</v>
      </c>
      <c r="E8" s="2" t="s">
        <v>45</v>
      </c>
      <c r="F8" s="2" t="s">
        <v>46</v>
      </c>
      <c r="G8" t="str">
        <f t="shared" si="0"/>
        <v>OP</v>
      </c>
      <c r="H8" t="str">
        <f t="shared" si="1"/>
        <v>IND</v>
      </c>
      <c r="I8" s="2" t="str">
        <f t="shared" si="2"/>
        <v>007</v>
      </c>
      <c r="J8">
        <f t="shared" si="3"/>
        <v>13</v>
      </c>
      <c r="K8" t="str">
        <f t="shared" si="4"/>
        <v>CHANDIGARH</v>
      </c>
      <c r="L8" t="str">
        <f t="shared" si="5"/>
        <v>op</v>
      </c>
      <c r="M8" t="str">
        <f t="shared" si="6"/>
        <v>Anjali Sharma</v>
      </c>
      <c r="N8" t="str">
        <f t="shared" si="7"/>
        <v>EMP-1007-Anjali Sharma</v>
      </c>
      <c r="O8" t="str">
        <f t="shared" si="8"/>
        <v>Anjali Sharma|OP|CHANDIGARH</v>
      </c>
      <c r="P8" t="str">
        <f t="shared" si="9"/>
        <v>Anjali Sharma|OP|CHANDIGARH</v>
      </c>
      <c r="Q8">
        <f t="shared" si="10"/>
        <v>15</v>
      </c>
      <c r="R8">
        <f t="shared" si="11"/>
        <v>15</v>
      </c>
      <c r="T8" t="str">
        <f t="shared" si="12"/>
        <v>anjali.sharma@company.com</v>
      </c>
    </row>
    <row r="9" spans="1:20" ht="15.6" customHeight="1" x14ac:dyDescent="0.3">
      <c r="A9" s="2" t="s">
        <v>47</v>
      </c>
      <c r="B9" s="2" t="s">
        <v>48</v>
      </c>
      <c r="C9" s="3" t="s">
        <v>49</v>
      </c>
      <c r="D9" s="2" t="s">
        <v>20</v>
      </c>
      <c r="E9" s="2" t="s">
        <v>50</v>
      </c>
      <c r="F9" s="2" t="s">
        <v>51</v>
      </c>
      <c r="G9" t="str">
        <f t="shared" si="0"/>
        <v>FN</v>
      </c>
      <c r="H9" t="str">
        <f t="shared" si="1"/>
        <v>IND</v>
      </c>
      <c r="I9" s="2" t="str">
        <f t="shared" si="2"/>
        <v>008</v>
      </c>
      <c r="J9">
        <f t="shared" si="3"/>
        <v>10</v>
      </c>
      <c r="K9" t="str">
        <f t="shared" si="4"/>
        <v>INDORE</v>
      </c>
      <c r="L9" t="str">
        <f t="shared" si="5"/>
        <v>fn</v>
      </c>
      <c r="M9" t="str">
        <f t="shared" si="6"/>
        <v>Vivek Jain</v>
      </c>
      <c r="N9" t="str">
        <f t="shared" si="7"/>
        <v>EMP-1008-Vivek Jain</v>
      </c>
      <c r="O9" t="str">
        <f t="shared" si="8"/>
        <v>Vivek Jain|FN|INDORE</v>
      </c>
      <c r="P9" t="str">
        <f t="shared" si="9"/>
        <v>Vivek Jain|FN|INDORE</v>
      </c>
      <c r="Q9" t="e">
        <f t="shared" si="10"/>
        <v>#VALUE!</v>
      </c>
      <c r="R9" t="e">
        <f t="shared" si="11"/>
        <v>#VALUE!</v>
      </c>
      <c r="T9" t="str">
        <f t="shared" si="12"/>
        <v>vivek.jain@yahoo.com</v>
      </c>
    </row>
    <row r="10" spans="1:20" ht="15.6" customHeight="1" x14ac:dyDescent="0.3">
      <c r="A10" s="2" t="s">
        <v>52</v>
      </c>
      <c r="B10" s="2" t="s">
        <v>53</v>
      </c>
      <c r="C10" s="3" t="s">
        <v>54</v>
      </c>
      <c r="D10" s="2" t="s">
        <v>55</v>
      </c>
      <c r="E10" s="2" t="s">
        <v>56</v>
      </c>
      <c r="F10" s="2" t="s">
        <v>57</v>
      </c>
      <c r="G10" t="str">
        <f t="shared" si="0"/>
        <v>HR</v>
      </c>
      <c r="H10" t="str">
        <f t="shared" si="1"/>
        <v>IND</v>
      </c>
      <c r="I10" s="2" t="str">
        <f t="shared" si="2"/>
        <v>009</v>
      </c>
      <c r="J10">
        <f t="shared" si="3"/>
        <v>13</v>
      </c>
      <c r="K10" t="str">
        <f t="shared" si="4"/>
        <v>GURGAON</v>
      </c>
      <c r="L10" t="str">
        <f t="shared" si="5"/>
        <v>hr</v>
      </c>
      <c r="M10" t="str">
        <f t="shared" si="6"/>
        <v>Pooja Agarwal</v>
      </c>
      <c r="N10" t="str">
        <f t="shared" si="7"/>
        <v>EMP-1009-Pooja Agarwal</v>
      </c>
      <c r="O10" t="str">
        <f t="shared" si="8"/>
        <v>Pooja Agarwal|HR|GURGAON</v>
      </c>
      <c r="P10" t="str">
        <f t="shared" si="9"/>
        <v>Pooja Agarwal|HR|GURGAON</v>
      </c>
      <c r="Q10" t="e">
        <f t="shared" si="10"/>
        <v>#VALUE!</v>
      </c>
      <c r="R10" t="e">
        <f t="shared" si="11"/>
        <v>#VALUE!</v>
      </c>
      <c r="T10" t="str">
        <f t="shared" si="12"/>
        <v>pooja.agarwal@outlook.com</v>
      </c>
    </row>
    <row r="11" spans="1:20" ht="15.6" customHeight="1" x14ac:dyDescent="0.3">
      <c r="A11" s="2" t="s">
        <v>58</v>
      </c>
      <c r="B11" s="2" t="s">
        <v>59</v>
      </c>
      <c r="C11" s="3" t="s">
        <v>60</v>
      </c>
      <c r="D11" s="2" t="s">
        <v>61</v>
      </c>
      <c r="E11" s="2" t="s">
        <v>62</v>
      </c>
      <c r="F11" s="2" t="s">
        <v>63</v>
      </c>
      <c r="G11" t="str">
        <f t="shared" si="0"/>
        <v>DS</v>
      </c>
      <c r="H11" t="str">
        <f t="shared" si="1"/>
        <v>IND</v>
      </c>
      <c r="I11" s="2" t="str">
        <f t="shared" si="2"/>
        <v>010</v>
      </c>
      <c r="J11">
        <f t="shared" si="3"/>
        <v>11</v>
      </c>
      <c r="K11" t="str">
        <f t="shared" si="4"/>
        <v>NOIDA</v>
      </c>
      <c r="L11" t="str">
        <f t="shared" si="5"/>
        <v>ds</v>
      </c>
      <c r="M11" t="str">
        <f t="shared" si="6"/>
        <v>Rahul Gupta</v>
      </c>
      <c r="N11" t="str">
        <f t="shared" si="7"/>
        <v>EMP-1010-Rahul Gupta</v>
      </c>
      <c r="O11" t="str">
        <f t="shared" si="8"/>
        <v>Rahul Gupta|DS|NOIDA</v>
      </c>
      <c r="P11" t="str">
        <f t="shared" si="9"/>
        <v>Rahul Gupta|DS|NOIDA</v>
      </c>
      <c r="Q11">
        <f t="shared" si="10"/>
        <v>13</v>
      </c>
      <c r="R11">
        <f t="shared" si="11"/>
        <v>13</v>
      </c>
      <c r="T11" t="str">
        <f t="shared" si="12"/>
        <v>rahul.gupta@company.com</v>
      </c>
    </row>
    <row r="12" spans="1:20" x14ac:dyDescent="0.3">
      <c r="Q12" t="s">
        <v>99</v>
      </c>
      <c r="R12" t="e">
        <f t="shared" si="11"/>
        <v>#VALUE!</v>
      </c>
      <c r="T12" t="str">
        <f t="shared" si="12"/>
        <v/>
      </c>
    </row>
    <row r="14" spans="1:20" x14ac:dyDescent="0.3">
      <c r="D14" s="2" t="s">
        <v>85</v>
      </c>
    </row>
    <row r="15" spans="1:20" x14ac:dyDescent="0.3">
      <c r="D15" t="s">
        <v>89</v>
      </c>
      <c r="E15" t="str">
        <f>TRIM(D15)</f>
        <v>demo text</v>
      </c>
      <c r="F15" t="str">
        <f>TRIM(E15)</f>
        <v>demo text</v>
      </c>
      <c r="G15" t="str">
        <f>PROPER(F15)</f>
        <v>Demo Text</v>
      </c>
      <c r="L15" t="str">
        <f>TEXT(12.123498,"##.###")</f>
        <v>12.123</v>
      </c>
      <c r="N15" s="4">
        <v>44573</v>
      </c>
      <c r="O15" t="str">
        <f>TEXT(N15,"mmmm/dd/yyy")</f>
        <v>January/12/2022</v>
      </c>
      <c r="Q15" t="str">
        <f>REPT("hello ", 3)</f>
        <v xml:space="preserve">hello hello hello </v>
      </c>
    </row>
    <row r="16" spans="1:20" x14ac:dyDescent="0.3">
      <c r="F16">
        <f>LEN(F15)</f>
        <v>9</v>
      </c>
      <c r="P16" t="b">
        <f>EXACT("Dhruv","Dhruv")</f>
        <v>1</v>
      </c>
      <c r="R16" s="5" t="str">
        <f>TEXT(100,"###.##")</f>
        <v>100.</v>
      </c>
    </row>
    <row r="17" spans="4:18" x14ac:dyDescent="0.3">
      <c r="D17">
        <f>LEN(D15)</f>
        <v>31</v>
      </c>
      <c r="L17" t="s">
        <v>94</v>
      </c>
      <c r="M17" t="s">
        <v>95</v>
      </c>
      <c r="P17" t="s">
        <v>100</v>
      </c>
      <c r="R17">
        <f>VALUE(R16)</f>
        <v>100</v>
      </c>
    </row>
    <row r="18" spans="4:18" x14ac:dyDescent="0.3">
      <c r="L18" t="s">
        <v>96</v>
      </c>
      <c r="P18" t="s">
        <v>101</v>
      </c>
    </row>
    <row r="19" spans="4:18" x14ac:dyDescent="0.3">
      <c r="P19" t="b">
        <f>EXACT(P17,P18)</f>
        <v>0</v>
      </c>
      <c r="R19">
        <f>CODE("D")</f>
        <v>68</v>
      </c>
    </row>
    <row r="20" spans="4:18" x14ac:dyDescent="0.3">
      <c r="R20">
        <f>CODE("hello")</f>
        <v>104</v>
      </c>
    </row>
    <row r="21" spans="4:18" x14ac:dyDescent="0.3">
      <c r="R21">
        <f>CODE("h")</f>
        <v>104</v>
      </c>
    </row>
    <row r="23" spans="4:18" x14ac:dyDescent="0.3">
      <c r="Q23">
        <f>CODE("|")</f>
        <v>124</v>
      </c>
      <c r="R23" t="str">
        <f>CHAR(65)</f>
        <v>A</v>
      </c>
    </row>
  </sheetData>
  <hyperlinks>
    <hyperlink ref="C2" r:id="rId1" display="mailto:dhruv.sharma@gmail.com" xr:uid="{C02E5271-C9EB-4C06-8045-854A456841F8}"/>
    <hyperlink ref="C3" r:id="rId2" display="mailto:priya.gupta@yahoo.com" xr:uid="{B5ECC800-FC6C-4A91-9D6F-6FB6112B3744}"/>
    <hyperlink ref="C4" r:id="rId3" display="mailto:amit.kumar@outlook.com" xr:uid="{41036DEE-E31B-4ED0-8F1B-3570F24CC4B4}"/>
    <hyperlink ref="C5" r:id="rId4" display="mailto:rohan.verma@gmail.com" xr:uid="{1782A61A-A3F4-4A2E-84A0-70700C071A91}"/>
    <hyperlink ref="C6" r:id="rId5" display="mailto:neha.singh@gmail.com" xr:uid="{BD1BEC0E-6FE7-48D4-9BC1-19FEC13B08AE}"/>
    <hyperlink ref="C7" r:id="rId6" display="mailto:karan.mehta@company.com" xr:uid="{A359CC42-549E-4DF6-A1A1-5737F8A891F0}"/>
    <hyperlink ref="C8" r:id="rId7" display="mailto:anjali.sharma@gmail.com" xr:uid="{72D50C22-BB49-436A-A203-115108A0C9B2}"/>
    <hyperlink ref="C9" r:id="rId8" display="mailto:vivek.jain@yahoo.com" xr:uid="{30446B2B-F4DA-4348-8AA5-6B9FBFD4D5BE}"/>
    <hyperlink ref="C10" r:id="rId9" display="mailto:pooja.agarwal@outlook.com" xr:uid="{5DCBB4AB-093C-4E88-9E07-DDD633CC0722}"/>
    <hyperlink ref="C11" r:id="rId10" display="mailto:rahul.gupta@gmail.com" xr:uid="{B6117114-6446-497A-9CF9-677DCE1D5AE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B88E6-D000-4740-A5F4-05DDD0CE1651}">
  <dimension ref="A1:A20"/>
  <sheetViews>
    <sheetView zoomScale="134" workbookViewId="0">
      <selection activeCell="A20" sqref="A20"/>
    </sheetView>
  </sheetViews>
  <sheetFormatPr defaultRowHeight="14.4" x14ac:dyDescent="0.3"/>
  <sheetData>
    <row r="1" spans="1:1" x14ac:dyDescent="0.3">
      <c r="A1" t="s">
        <v>65</v>
      </c>
    </row>
    <row r="2" spans="1:1" x14ac:dyDescent="0.3">
      <c r="A2" t="s">
        <v>66</v>
      </c>
    </row>
    <row r="3" spans="1:1" x14ac:dyDescent="0.3">
      <c r="A3" t="s">
        <v>67</v>
      </c>
    </row>
    <row r="4" spans="1:1" x14ac:dyDescent="0.3">
      <c r="A4" t="s">
        <v>68</v>
      </c>
    </row>
    <row r="5" spans="1:1" x14ac:dyDescent="0.3">
      <c r="A5" t="s">
        <v>69</v>
      </c>
    </row>
    <row r="6" spans="1:1" x14ac:dyDescent="0.3">
      <c r="A6" t="s">
        <v>70</v>
      </c>
    </row>
    <row r="7" spans="1:1" x14ac:dyDescent="0.3">
      <c r="A7" t="s">
        <v>71</v>
      </c>
    </row>
    <row r="8" spans="1:1" x14ac:dyDescent="0.3">
      <c r="A8" t="s">
        <v>72</v>
      </c>
    </row>
    <row r="9" spans="1:1" x14ac:dyDescent="0.3">
      <c r="A9" t="s">
        <v>73</v>
      </c>
    </row>
    <row r="10" spans="1:1" x14ac:dyDescent="0.3">
      <c r="A10" t="s">
        <v>74</v>
      </c>
    </row>
    <row r="11" spans="1:1" x14ac:dyDescent="0.3">
      <c r="A11" t="s">
        <v>75</v>
      </c>
    </row>
    <row r="12" spans="1:1" x14ac:dyDescent="0.3">
      <c r="A12" t="s">
        <v>76</v>
      </c>
    </row>
    <row r="13" spans="1:1" x14ac:dyDescent="0.3">
      <c r="A13" t="s">
        <v>77</v>
      </c>
    </row>
    <row r="14" spans="1:1" x14ac:dyDescent="0.3">
      <c r="A14" t="s">
        <v>78</v>
      </c>
    </row>
    <row r="15" spans="1:1" x14ac:dyDescent="0.3">
      <c r="A15" t="s">
        <v>79</v>
      </c>
    </row>
    <row r="16" spans="1:1" x14ac:dyDescent="0.3">
      <c r="A16" t="s">
        <v>80</v>
      </c>
    </row>
    <row r="17" spans="1:1" x14ac:dyDescent="0.3">
      <c r="A17" t="s">
        <v>81</v>
      </c>
    </row>
    <row r="18" spans="1:1" x14ac:dyDescent="0.3">
      <c r="A18" t="s">
        <v>82</v>
      </c>
    </row>
    <row r="19" spans="1:1" x14ac:dyDescent="0.3">
      <c r="A19" t="s">
        <v>83</v>
      </c>
    </row>
    <row r="20" spans="1:1" x14ac:dyDescent="0.3">
      <c r="A20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Functions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</dc:creator>
  <cp:lastModifiedBy>Dhruv</cp:lastModifiedBy>
  <dcterms:created xsi:type="dcterms:W3CDTF">2026-06-21T14:08:00Z</dcterms:created>
  <dcterms:modified xsi:type="dcterms:W3CDTF">2026-06-21T15:14:42Z</dcterms:modified>
</cp:coreProperties>
</file>
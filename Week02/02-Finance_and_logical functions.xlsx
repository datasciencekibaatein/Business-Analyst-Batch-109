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wnloads\BA-L\Week02\"/>
    </mc:Choice>
  </mc:AlternateContent>
  <xr:revisionPtr revIDLastSave="0" documentId="8_{3CDF31D1-357D-447B-896F-0E94B310427D}" xr6:coauthVersionLast="47" xr6:coauthVersionMax="47" xr10:uidLastSave="{00000000-0000-0000-0000-000000000000}"/>
  <bookViews>
    <workbookView xWindow="-108" yWindow="-108" windowWidth="23256" windowHeight="12456" activeTab="1" xr2:uid="{E25BBD6F-6A55-41A2-8CA6-AC41BF09CE88}"/>
  </bookViews>
  <sheets>
    <sheet name="Finance fucntions" sheetId="1" r:id="rId1"/>
    <sheet name="Logical Fun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 a="1"/>
  <c r="D3" i="2" s="1"/>
  <c r="E10" i="2"/>
  <c r="H11" i="2" a="1"/>
  <c r="H11" i="2"/>
  <c r="D5" i="2"/>
  <c r="D6" i="2"/>
  <c r="D7" i="2"/>
  <c r="D4" i="2"/>
  <c r="D2" i="2"/>
  <c r="F71" i="1"/>
  <c r="F10" i="1"/>
  <c r="F60" i="1"/>
  <c r="E51" i="1"/>
  <c r="E46" i="1"/>
  <c r="E47" i="1"/>
  <c r="E34" i="1"/>
  <c r="F29" i="1"/>
  <c r="F19" i="1"/>
  <c r="I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<sst xmlns="http://schemas.openxmlformats.org/spreadsheetml/2006/main" count="75" uniqueCount="55">
  <si>
    <t>PMT</t>
  </si>
  <si>
    <t>IPMT</t>
  </si>
  <si>
    <t>PPMT</t>
  </si>
  <si>
    <t>EDATE</t>
  </si>
  <si>
    <t>FV</t>
  </si>
  <si>
    <t>PV</t>
  </si>
  <si>
    <t>RATE</t>
  </si>
  <si>
    <t>NPER</t>
  </si>
  <si>
    <t>The PMT function calculates the fixed payment amount for a loan or investment</t>
  </si>
  <si>
    <t>Constant Rate</t>
  </si>
  <si>
    <t>Fixed number of payment periods</t>
  </si>
  <si>
    <t>Equal payments each period</t>
  </si>
  <si>
    <t>Loan Amount</t>
  </si>
  <si>
    <t>Annual Interest</t>
  </si>
  <si>
    <t>Loan Duration</t>
  </si>
  <si>
    <t>5 years</t>
  </si>
  <si>
    <t>Monthly Payment</t>
  </si>
  <si>
    <t>IPMT function calculates the interest portion of a payment for a specified period of a loan or investment</t>
  </si>
  <si>
    <t xml:space="preserve">Duration </t>
  </si>
  <si>
    <t>5Years</t>
  </si>
  <si>
    <t>Find the interest paid in 1st month</t>
  </si>
  <si>
    <t>The PPMT  function calculates the principal portion of a payment for a specified period of a load or investment</t>
  </si>
  <si>
    <t>Annual interest</t>
  </si>
  <si>
    <t>Loan duration</t>
  </si>
  <si>
    <t>5years</t>
  </si>
  <si>
    <t>Find principal paid in month n period</t>
  </si>
  <si>
    <t>The EDATE function returns a date that is a specified number of months before or after a given date</t>
  </si>
  <si>
    <t>The FV(Future value) function calculates the future value of an investment on:</t>
  </si>
  <si>
    <t>A constant interest rate</t>
  </si>
  <si>
    <t>Regular periodic payments</t>
  </si>
  <si>
    <t>A fixed number of payments periods</t>
  </si>
  <si>
    <t>Monthly Investment</t>
  </si>
  <si>
    <t>Annual Interest rate</t>
  </si>
  <si>
    <t>10 Years</t>
  </si>
  <si>
    <t>Initial Amount</t>
  </si>
  <si>
    <t>The PV(Present Value) function calculates the current value of future sum of money or series of future payments, based on constant interest rate.</t>
  </si>
  <si>
    <t>The Rate function calculates the interest rate per period for a load or investment</t>
  </si>
  <si>
    <t xml:space="preserve">Loan Amount </t>
  </si>
  <si>
    <t>Monthly EMI</t>
  </si>
  <si>
    <t>5 Years</t>
  </si>
  <si>
    <t>The NPER function calcualtes the number of payment periods required to repay a loan or reach an investment goal based on:</t>
  </si>
  <si>
    <t>Fixed periodic payments</t>
  </si>
  <si>
    <t>Present and/or future value</t>
  </si>
  <si>
    <t>if</t>
  </si>
  <si>
    <t>ifs</t>
  </si>
  <si>
    <t>and</t>
  </si>
  <si>
    <t>or</t>
  </si>
  <si>
    <t>iferror</t>
  </si>
  <si>
    <t>ifna</t>
  </si>
  <si>
    <t>switch</t>
  </si>
  <si>
    <t>OR</t>
  </si>
  <si>
    <t>cond1</t>
  </si>
  <si>
    <t>cond2</t>
  </si>
  <si>
    <t>O/p</t>
  </si>
  <si>
    <t>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</si>
</sst>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5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8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D5BA-78EB-45A3-840C-F9E713BB2541}">
  <dimension ref="A1:M71"/>
  <sheetViews>
    <sheetView zoomScale="103" workbookViewId="0">
      <selection activeCell="B68" sqref="B68"/>
    </sheetView>
  </sheetViews>
  <sheetFormatPr defaultRowHeight="14.4" x14ac:dyDescent="0.3"/>
  <cols>
    <col min="5" max="5" width="28.88671875" customWidth="1"/>
    <col min="6" max="6" width="11.21875" bestFit="1" customWidth="1"/>
    <col min="9" max="9" width="11.109375" bestFit="1" customWidth="1"/>
  </cols>
  <sheetData>
    <row r="1" spans="1:13" x14ac:dyDescent="0.3">
      <c r="A1" t="s">
        <v>0</v>
      </c>
      <c r="D1" t="s">
        <v>0</v>
      </c>
      <c r="E1" s="1" t="s">
        <v>8</v>
      </c>
      <c r="F1" s="1"/>
      <c r="G1" s="1"/>
      <c r="H1" s="1"/>
      <c r="I1" s="1"/>
      <c r="J1" s="1"/>
      <c r="K1" s="1"/>
      <c r="L1" s="1"/>
      <c r="M1" s="1"/>
    </row>
    <row r="2" spans="1:13" x14ac:dyDescent="0.3">
      <c r="A2" t="s">
        <v>1</v>
      </c>
      <c r="F2" s="1" t="s">
        <v>9</v>
      </c>
      <c r="G2" s="1"/>
      <c r="H2" s="1"/>
      <c r="I2" s="1"/>
      <c r="J2" s="1"/>
    </row>
    <row r="3" spans="1:13" x14ac:dyDescent="0.3">
      <c r="A3" t="s">
        <v>2</v>
      </c>
      <c r="F3" t="s">
        <v>10</v>
      </c>
    </row>
    <row r="4" spans="1:13" x14ac:dyDescent="0.3">
      <c r="A4" t="s">
        <v>3</v>
      </c>
      <c r="F4" t="s">
        <v>11</v>
      </c>
    </row>
    <row r="5" spans="1:13" x14ac:dyDescent="0.3">
      <c r="A5" t="s">
        <v>4</v>
      </c>
    </row>
    <row r="6" spans="1:13" x14ac:dyDescent="0.3">
      <c r="A6" t="s">
        <v>5</v>
      </c>
    </row>
    <row r="7" spans="1:13" x14ac:dyDescent="0.3">
      <c r="A7" t="s">
        <v>6</v>
      </c>
      <c r="E7" t="s">
        <v>12</v>
      </c>
      <c r="F7">
        <v>500000</v>
      </c>
    </row>
    <row r="8" spans="1:13" x14ac:dyDescent="0.3">
      <c r="A8" t="s">
        <v>7</v>
      </c>
      <c r="E8" t="s">
        <v>13</v>
      </c>
      <c r="F8" s="2">
        <v>0.12</v>
      </c>
    </row>
    <row r="9" spans="1:13" x14ac:dyDescent="0.3">
      <c r="E9" t="s">
        <v>14</v>
      </c>
      <c r="F9" t="s">
        <v>15</v>
      </c>
    </row>
    <row r="10" spans="1:13" x14ac:dyDescent="0.3">
      <c r="E10" t="s">
        <v>16</v>
      </c>
      <c r="F10" s="3">
        <f>-PMT(12%/12,5*12,500000)</f>
        <v>11122.223842450885</v>
      </c>
    </row>
    <row r="13" spans="1:13" x14ac:dyDescent="0.3">
      <c r="D13" t="s">
        <v>1</v>
      </c>
      <c r="E13" t="s">
        <v>17</v>
      </c>
    </row>
    <row r="16" spans="1:13" x14ac:dyDescent="0.3">
      <c r="E16" t="s">
        <v>12</v>
      </c>
      <c r="F16">
        <v>500000</v>
      </c>
    </row>
    <row r="17" spans="4:9" x14ac:dyDescent="0.3">
      <c r="E17" t="s">
        <v>13</v>
      </c>
      <c r="F17" s="2">
        <v>0.12</v>
      </c>
    </row>
    <row r="18" spans="4:9" x14ac:dyDescent="0.3">
      <c r="E18" t="s">
        <v>18</v>
      </c>
      <c r="F18" t="s">
        <v>19</v>
      </c>
    </row>
    <row r="19" spans="4:9" x14ac:dyDescent="0.3">
      <c r="E19" t="s">
        <v>20</v>
      </c>
      <c r="F19" s="3">
        <f>-IPMT(12%/12,34,5*12,500000)</f>
        <v>2620.3522923516161</v>
      </c>
    </row>
    <row r="23" spans="4:9" x14ac:dyDescent="0.3">
      <c r="D23" t="s">
        <v>2</v>
      </c>
      <c r="E23" t="s">
        <v>21</v>
      </c>
    </row>
    <row r="26" spans="4:9" x14ac:dyDescent="0.3">
      <c r="E26" t="s">
        <v>12</v>
      </c>
      <c r="F26">
        <v>500000</v>
      </c>
    </row>
    <row r="27" spans="4:9" x14ac:dyDescent="0.3">
      <c r="E27" t="s">
        <v>22</v>
      </c>
      <c r="F27" s="2">
        <v>0.12</v>
      </c>
      <c r="I27" s="3">
        <f>F29+F19</f>
        <v>11122.223842450885</v>
      </c>
    </row>
    <row r="28" spans="4:9" x14ac:dyDescent="0.3">
      <c r="E28" t="s">
        <v>23</v>
      </c>
      <c r="F28" t="s">
        <v>24</v>
      </c>
    </row>
    <row r="29" spans="4:9" x14ac:dyDescent="0.3">
      <c r="E29" t="s">
        <v>25</v>
      </c>
      <c r="F29" s="3">
        <f>-PPMT(12%/12,34,5*12,500000)</f>
        <v>8501.8715500992694</v>
      </c>
    </row>
    <row r="32" spans="4:9" x14ac:dyDescent="0.3">
      <c r="D32" t="s">
        <v>3</v>
      </c>
      <c r="E32" t="s">
        <v>26</v>
      </c>
    </row>
    <row r="34" spans="4:6" x14ac:dyDescent="0.3">
      <c r="E34" s="4">
        <f>EDATE("15-Feb-2026",-6)</f>
        <v>45884</v>
      </c>
    </row>
    <row r="36" spans="4:6" x14ac:dyDescent="0.3">
      <c r="D36" t="s">
        <v>4</v>
      </c>
      <c r="E36" t="s">
        <v>27</v>
      </c>
    </row>
    <row r="37" spans="4:6" x14ac:dyDescent="0.3">
      <c r="E37" t="s">
        <v>28</v>
      </c>
    </row>
    <row r="38" spans="4:6" x14ac:dyDescent="0.3">
      <c r="E38" t="s">
        <v>29</v>
      </c>
    </row>
    <row r="39" spans="4:6" x14ac:dyDescent="0.3">
      <c r="E39" t="s">
        <v>30</v>
      </c>
    </row>
    <row r="41" spans="4:6" x14ac:dyDescent="0.3">
      <c r="E41" t="s">
        <v>34</v>
      </c>
      <c r="F41">
        <v>250000</v>
      </c>
    </row>
    <row r="42" spans="4:6" x14ac:dyDescent="0.3">
      <c r="E42" t="s">
        <v>31</v>
      </c>
      <c r="F42">
        <v>5000</v>
      </c>
    </row>
    <row r="43" spans="4:6" x14ac:dyDescent="0.3">
      <c r="E43" t="s">
        <v>32</v>
      </c>
      <c r="F43" s="2">
        <v>0.08</v>
      </c>
    </row>
    <row r="44" spans="4:6" x14ac:dyDescent="0.3">
      <c r="E44" t="s">
        <v>18</v>
      </c>
      <c r="F44" t="s">
        <v>33</v>
      </c>
    </row>
    <row r="46" spans="4:6" x14ac:dyDescent="0.3">
      <c r="E46" s="3">
        <f>FV(8%/12,10*12,-5000)</f>
        <v>914730.17590853572</v>
      </c>
    </row>
    <row r="47" spans="4:6" x14ac:dyDescent="0.3">
      <c r="E47" s="3">
        <f>FV(8%/12,10*12,-5000,250000)</f>
        <v>359820.11727235711</v>
      </c>
    </row>
    <row r="49" spans="4:6" x14ac:dyDescent="0.3">
      <c r="D49" t="s">
        <v>5</v>
      </c>
      <c r="E49" t="s">
        <v>35</v>
      </c>
    </row>
    <row r="51" spans="4:6" x14ac:dyDescent="0.3">
      <c r="E51" s="3">
        <f>PV(8%/12,10*12,-5000)</f>
        <v>412107.40446690557</v>
      </c>
    </row>
    <row r="54" spans="4:6" x14ac:dyDescent="0.3">
      <c r="D54" t="s">
        <v>6</v>
      </c>
      <c r="E54" t="s">
        <v>36</v>
      </c>
    </row>
    <row r="56" spans="4:6" x14ac:dyDescent="0.3">
      <c r="E56" t="s">
        <v>37</v>
      </c>
      <c r="F56">
        <v>500000</v>
      </c>
    </row>
    <row r="57" spans="4:6" x14ac:dyDescent="0.3">
      <c r="E57" t="s">
        <v>38</v>
      </c>
      <c r="F57">
        <v>11122.22</v>
      </c>
    </row>
    <row r="58" spans="4:6" x14ac:dyDescent="0.3">
      <c r="E58" t="s">
        <v>14</v>
      </c>
      <c r="F58" t="s">
        <v>39</v>
      </c>
    </row>
    <row r="60" spans="4:6" x14ac:dyDescent="0.3">
      <c r="F60" s="2">
        <f>RATE(5*12,-11122.22,500000)</f>
        <v>9.9999873269945166E-3</v>
      </c>
    </row>
    <row r="62" spans="4:6" x14ac:dyDescent="0.3">
      <c r="D62" t="s">
        <v>7</v>
      </c>
      <c r="E62" t="s">
        <v>40</v>
      </c>
    </row>
    <row r="63" spans="4:6" x14ac:dyDescent="0.3">
      <c r="E63" t="s">
        <v>28</v>
      </c>
    </row>
    <row r="64" spans="4:6" x14ac:dyDescent="0.3">
      <c r="E64" t="s">
        <v>41</v>
      </c>
    </row>
    <row r="65" spans="5:6" x14ac:dyDescent="0.3">
      <c r="E65" t="s">
        <v>42</v>
      </c>
    </row>
    <row r="67" spans="5:6" x14ac:dyDescent="0.3">
      <c r="E67" t="s">
        <v>12</v>
      </c>
      <c r="F67">
        <v>500000</v>
      </c>
    </row>
    <row r="68" spans="5:6" x14ac:dyDescent="0.3">
      <c r="E68" t="s">
        <v>38</v>
      </c>
      <c r="F68">
        <v>11122.22</v>
      </c>
    </row>
    <row r="69" spans="5:6" x14ac:dyDescent="0.3">
      <c r="E69" t="s">
        <v>32</v>
      </c>
      <c r="F69" s="2">
        <v>0.12</v>
      </c>
    </row>
    <row r="71" spans="5:6" x14ac:dyDescent="0.3">
      <c r="F71">
        <f>NPER(F69/12,-F68,F67)</f>
        <v>60.000028355687604</v>
      </c>
    </row>
  </sheetData>
  <mergeCells count="2">
    <mergeCell ref="E1:M1"/>
    <mergeCell ref="F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27E5-C301-4B9E-B4D4-6F32FF549555}">
  <dimension ref="A1:O11"/>
  <sheetViews>
    <sheetView tabSelected="1" zoomScale="179" workbookViewId="0">
      <selection activeCell="F5" sqref="F5"/>
    </sheetView>
  </sheetViews>
  <sheetFormatPr defaultRowHeight="14.4" x14ac:dyDescent="0.3"/>
  <cols>
    <col min="5" max="5" width="16.6640625" customWidth="1"/>
  </cols>
  <sheetData>
    <row r="1" spans="1:15" x14ac:dyDescent="0.3">
      <c r="A1" t="s">
        <v>43</v>
      </c>
      <c r="D1">
        <v>17</v>
      </c>
      <c r="E1">
        <v>34</v>
      </c>
      <c r="I1" s="1" t="s">
        <v>50</v>
      </c>
      <c r="J1" s="1"/>
      <c r="K1" s="1"/>
      <c r="M1" s="1" t="s">
        <v>54</v>
      </c>
      <c r="N1" s="1"/>
      <c r="O1" s="1"/>
    </row>
    <row r="2" spans="1:15" x14ac:dyDescent="0.3">
      <c r="A2" t="s">
        <v>44</v>
      </c>
      <c r="D2" t="str">
        <f>IF(E1&gt;=18,"Can vote","Can't vote")</f>
        <v>Can vote</v>
      </c>
      <c r="I2" s="5" t="s">
        <v>51</v>
      </c>
      <c r="J2" s="5" t="s">
        <v>52</v>
      </c>
      <c r="K2" s="5" t="s">
        <v>53</v>
      </c>
      <c r="M2" s="5" t="s">
        <v>51</v>
      </c>
      <c r="N2" s="5" t="s">
        <v>52</v>
      </c>
      <c r="O2" s="5" t="s">
        <v>53</v>
      </c>
    </row>
    <row r="3" spans="1:15" x14ac:dyDescent="0.3">
      <c r="A3" t="s">
        <v>45</v>
      </c>
      <c r="D3" t="str" cm="1">
        <f t="array" ref="D3">_xlfn.IFNA(_xlfn.IFS(E1&gt;=90,"A Grade",E1&gt;=80,"B Grade",E1&gt;=70,"C Grade"),"not valid number")</f>
        <v>not valid number</v>
      </c>
      <c r="I3" t="b">
        <v>1</v>
      </c>
      <c r="J3" t="b">
        <v>1</v>
      </c>
      <c r="K3" t="b">
        <v>1</v>
      </c>
      <c r="M3" t="b">
        <v>1</v>
      </c>
      <c r="N3" t="b">
        <v>1</v>
      </c>
      <c r="O3" t="b">
        <v>1</v>
      </c>
    </row>
    <row r="4" spans="1:15" x14ac:dyDescent="0.3">
      <c r="A4" t="s">
        <v>46</v>
      </c>
      <c r="D4" t="b">
        <f>AND(F4&lt;5,G4&gt;50000)</f>
        <v>0</v>
      </c>
      <c r="F4">
        <v>7</v>
      </c>
      <c r="G4">
        <v>20000</v>
      </c>
      <c r="I4" t="b">
        <v>1</v>
      </c>
      <c r="J4" t="b">
        <v>0</v>
      </c>
      <c r="K4" t="b">
        <v>1</v>
      </c>
      <c r="M4" t="b">
        <v>1</v>
      </c>
      <c r="N4" t="b">
        <v>0</v>
      </c>
      <c r="O4" t="b">
        <v>0</v>
      </c>
    </row>
    <row r="5" spans="1:15" x14ac:dyDescent="0.3">
      <c r="A5" t="s">
        <v>47</v>
      </c>
      <c r="D5" t="str">
        <f>IF(AND(F4&lt;5,G4&lt;25000),"Beginner","Senior")</f>
        <v>Senior</v>
      </c>
      <c r="I5" t="b">
        <v>0</v>
      </c>
      <c r="J5" t="b">
        <v>1</v>
      </c>
      <c r="K5" t="b">
        <v>1</v>
      </c>
      <c r="M5" t="b">
        <v>0</v>
      </c>
      <c r="N5" t="b">
        <v>1</v>
      </c>
      <c r="O5" t="b">
        <v>0</v>
      </c>
    </row>
    <row r="6" spans="1:15" x14ac:dyDescent="0.3">
      <c r="A6" t="s">
        <v>48</v>
      </c>
      <c r="D6" t="str">
        <f>IF(OR(F4&lt;5,G4&lt;25000),"Beginner","Senior")</f>
        <v>Beginner</v>
      </c>
      <c r="I6" t="b">
        <v>0</v>
      </c>
      <c r="J6" t="b">
        <v>0</v>
      </c>
      <c r="K6" t="b">
        <v>0</v>
      </c>
      <c r="M6" t="b">
        <v>0</v>
      </c>
      <c r="N6" t="b">
        <v>0</v>
      </c>
      <c r="O6" t="b">
        <v>0</v>
      </c>
    </row>
    <row r="7" spans="1:15" x14ac:dyDescent="0.3">
      <c r="A7" t="s">
        <v>49</v>
      </c>
      <c r="D7" t="b">
        <f>OR(F4&lt;5,G4&lt;25000)</f>
        <v>1</v>
      </c>
    </row>
    <row r="9" spans="1:15" x14ac:dyDescent="0.3">
      <c r="H9">
        <v>3</v>
      </c>
    </row>
    <row r="10" spans="1:15" x14ac:dyDescent="0.3">
      <c r="E10" t="str">
        <f>IFERROR(45/0,"can't divide by zero")</f>
        <v>can't divide by zero</v>
      </c>
    </row>
    <row r="11" spans="1:15" x14ac:dyDescent="0.3">
      <c r="H11" t="str" cm="1">
        <f t="array" ref="H11">IFERROR(_xlfn.SWITCH(H9,1,"Sunday",2,"Monday",3,"Tuesday",4,"Wednesday",5,"Thursday",6,"Friday",7,"Saturday"),"not a valid day")</f>
        <v>Tuesday</v>
      </c>
    </row>
  </sheetData>
  <mergeCells count="2">
    <mergeCell ref="I1:K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 fucntions</vt:lpstr>
      <vt:lpstr>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2026-07-05T14:08:10Z</dcterms:created>
  <dcterms:modified xsi:type="dcterms:W3CDTF">2026-07-05T15:17:33Z</dcterms:modified>
</cp:coreProperties>
</file>